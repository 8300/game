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舰船总体" sheetId="1" state="visible" r:id="rId2"/>
    <sheet name="动力系统" sheetId="2" state="visible" r:id="rId3"/>
    <sheet name="装甲系统" sheetId="3" state="visible" r:id="rId4"/>
    <sheet name="武器系统" sheetId="4" state="visible" r:id="rId5"/>
    <sheet name="武器模块" sheetId="5" state="visible" r:id="rId6"/>
    <sheet name="无人机、载机系统" sheetId="6" state="visible" r:id="rId7"/>
    <sheet name="电子系统" sheetId="7" state="visible" r:id="rId8"/>
    <sheet name="仓储系统" sheetId="8" state="visible" r:id="rId9"/>
    <sheet name="其他系统" sheetId="9" state="visible" r:id="rId10"/>
    <sheet name="系列、超主力舰系统汇总，采矿平台效率" sheetId="10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V4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可锁定战场内任意位置的空中目标
</t>
        </r>
      </text>
    </comment>
    <comment ref="W4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可为我方所有舰船提供防空支援
</t>
        </r>
      </text>
    </comment>
    <comment ref="X4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可为同一排的友方舰船提供防空支援
</t>
        </r>
      </text>
    </comment>
    <comment ref="Y4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可对攻击自己的空中目标进行反击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N3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可锁定战场内任意位置的空中目标
</t>
        </r>
      </text>
    </comment>
    <comment ref="O3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可为我方所有舰船提供防空支援
</t>
        </r>
      </text>
    </comment>
    <comment ref="P3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可为同一排的友方舰船提供防空支援
</t>
        </r>
      </text>
    </comment>
    <comment ref="Q3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可对攻击自己的空中目标进行反击
</t>
        </r>
      </text>
    </comment>
    <comment ref="AG64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没有该船，无法判断。
</t>
        </r>
      </text>
    </comment>
    <comment ref="AO8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276
</t>
        </r>
      </text>
    </comment>
    <comment ref="AO10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276
</t>
        </r>
      </text>
    </comment>
    <comment ref="AO16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300
</t>
        </r>
      </text>
    </comment>
    <comment ref="AO19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246
</t>
        </r>
      </text>
    </comment>
    <comment ref="AO24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553
</t>
        </r>
      </text>
    </comment>
    <comment ref="AO49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900
</t>
        </r>
      </text>
    </comment>
    <comment ref="AO71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830
</t>
        </r>
      </text>
    </comment>
    <comment ref="AO94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1200
</t>
        </r>
      </text>
    </comment>
    <comment ref="AO132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1200
</t>
        </r>
      </text>
    </comment>
    <comment ref="AO139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2742
</t>
        </r>
      </text>
    </comment>
    <comment ref="AO174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675
</t>
        </r>
      </text>
    </comment>
    <comment ref="AO182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960
</t>
        </r>
      </text>
    </comment>
    <comment ref="AO186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1200
</t>
        </r>
      </text>
    </comment>
    <comment ref="AP36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1148</t>
        </r>
        <r>
          <rPr>
            <sz val="10"/>
            <rFont val="AR PL SungtiL GB"/>
            <family val="2"/>
          </rPr>
          <t xml:space="preserve">，并且和系统总防空火力</t>
        </r>
        <r>
          <rPr>
            <sz val="10"/>
            <rFont val="Arial"/>
            <family val="2"/>
          </rPr>
          <t xml:space="preserve">1803</t>
        </r>
        <r>
          <rPr>
            <sz val="10"/>
            <rFont val="AR PL SungtiL GB"/>
            <family val="2"/>
          </rPr>
          <t xml:space="preserve">对不上
</t>
        </r>
      </text>
    </comment>
    <comment ref="AP37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和系统总防空火力</t>
        </r>
        <r>
          <rPr>
            <sz val="10"/>
            <rFont val="Arial"/>
            <family val="2"/>
          </rPr>
          <t xml:space="preserve">580</t>
        </r>
        <r>
          <rPr>
            <sz val="10"/>
            <rFont val="AR PL SungtiL GB"/>
            <family val="2"/>
          </rPr>
          <t xml:space="preserve">对不上
</t>
        </r>
      </text>
    </comment>
    <comment ref="AP38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和系统总防空火力</t>
        </r>
        <r>
          <rPr>
            <sz val="10"/>
            <rFont val="Arial"/>
            <family val="2"/>
          </rPr>
          <t xml:space="preserve">237</t>
        </r>
        <r>
          <rPr>
            <sz val="10"/>
            <rFont val="AR PL SungtiL GB"/>
            <family val="2"/>
          </rPr>
          <t xml:space="preserve">对不上
</t>
        </r>
      </text>
    </comment>
    <comment ref="AP39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和系统总防空火力</t>
        </r>
        <r>
          <rPr>
            <sz val="10"/>
            <rFont val="Arial"/>
            <family val="2"/>
          </rPr>
          <t xml:space="preserve">237</t>
        </r>
        <r>
          <rPr>
            <sz val="10"/>
            <rFont val="AR PL SungtiL GB"/>
            <family val="2"/>
          </rPr>
          <t xml:space="preserve">对不上
</t>
        </r>
      </text>
    </comment>
    <comment ref="AP61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1148
</t>
        </r>
      </text>
    </comment>
    <comment ref="AP74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480
</t>
        </r>
      </text>
    </comment>
    <comment ref="AP76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480
</t>
        </r>
      </text>
    </comment>
    <comment ref="AP101" authorId="0">
      <text>
        <r>
          <rPr>
            <sz val="10"/>
            <rFont val="AR PL SungtiL GB"/>
            <family val="2"/>
          </rPr>
          <t xml:space="preserve">超速飞龙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AR PL SungtiL GB"/>
            <family val="2"/>
          </rPr>
          <t xml:space="preserve">游戏里该值为</t>
        </r>
        <r>
          <rPr>
            <sz val="10"/>
            <rFont val="Arial"/>
            <family val="2"/>
          </rPr>
          <t xml:space="preserve">925
</t>
        </r>
      </text>
    </comment>
  </commentList>
</comments>
</file>

<file path=xl/sharedStrings.xml><?xml version="1.0" encoding="utf-8"?>
<sst xmlns="http://schemas.openxmlformats.org/spreadsheetml/2006/main" count="14909" uniqueCount="1200">
  <si>
    <t xml:space="preserve">其他属性</t>
  </si>
  <si>
    <t xml:space="preserve">六维</t>
  </si>
  <si>
    <t xml:space="preserve">生产信息</t>
  </si>
  <si>
    <t xml:space="preserve">装甲系统</t>
  </si>
  <si>
    <t xml:space="preserve">动力系统</t>
  </si>
  <si>
    <t xml:space="preserve">每分钟伤害</t>
  </si>
  <si>
    <t xml:space="preserve">无人机、载机</t>
  </si>
  <si>
    <t xml:space="preserve">被命中率</t>
  </si>
  <si>
    <t xml:space="preserve">被拦截率</t>
  </si>
  <si>
    <t xml:space="preserve">命中率</t>
  </si>
  <si>
    <t xml:space="preserve">伤害</t>
  </si>
  <si>
    <t xml:space="preserve">定位标签</t>
  </si>
  <si>
    <t xml:space="preserve">类型</t>
  </si>
  <si>
    <t xml:space="preserve">所属</t>
  </si>
  <si>
    <t xml:space="preserve">级别</t>
  </si>
  <si>
    <t xml:space="preserve">名字</t>
  </si>
  <si>
    <t xml:space="preserve">子型号</t>
  </si>
  <si>
    <t xml:space="preserve">子型号名</t>
  </si>
  <si>
    <t xml:space="preserve">协议</t>
  </si>
  <si>
    <t xml:space="preserve">站位</t>
  </si>
  <si>
    <t xml:space="preserve">对舰</t>
  </si>
  <si>
    <t xml:space="preserve">防空</t>
  </si>
  <si>
    <t xml:space="preserve">攻城</t>
  </si>
  <si>
    <t xml:space="preserve">支援</t>
  </si>
  <si>
    <t xml:space="preserve">生存</t>
  </si>
  <si>
    <t xml:space="preserve">战略</t>
  </si>
  <si>
    <t xml:space="preserve">金属</t>
  </si>
  <si>
    <t xml:space="preserve">晶体</t>
  </si>
  <si>
    <t xml:space="preserve">重氢</t>
  </si>
  <si>
    <t xml:space="preserve">生产时间</t>
  </si>
  <si>
    <t xml:space="preserve">指挥值</t>
  </si>
  <si>
    <t xml:space="preserve">服役限制</t>
  </si>
  <si>
    <t xml:space="preserve">预装子模块</t>
  </si>
  <si>
    <t xml:space="preserve">停靠</t>
  </si>
  <si>
    <t xml:space="preserve">机组</t>
  </si>
  <si>
    <t xml:space="preserve">结构值</t>
  </si>
  <si>
    <t xml:space="preserve">抵抗伤害</t>
  </si>
  <si>
    <t xml:space="preserve">护盾值</t>
  </si>
  <si>
    <t xml:space="preserve">巡航速度</t>
  </si>
  <si>
    <t xml:space="preserve">曲率速度</t>
  </si>
  <si>
    <t xml:space="preserve">主系统结构值</t>
  </si>
  <si>
    <t xml:space="preserve">仓储</t>
  </si>
  <si>
    <t xml:space="preserve">主武器选择目标时间</t>
  </si>
  <si>
    <t xml:space="preserve">闪避率</t>
  </si>
  <si>
    <t xml:space="preserve">火炮</t>
  </si>
  <si>
    <t xml:space="preserve">导弹</t>
  </si>
  <si>
    <t xml:space="preserve">鱼雷</t>
  </si>
  <si>
    <r>
      <rPr>
        <sz val="11"/>
        <color rgb="FF000000"/>
        <rFont val="AR PL SungtiL GB"/>
        <family val="2"/>
      </rPr>
      <t xml:space="preserve">导弹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鱼雷</t>
    </r>
  </si>
  <si>
    <t xml:space="preserve">基础</t>
  </si>
  <si>
    <t xml:space="preserve">主武器</t>
  </si>
  <si>
    <t xml:space="preserve">战机</t>
  </si>
  <si>
    <t xml:space="preserve">护航艇</t>
  </si>
  <si>
    <t xml:space="preserve">护卫舰</t>
  </si>
  <si>
    <t xml:space="preserve">驱逐舰</t>
  </si>
  <si>
    <t xml:space="preserve">能量</t>
  </si>
  <si>
    <t xml:space="preserve">对舰能力</t>
  </si>
  <si>
    <t xml:space="preserve">无人机</t>
  </si>
  <si>
    <t xml:space="preserve">搭载护航艇</t>
  </si>
  <si>
    <t xml:space="preserve">载机</t>
  </si>
  <si>
    <t xml:space="preserve">能量武器</t>
  </si>
  <si>
    <t xml:space="preserve">反导</t>
  </si>
  <si>
    <t xml:space="preserve">低成本建造</t>
  </si>
  <si>
    <t xml:space="preserve">工程舰</t>
  </si>
  <si>
    <t xml:space="preserve">运输</t>
  </si>
  <si>
    <t xml:space="preserve">通用</t>
  </si>
  <si>
    <t xml:space="preserve">综合火力</t>
  </si>
  <si>
    <t xml:space="preserve">火力出众</t>
  </si>
  <si>
    <t xml:space="preserve">高速</t>
  </si>
  <si>
    <t xml:space="preserve">高命中率</t>
  </si>
  <si>
    <t xml:space="preserve">高闪避率</t>
  </si>
  <si>
    <t xml:space="preserve">装甲</t>
  </si>
  <si>
    <t xml:space="preserve">装甲强化</t>
  </si>
  <si>
    <t xml:space="preserve">特种</t>
  </si>
  <si>
    <t xml:space="preserve">维修</t>
  </si>
  <si>
    <t xml:space="preserve">可打击后排</t>
  </si>
  <si>
    <t xml:space="preserve">护盾</t>
  </si>
  <si>
    <t xml:space="preserve">对敌舰系统</t>
  </si>
  <si>
    <r>
      <rPr>
        <sz val="11"/>
        <color rgb="FF000000"/>
        <rFont val="AR PL SungtiL GB"/>
        <family val="2"/>
      </rPr>
      <t xml:space="preserve">闪避导弹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鱼雷</t>
    </r>
  </si>
  <si>
    <r>
      <rPr>
        <sz val="11"/>
        <color rgb="FF000000"/>
        <rFont val="AR PL SungtiL GB"/>
        <family val="2"/>
      </rPr>
      <t xml:space="preserve">对飞机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艇</t>
    </r>
  </si>
  <si>
    <t xml:space="preserve">电子干扰</t>
  </si>
  <si>
    <t xml:space="preserve">航空母舰</t>
  </si>
  <si>
    <t xml:space="preserve">诺玛运输</t>
  </si>
  <si>
    <t xml:space="preserve">太阳鲸</t>
  </si>
  <si>
    <t xml:space="preserve">武装战略航空母舰</t>
  </si>
  <si>
    <t xml:space="preserve">-</t>
  </si>
  <si>
    <t xml:space="preserve">定制型</t>
  </si>
  <si>
    <t xml:space="preserve">中排</t>
  </si>
  <si>
    <t xml:space="preserve">B</t>
  </si>
  <si>
    <t xml:space="preserve">C</t>
  </si>
  <si>
    <t xml:space="preserve">A</t>
  </si>
  <si>
    <t xml:space="preserve">M1/A1/B1</t>
  </si>
  <si>
    <t xml:space="preserve">军事港口</t>
  </si>
  <si>
    <t xml:space="preserve">是</t>
  </si>
  <si>
    <t xml:space="preserve">未央标准</t>
  </si>
  <si>
    <r>
      <rPr>
        <sz val="11"/>
        <color rgb="FF000000"/>
        <rFont val="SimSun"/>
        <family val="0"/>
        <charset val="1"/>
      </rPr>
      <t xml:space="preserve">CV3000</t>
    </r>
    <r>
      <rPr>
        <sz val="11"/>
        <color rgb="FF000000"/>
        <rFont val="AR PL SungtiL GB"/>
        <family val="2"/>
      </rPr>
      <t xml:space="preserve">级</t>
    </r>
  </si>
  <si>
    <t xml:space="preserve">快速航空母舰</t>
  </si>
  <si>
    <t xml:space="preserve">后排</t>
  </si>
  <si>
    <t xml:space="preserve">M1/A1</t>
  </si>
  <si>
    <t xml:space="preserve">安东尼奥斯</t>
  </si>
  <si>
    <t xml:space="preserve">蜂巢守卫者</t>
  </si>
  <si>
    <t xml:space="preserve">重型鱼雷艇</t>
  </si>
  <si>
    <t xml:space="preserve">多功能型</t>
  </si>
  <si>
    <t xml:space="preserve">S</t>
  </si>
  <si>
    <t xml:space="preserve">战机平台</t>
  </si>
  <si>
    <t xml:space="preserve">星云追逐者</t>
  </si>
  <si>
    <t xml:space="preserve">重型护航艇</t>
  </si>
  <si>
    <t xml:space="preserve">弹炮型</t>
  </si>
  <si>
    <t xml:space="preserve">对小型舰</t>
  </si>
  <si>
    <t xml:space="preserve">脉冲炮艇</t>
  </si>
  <si>
    <t xml:space="preserve">脉冲型</t>
  </si>
  <si>
    <t xml:space="preserve">虚灵</t>
  </si>
  <si>
    <t xml:space="preserve">隐身导弹艇</t>
  </si>
  <si>
    <t xml:space="preserve">攻击型</t>
  </si>
  <si>
    <t xml:space="preserve">旧帝国</t>
  </si>
  <si>
    <t xml:space="preserve">野火</t>
  </si>
  <si>
    <t xml:space="preserve">鱼雷艇</t>
  </si>
  <si>
    <t xml:space="preserve">对舰型</t>
  </si>
  <si>
    <r>
      <rPr>
        <sz val="11"/>
        <color rgb="FF000000"/>
        <rFont val="SimSun"/>
        <family val="0"/>
        <charset val="1"/>
      </rPr>
      <t xml:space="preserve">RB7-13</t>
    </r>
    <r>
      <rPr>
        <sz val="11"/>
        <color rgb="FF000000"/>
        <rFont val="AR PL SungtiL GB"/>
        <family val="2"/>
      </rPr>
      <t xml:space="preserve">型</t>
    </r>
  </si>
  <si>
    <t xml:space="preserve">导弹艇</t>
  </si>
  <si>
    <t xml:space="preserve">鳐</t>
  </si>
  <si>
    <t xml:space="preserve">装甲护航艇</t>
  </si>
  <si>
    <t xml:space="preserve">高速型</t>
  </si>
  <si>
    <r>
      <rPr>
        <sz val="11"/>
        <color rgb="FF000000"/>
        <rFont val="SimSun"/>
        <family val="0"/>
        <charset val="1"/>
      </rPr>
      <t xml:space="preserve">CV-II003</t>
    </r>
    <r>
      <rPr>
        <sz val="11"/>
        <color rgb="FF000000"/>
        <rFont val="AR PL SungtiL GB"/>
        <family val="2"/>
      </rPr>
      <t xml:space="preserve">型</t>
    </r>
  </si>
  <si>
    <t xml:space="preserve">轻型护航艇</t>
  </si>
  <si>
    <r>
      <rPr>
        <sz val="11"/>
        <color rgb="FF000000"/>
        <rFont val="SimSun"/>
        <family val="0"/>
        <charset val="1"/>
      </rPr>
      <t xml:space="preserve">CV-M011</t>
    </r>
    <r>
      <rPr>
        <sz val="11"/>
        <color rgb="FF000000"/>
        <rFont val="AR PL SungtiL GB"/>
        <family val="2"/>
      </rPr>
      <t xml:space="preserve">型</t>
    </r>
  </si>
  <si>
    <t xml:space="preserve">重型导弹艇</t>
  </si>
  <si>
    <t xml:space="preserve">导弹型</t>
  </si>
  <si>
    <t xml:space="preserve">重炮艇</t>
  </si>
  <si>
    <t xml:space="preserve">火炮型</t>
  </si>
  <si>
    <r>
      <rPr>
        <sz val="11"/>
        <color rgb="FF000000"/>
        <rFont val="SimSun"/>
        <family val="0"/>
        <charset val="1"/>
      </rPr>
      <t xml:space="preserve">CV-T800</t>
    </r>
    <r>
      <rPr>
        <sz val="11"/>
        <color rgb="FF000000"/>
        <rFont val="AR PL SungtiL GB"/>
        <family val="2"/>
      </rPr>
      <t xml:space="preserve">型</t>
    </r>
  </si>
  <si>
    <t xml:space="preserve">对空型</t>
  </si>
  <si>
    <t xml:space="preserve">节点恢复协议</t>
  </si>
  <si>
    <t xml:space="preserve">卡利莱恩级</t>
  </si>
  <si>
    <t xml:space="preserve">侦查护卫舰</t>
  </si>
  <si>
    <t xml:space="preserve">侦查型</t>
  </si>
  <si>
    <t xml:space="preserve">前排</t>
  </si>
  <si>
    <t xml:space="preserve">重炮护卫舰</t>
  </si>
  <si>
    <t xml:space="preserve">重炮型</t>
  </si>
  <si>
    <t xml:space="preserve">特种护卫舰</t>
  </si>
  <si>
    <t xml:space="preserve">特种型</t>
  </si>
  <si>
    <t xml:space="preserve">雷里亚特级</t>
  </si>
  <si>
    <t xml:space="preserve">快速鱼雷护卫舰</t>
  </si>
  <si>
    <t xml:space="preserve">战术鱼雷护卫舰</t>
  </si>
  <si>
    <t xml:space="preserve">鱼雷型</t>
  </si>
  <si>
    <t xml:space="preserve">隐身护卫舰</t>
  </si>
  <si>
    <t xml:space="preserve">隐身型</t>
  </si>
  <si>
    <t xml:space="preserve">愤怒级</t>
  </si>
  <si>
    <t xml:space="preserve">快速护卫舰</t>
  </si>
  <si>
    <t xml:space="preserve">通用型</t>
  </si>
  <si>
    <t xml:space="preserve">鱼雷护卫舰</t>
  </si>
  <si>
    <t xml:space="preserve">对中型舰</t>
  </si>
  <si>
    <r>
      <rPr>
        <sz val="11"/>
        <color rgb="FF000000"/>
        <rFont val="SimSun"/>
        <family val="0"/>
        <charset val="1"/>
      </rPr>
      <t xml:space="preserve">XT-8</t>
    </r>
    <r>
      <rPr>
        <sz val="11"/>
        <color rgb="FF000000"/>
        <rFont val="AR PL SungtiL GB"/>
        <family val="2"/>
      </rPr>
      <t xml:space="preserve">级</t>
    </r>
  </si>
  <si>
    <t xml:space="preserve">两栖登陆舰</t>
  </si>
  <si>
    <t xml:space="preserve">攻城型</t>
  </si>
  <si>
    <t xml:space="preserve">武装导弹调查船</t>
  </si>
  <si>
    <t xml:space="preserve">严酷级</t>
  </si>
  <si>
    <t xml:space="preserve">攻坚护卫舰</t>
  </si>
  <si>
    <t xml:space="preserve">对大型舰</t>
  </si>
  <si>
    <t xml:space="preserve">木星工业</t>
  </si>
  <si>
    <t xml:space="preserve">澄海级</t>
  </si>
  <si>
    <t xml:space="preserve">重型护卫舰</t>
  </si>
  <si>
    <t xml:space="preserve">导弹护卫舰</t>
  </si>
  <si>
    <t xml:space="preserve">防空护卫舰</t>
  </si>
  <si>
    <t xml:space="preserve">防空型</t>
  </si>
  <si>
    <t xml:space="preserve">静海级</t>
  </si>
  <si>
    <t xml:space="preserve">综合型</t>
  </si>
  <si>
    <t xml:space="preserve">脉冲炮护卫舰</t>
  </si>
  <si>
    <t xml:space="preserve">拦截护卫舰</t>
  </si>
  <si>
    <t xml:space="preserve">云海级</t>
  </si>
  <si>
    <t xml:space="preserve">轻型登陆舰</t>
  </si>
  <si>
    <t xml:space="preserve">突击型</t>
  </si>
  <si>
    <t xml:space="preserve">刺水母级</t>
  </si>
  <si>
    <t xml:space="preserve">战术护卫舰</t>
  </si>
  <si>
    <t xml:space="preserve">防御护卫舰</t>
  </si>
  <si>
    <t xml:space="preserve">红宝石级</t>
  </si>
  <si>
    <t xml:space="preserve">重型轨道炮护卫舰</t>
  </si>
  <si>
    <t xml:space="preserve">轨道炮型</t>
  </si>
  <si>
    <t xml:space="preserve">实验型离子炮护卫舰</t>
  </si>
  <si>
    <t xml:space="preserve">离子炮型</t>
  </si>
  <si>
    <t xml:space="preserve">重型防御护卫舰</t>
  </si>
  <si>
    <t xml:space="preserve">防护型</t>
  </si>
  <si>
    <r>
      <rPr>
        <sz val="11"/>
        <color rgb="FF000000"/>
        <rFont val="AR PL SungtiL GB"/>
        <family val="2"/>
      </rPr>
      <t xml:space="preserve">诺玛</t>
    </r>
    <r>
      <rPr>
        <sz val="11"/>
        <color rgb="FF000000"/>
        <rFont val="SimSun"/>
        <family val="0"/>
        <charset val="1"/>
      </rPr>
      <t xml:space="preserve">330</t>
    </r>
  </si>
  <si>
    <t xml:space="preserve">轻型武装调查船</t>
  </si>
  <si>
    <t xml:space="preserve">量产型</t>
  </si>
  <si>
    <t xml:space="preserve">快速武装调查船</t>
  </si>
  <si>
    <r>
      <rPr>
        <sz val="11"/>
        <color rgb="FF000000"/>
        <rFont val="AR PL SungtiL GB"/>
        <family val="2"/>
      </rPr>
      <t xml:space="preserve">诺玛</t>
    </r>
    <r>
      <rPr>
        <sz val="11"/>
        <color rgb="FF000000"/>
        <rFont val="SimSun"/>
        <family val="0"/>
        <charset val="1"/>
      </rPr>
      <t xml:space="preserve">M470</t>
    </r>
    <r>
      <rPr>
        <sz val="11"/>
        <color rgb="FF000000"/>
        <rFont val="AR PL SungtiL GB"/>
        <family val="2"/>
      </rPr>
      <t xml:space="preserve">级</t>
    </r>
  </si>
  <si>
    <t xml:space="preserve">重型登陆舰</t>
  </si>
  <si>
    <t xml:space="preserve">支援护卫舰</t>
  </si>
  <si>
    <t xml:space="preserve">支援型</t>
  </si>
  <si>
    <r>
      <rPr>
        <sz val="11"/>
        <color rgb="FF000000"/>
        <rFont val="SimSun"/>
        <family val="0"/>
        <charset val="1"/>
      </rPr>
      <t xml:space="preserve">FG300</t>
    </r>
    <r>
      <rPr>
        <sz val="11"/>
        <color rgb="FF000000"/>
        <rFont val="AR PL SungtiL GB"/>
        <family val="2"/>
      </rPr>
      <t xml:space="preserve">型</t>
    </r>
  </si>
  <si>
    <t xml:space="preserve">多用途护卫舰</t>
  </si>
  <si>
    <t xml:space="preserve">装甲护卫舰</t>
  </si>
  <si>
    <t xml:space="preserve">装甲型</t>
  </si>
  <si>
    <t xml:space="preserve">侦察护卫舰</t>
  </si>
  <si>
    <t xml:space="preserve">侦察型</t>
  </si>
  <si>
    <t xml:space="preserve">X8</t>
  </si>
  <si>
    <t xml:space="preserve">小型工程舰</t>
  </si>
  <si>
    <t xml:space="preserve">工程型</t>
  </si>
  <si>
    <t xml:space="preserve">资源港口</t>
  </si>
  <si>
    <t xml:space="preserve">轻型战机</t>
  </si>
  <si>
    <t xml:space="preserve">米斯特拉</t>
  </si>
  <si>
    <t xml:space="preserve">战斗攻击机</t>
  </si>
  <si>
    <t xml:space="preserve">特洛伊晶体收集协议</t>
  </si>
  <si>
    <r>
      <rPr>
        <sz val="11"/>
        <color rgb="FF000000"/>
        <rFont val="AR PL SungtiL GB"/>
        <family val="2"/>
      </rPr>
      <t xml:space="preserve">平衡安德森</t>
    </r>
    <r>
      <rPr>
        <sz val="11"/>
        <color rgb="FF000000"/>
        <rFont val="SimSun"/>
        <family val="0"/>
        <charset val="1"/>
      </rPr>
      <t xml:space="preserve">SC020</t>
    </r>
  </si>
  <si>
    <t xml:space="preserve">侦察机</t>
  </si>
  <si>
    <t xml:space="preserve">干扰型</t>
  </si>
  <si>
    <r>
      <rPr>
        <sz val="11"/>
        <color rgb="FF000000"/>
        <rFont val="AR PL SungtiL GB"/>
        <family val="2"/>
      </rPr>
      <t xml:space="preserve">孢子</t>
    </r>
    <r>
      <rPr>
        <sz val="11"/>
        <color rgb="FF000000"/>
        <rFont val="SimSun"/>
        <family val="0"/>
        <charset val="1"/>
      </rPr>
      <t xml:space="preserve">A404</t>
    </r>
  </si>
  <si>
    <t xml:space="preserve">轻型战斗机</t>
  </si>
  <si>
    <t xml:space="preserve">砂龙</t>
  </si>
  <si>
    <t xml:space="preserve">大气层拦截机</t>
  </si>
  <si>
    <t xml:space="preserve">两栖型</t>
  </si>
  <si>
    <r>
      <rPr>
        <sz val="11"/>
        <color rgb="FF000000"/>
        <rFont val="SimSun"/>
        <family val="0"/>
        <charset val="1"/>
      </rPr>
      <t xml:space="preserve">SC002</t>
    </r>
    <r>
      <rPr>
        <sz val="11"/>
        <color rgb="FF000000"/>
        <rFont val="AR PL SungtiL GB"/>
        <family val="2"/>
      </rPr>
      <t xml:space="preserve">型</t>
    </r>
  </si>
  <si>
    <t xml:space="preserve">量子侦察机</t>
  </si>
  <si>
    <t xml:space="preserve">枪骑兵级</t>
  </si>
  <si>
    <t xml:space="preserve">轻型导弹驱逐舰</t>
  </si>
  <si>
    <t xml:space="preserve">综合导弹驱逐舰</t>
  </si>
  <si>
    <t xml:space="preserve">区域防空驱逐舰</t>
  </si>
  <si>
    <t xml:space="preserve">卫士</t>
  </si>
  <si>
    <t xml:space="preserve">支援驱逐舰</t>
  </si>
  <si>
    <t xml:space="preserve">两栖突击舰</t>
  </si>
  <si>
    <t xml:space="preserve">实验型脉冲突击舰</t>
  </si>
  <si>
    <t xml:space="preserve">警惕级</t>
  </si>
  <si>
    <t xml:space="preserve">战术驱逐舰</t>
  </si>
  <si>
    <t xml:space="preserve">凛冽级</t>
  </si>
  <si>
    <t xml:space="preserve">导弹驱逐舰</t>
  </si>
  <si>
    <t xml:space="preserve">防御驱逐舰</t>
  </si>
  <si>
    <t xml:space="preserve">高速导弹驱逐舰</t>
  </si>
  <si>
    <t xml:space="preserve">星系互助协议</t>
  </si>
  <si>
    <r>
      <rPr>
        <sz val="11"/>
        <rFont val="宋体"/>
        <family val="0"/>
        <charset val="1"/>
      </rPr>
      <t xml:space="preserve">XT-10</t>
    </r>
    <r>
      <rPr>
        <sz val="11"/>
        <rFont val="AR PL SungtiL GB"/>
        <family val="2"/>
      </rPr>
      <t xml:space="preserve">级</t>
    </r>
  </si>
  <si>
    <t xml:space="preserve">武装鱼雷驱逐舰</t>
  </si>
  <si>
    <t xml:space="preserve">灼热级</t>
  </si>
  <si>
    <t xml:space="preserve">重型火炮突击舰</t>
  </si>
  <si>
    <t xml:space="preserve">创神星级</t>
  </si>
  <si>
    <t xml:space="preserve">轨道炮驱逐舰</t>
  </si>
  <si>
    <t xml:space="preserve">鱼雷驱逐舰</t>
  </si>
  <si>
    <t xml:space="preserve">谷神星级</t>
  </si>
  <si>
    <t xml:space="preserve">载机驱逐舰</t>
  </si>
  <si>
    <t xml:space="preserve">载机型</t>
  </si>
  <si>
    <t xml:space="preserve">战术型</t>
  </si>
  <si>
    <r>
      <rPr>
        <sz val="11"/>
        <rFont val="AR PL SungtiL GB"/>
        <family val="2"/>
      </rPr>
      <t xml:space="preserve">阋神星</t>
    </r>
    <r>
      <rPr>
        <sz val="11"/>
        <rFont val="宋体"/>
        <family val="0"/>
        <charset val="1"/>
      </rPr>
      <t xml:space="preserve">I</t>
    </r>
    <r>
      <rPr>
        <sz val="11"/>
        <rFont val="AR PL SungtiL GB"/>
        <family val="2"/>
      </rPr>
      <t xml:space="preserve">级</t>
    </r>
  </si>
  <si>
    <t xml:space="preserve">轻型快速火炮驱逐舰</t>
  </si>
  <si>
    <t xml:space="preserve">重炮驱逐舰</t>
  </si>
  <si>
    <t xml:space="preserve">装甲驱逐舰</t>
  </si>
  <si>
    <t xml:space="preserve">斗牛级</t>
  </si>
  <si>
    <t xml:space="preserve">脉冲炮驱逐舰</t>
  </si>
  <si>
    <t xml:space="preserve">突击攻击舰</t>
  </si>
  <si>
    <t xml:space="preserve">苔原级</t>
  </si>
  <si>
    <t xml:space="preserve">亚达伯拉级</t>
  </si>
  <si>
    <t xml:space="preserve">重型火炮驱逐舰</t>
  </si>
  <si>
    <t xml:space="preserve">重型攻坚驱逐舰</t>
  </si>
  <si>
    <t xml:space="preserve">AC721</t>
  </si>
  <si>
    <t xml:space="preserve">重型运载驱逐舰</t>
  </si>
  <si>
    <t xml:space="preserve">重型导弹驱逐舰</t>
  </si>
  <si>
    <t xml:space="preserve">重型离子炮驱逐舰</t>
  </si>
  <si>
    <t xml:space="preserve">重型两栖突击舰</t>
  </si>
  <si>
    <t xml:space="preserve">D</t>
  </si>
  <si>
    <t xml:space="preserve">X10</t>
  </si>
  <si>
    <t xml:space="preserve">中型工程舰</t>
  </si>
  <si>
    <t xml:space="preserve">巡洋舰</t>
  </si>
  <si>
    <t xml:space="preserve">猎兵级</t>
  </si>
  <si>
    <t xml:space="preserve">重型载机巡洋舰</t>
  </si>
  <si>
    <t xml:space="preserve">重炮巡洋舰</t>
  </si>
  <si>
    <t xml:space="preserve">狩猎者级</t>
  </si>
  <si>
    <t xml:space="preserve">载机巡洋舰</t>
  </si>
  <si>
    <t xml:space="preserve">战术载机巡洋舰</t>
  </si>
  <si>
    <t xml:space="preserve">防空载机巡洋舰</t>
  </si>
  <si>
    <t xml:space="preserve">全能级</t>
  </si>
  <si>
    <t xml:space="preserve">离子炮巡洋舰</t>
  </si>
  <si>
    <r>
      <rPr>
        <sz val="11"/>
        <color rgb="FF000000"/>
        <rFont val="SimSun"/>
        <family val="0"/>
        <charset val="1"/>
      </rPr>
      <t xml:space="preserve">XT-20</t>
    </r>
    <r>
      <rPr>
        <sz val="11"/>
        <color rgb="FF000000"/>
        <rFont val="AR PL SungtiL GB"/>
        <family val="2"/>
      </rPr>
      <t xml:space="preserve">级</t>
    </r>
  </si>
  <si>
    <t xml:space="preserve">护航巡洋舰</t>
  </si>
  <si>
    <t xml:space="preserve">运载型</t>
  </si>
  <si>
    <t xml:space="preserve">支援巡洋舰</t>
  </si>
  <si>
    <t xml:space="preserve">迅捷级</t>
  </si>
  <si>
    <t xml:space="preserve">武装运输船</t>
  </si>
  <si>
    <t xml:space="preserve">载机运输船</t>
  </si>
  <si>
    <t xml:space="preserve">高速载机运输船</t>
  </si>
  <si>
    <t xml:space="preserve">艾奥级</t>
  </si>
  <si>
    <t xml:space="preserve">攻坚离子炮巡洋舰</t>
  </si>
  <si>
    <t xml:space="preserve">高速离子炮巡洋舰</t>
  </si>
  <si>
    <t xml:space="preserve">攻城离子炮巡洋舰</t>
  </si>
  <si>
    <t xml:space="preserve">卡利斯托</t>
  </si>
  <si>
    <t xml:space="preserve">集束鱼雷袭击舰</t>
  </si>
  <si>
    <t xml:space="preserve">重型鱼雷袭击舰</t>
  </si>
  <si>
    <t xml:space="preserve">重型无人机巡洋舰</t>
  </si>
  <si>
    <t xml:space="preserve">康纳马拉混沌级</t>
  </si>
  <si>
    <t xml:space="preserve">轨道炮巡洋舰</t>
  </si>
  <si>
    <t xml:space="preserve">高速等离子体巡洋舰</t>
  </si>
  <si>
    <t xml:space="preserve">等离子体型</t>
  </si>
  <si>
    <t xml:space="preserve">光锥级</t>
  </si>
  <si>
    <t xml:space="preserve">综合导弹巡洋舰</t>
  </si>
  <si>
    <t xml:space="preserve">区域防空巡洋舰</t>
  </si>
  <si>
    <t xml:space="preserve">攻击导弹巡洋舰</t>
  </si>
  <si>
    <t xml:space="preserve">奇美拉级</t>
  </si>
  <si>
    <t xml:space="preserve">重型巡洋舰</t>
  </si>
  <si>
    <t xml:space="preserve">火炮巡洋舰</t>
  </si>
  <si>
    <t xml:space="preserve">防御巡洋舰</t>
  </si>
  <si>
    <r>
      <rPr>
        <sz val="11"/>
        <color rgb="FF000000"/>
        <rFont val="SimSun"/>
        <family val="0"/>
        <charset val="1"/>
      </rPr>
      <t xml:space="preserve">CAS066</t>
    </r>
    <r>
      <rPr>
        <sz val="11"/>
        <color rgb="FF000000"/>
        <rFont val="AR PL SungtiL GB"/>
        <family val="2"/>
      </rPr>
      <t xml:space="preserve">级</t>
    </r>
  </si>
  <si>
    <t xml:space="preserve">通用巡洋舰</t>
  </si>
  <si>
    <r>
      <rPr>
        <sz val="11"/>
        <rFont val="宋体"/>
        <family val="0"/>
        <charset val="1"/>
      </rPr>
      <t xml:space="preserve">CAS066</t>
    </r>
    <r>
      <rPr>
        <sz val="11"/>
        <rFont val="AR PL SungtiL GB"/>
        <family val="2"/>
      </rPr>
      <t xml:space="preserve">级</t>
    </r>
  </si>
  <si>
    <t xml:space="preserve">炮击巡洋舰</t>
  </si>
  <si>
    <t xml:space="preserve">炮击型</t>
  </si>
  <si>
    <t xml:space="preserve">KCCPV2.0</t>
  </si>
  <si>
    <t xml:space="preserve">轻型攻击巡洋舰</t>
  </si>
  <si>
    <t xml:space="preserve">轻型脉冲攻击巡洋舰</t>
  </si>
  <si>
    <t xml:space="preserve">轻型轨道炮巡洋舰</t>
  </si>
  <si>
    <t xml:space="preserve">轻型载机巡洋舰</t>
  </si>
  <si>
    <t xml:space="preserve">X20</t>
  </si>
  <si>
    <t xml:space="preserve">大型工程舰</t>
  </si>
  <si>
    <t xml:space="preserve">战列舰</t>
  </si>
  <si>
    <t xml:space="preserve">止战级</t>
  </si>
  <si>
    <t xml:space="preserve">攻坚战列舰</t>
  </si>
  <si>
    <t xml:space="preserve">战列巡洋舰</t>
  </si>
  <si>
    <t xml:space="preserve">新君士坦丁大帝级</t>
  </si>
  <si>
    <t xml:space="preserve">综合战列巡洋舰</t>
  </si>
  <si>
    <r>
      <rPr>
        <sz val="11"/>
        <color rgb="FFC9211E"/>
        <rFont val="SimSun"/>
        <family val="0"/>
        <charset val="1"/>
      </rPr>
      <t xml:space="preserve">-</t>
    </r>
    <r>
      <rPr>
        <sz val="11"/>
        <color rgb="FFC9211E"/>
        <rFont val="AR PL SungtiL GB"/>
        <family val="2"/>
      </rPr>
      <t xml:space="preserve">（</t>
    </r>
    <r>
      <rPr>
        <sz val="11"/>
        <color rgb="FFC9211E"/>
        <rFont val="SimSun"/>
        <family val="0"/>
        <charset val="1"/>
      </rPr>
      <t xml:space="preserve">A</t>
    </r>
    <r>
      <rPr>
        <sz val="11"/>
        <color rgb="FFC9211E"/>
        <rFont val="AR PL SungtiL GB"/>
        <family val="2"/>
      </rPr>
      <t xml:space="preserve">）</t>
    </r>
  </si>
  <si>
    <t xml:space="preserve">不屈级</t>
  </si>
  <si>
    <t xml:space="preserve">导弹战列巡洋舰</t>
  </si>
  <si>
    <t xml:space="preserve">永恒风暴级</t>
  </si>
  <si>
    <t xml:space="preserve">攻击战列巡洋舰</t>
  </si>
  <si>
    <r>
      <rPr>
        <sz val="11"/>
        <color rgb="FF000000"/>
        <rFont val="SimSun"/>
        <family val="0"/>
        <charset val="1"/>
      </rPr>
      <t xml:space="preserve">C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A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</si>
  <si>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B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A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</si>
  <si>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C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B</t>
    </r>
    <r>
      <rPr>
        <sz val="11"/>
        <color rgb="FF000000"/>
        <rFont val="AR PL SungtiL GB"/>
        <family val="2"/>
      </rPr>
      <t xml:space="preserve">）</t>
    </r>
  </si>
  <si>
    <t xml:space="preserve">乌拉诺斯之矛级</t>
  </si>
  <si>
    <t xml:space="preserve">重型战列巡洋舰</t>
  </si>
  <si>
    <r>
      <rPr>
        <sz val="11"/>
        <color rgb="FFC9211E"/>
        <rFont val="SimSun"/>
        <family val="0"/>
        <charset val="1"/>
      </rPr>
      <t xml:space="preserve">B</t>
    </r>
    <r>
      <rPr>
        <sz val="11"/>
        <color rgb="FFC9211E"/>
        <rFont val="AR PL SungtiL GB"/>
        <family val="2"/>
      </rPr>
      <t xml:space="preserve">（</t>
    </r>
    <r>
      <rPr>
        <sz val="11"/>
        <color rgb="FFC9211E"/>
        <rFont val="SimSun"/>
        <family val="0"/>
        <charset val="1"/>
      </rPr>
      <t xml:space="preserve">A</t>
    </r>
    <r>
      <rPr>
        <sz val="11"/>
        <color rgb="FFC9211E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</si>
  <si>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ST59</t>
    </r>
    <r>
      <rPr>
        <sz val="11"/>
        <color rgb="FF000000"/>
        <rFont val="AR PL SungtiL GB"/>
        <family val="2"/>
      </rPr>
      <t xml:space="preserve">级</t>
    </r>
  </si>
  <si>
    <t xml:space="preserve">防御战列巡洋舰</t>
  </si>
  <si>
    <r>
      <rPr>
        <sz val="11"/>
        <color rgb="FF000000"/>
        <rFont val="SimSun"/>
        <family val="0"/>
        <charset val="1"/>
      </rPr>
      <t xml:space="preserve">-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C</t>
    </r>
    <r>
      <rPr>
        <sz val="11"/>
        <color rgb="FF000000"/>
        <rFont val="AR PL SungtiL GB"/>
        <family val="2"/>
      </rPr>
      <t xml:space="preserve">）</t>
    </r>
  </si>
  <si>
    <t xml:space="preserve">中型战机</t>
  </si>
  <si>
    <r>
      <rPr>
        <sz val="11"/>
        <color rgb="FF000000"/>
        <rFont val="AR PL SungtiL GB"/>
        <family val="2"/>
      </rPr>
      <t xml:space="preserve">维塔斯</t>
    </r>
    <r>
      <rPr>
        <sz val="11"/>
        <color rgb="FF000000"/>
        <rFont val="SimSun"/>
        <family val="0"/>
        <charset val="1"/>
      </rPr>
      <t xml:space="preserve">A021</t>
    </r>
  </si>
  <si>
    <t xml:space="preserve">重型攻击机</t>
  </si>
  <si>
    <r>
      <rPr>
        <sz val="11"/>
        <color rgb="FF000000"/>
        <rFont val="AR PL SungtiL GB"/>
        <family val="2"/>
      </rPr>
      <t xml:space="preserve">理智</t>
    </r>
    <r>
      <rPr>
        <sz val="11"/>
        <color rgb="FF000000"/>
        <rFont val="SimSun"/>
        <family val="0"/>
        <charset val="1"/>
      </rPr>
      <t xml:space="preserve">A101</t>
    </r>
  </si>
  <si>
    <r>
      <rPr>
        <sz val="11"/>
        <color rgb="FF000000"/>
        <rFont val="SimSun"/>
        <family val="0"/>
        <charset val="1"/>
      </rPr>
      <t xml:space="preserve">B192</t>
    </r>
    <r>
      <rPr>
        <sz val="11"/>
        <color rgb="FF000000"/>
        <rFont val="AR PL SungtiL GB"/>
        <family val="2"/>
      </rPr>
      <t xml:space="preserve">新大地</t>
    </r>
  </si>
  <si>
    <r>
      <rPr>
        <sz val="11"/>
        <color rgb="FF000000"/>
        <rFont val="AR PL SungtiL GB"/>
        <family val="2"/>
      </rPr>
      <t xml:space="preserve">佩刀</t>
    </r>
    <r>
      <rPr>
        <sz val="11"/>
        <color rgb="FF000000"/>
        <rFont val="SimSun"/>
        <family val="0"/>
        <charset val="1"/>
      </rPr>
      <t xml:space="preserve">Aer410</t>
    </r>
  </si>
  <si>
    <t xml:space="preserve">强击攻击机</t>
  </si>
  <si>
    <r>
      <rPr>
        <sz val="11"/>
        <color rgb="FF000000"/>
        <rFont val="AR PL SungtiL GB"/>
        <family val="2"/>
      </rPr>
      <t xml:space="preserve">林鸮</t>
    </r>
    <r>
      <rPr>
        <sz val="11"/>
        <color rgb="FF000000"/>
        <rFont val="SimSun"/>
        <family val="0"/>
        <charset val="1"/>
      </rPr>
      <t xml:space="preserve">A100</t>
    </r>
    <r>
      <rPr>
        <sz val="11"/>
        <color rgb="FF000000"/>
        <rFont val="AR PL SungtiL GB"/>
        <family val="2"/>
      </rPr>
      <t xml:space="preserve">型</t>
    </r>
  </si>
  <si>
    <t xml:space="preserve">联合攻击机</t>
  </si>
  <si>
    <t xml:space="preserve">重型战机</t>
  </si>
  <si>
    <r>
      <rPr>
        <sz val="11"/>
        <color rgb="FFC9211E"/>
        <rFont val="AR PL SungtiL GB"/>
        <family val="2"/>
      </rPr>
      <t xml:space="preserve">维塔斯</t>
    </r>
    <r>
      <rPr>
        <sz val="11"/>
        <color rgb="FFC9211E"/>
        <rFont val="SimSun"/>
        <family val="0"/>
        <charset val="1"/>
      </rPr>
      <t xml:space="preserve">-B010</t>
    </r>
  </si>
  <si>
    <t xml:space="preserve">轰炸机</t>
  </si>
  <si>
    <t xml:space="preserve">刺鳐</t>
  </si>
  <si>
    <t xml:space="preserve">鱼雷轰炸机</t>
  </si>
  <si>
    <t xml:space="preserve">牛蛙型</t>
  </si>
  <si>
    <t xml:space="preserve">两栖轰炸机</t>
  </si>
  <si>
    <t xml:space="preserve">名字：燃烧效率强化、引擎出力强化</t>
  </si>
  <si>
    <t xml:space="preserve">名字：曲率引擎强化</t>
  </si>
  <si>
    <t xml:space="preserve">策略</t>
  </si>
  <si>
    <r>
      <rPr>
        <sz val="11"/>
        <color rgb="FF000000"/>
        <rFont val="AR PL SungtiL GB"/>
        <family val="2"/>
      </rPr>
      <t xml:space="preserve">巡航速度提升</t>
    </r>
    <r>
      <rPr>
        <sz val="11"/>
        <color rgb="FF000000"/>
        <rFont val="SimSun"/>
        <family val="0"/>
        <charset val="1"/>
      </rPr>
      <t xml:space="preserve">15%</t>
    </r>
  </si>
  <si>
    <r>
      <rPr>
        <sz val="11"/>
        <color rgb="FF000000"/>
        <rFont val="AR PL SungtiL GB"/>
        <family val="2"/>
      </rPr>
      <t xml:space="preserve">曲率速度提升</t>
    </r>
    <r>
      <rPr>
        <sz val="11"/>
        <color rgb="FF000000"/>
        <rFont val="SimSun"/>
        <family val="0"/>
        <charset val="1"/>
      </rPr>
      <t xml:space="preserve">15%</t>
    </r>
  </si>
  <si>
    <r>
      <rPr>
        <sz val="11"/>
        <color rgb="FF000000"/>
        <rFont val="AR PL SungtiL GB"/>
        <family val="2"/>
      </rPr>
      <t xml:space="preserve">选择目标时间下降</t>
    </r>
    <r>
      <rPr>
        <sz val="11"/>
        <color rgb="FF000000"/>
        <rFont val="SimSun"/>
        <family val="0"/>
        <charset val="1"/>
      </rPr>
      <t xml:space="preserve">30%</t>
    </r>
  </si>
  <si>
    <r>
      <rPr>
        <sz val="11"/>
        <color rgb="FF000000"/>
        <rFont val="AR PL SungtiL GB"/>
        <family val="2"/>
      </rPr>
      <t xml:space="preserve">闪避率提升</t>
    </r>
    <r>
      <rPr>
        <sz val="11"/>
        <color rgb="FF000000"/>
        <rFont val="SimSun"/>
        <family val="0"/>
        <charset val="1"/>
      </rPr>
      <t xml:space="preserve">8%</t>
    </r>
  </si>
  <si>
    <r>
      <rPr>
        <sz val="11"/>
        <color rgb="FF000000"/>
        <rFont val="AR PL SungtiL GB"/>
        <family val="2"/>
      </rPr>
      <t xml:space="preserve">被导弹命中率下降</t>
    </r>
    <r>
      <rPr>
        <sz val="11"/>
        <color rgb="FF000000"/>
        <rFont val="SimSun"/>
        <family val="0"/>
        <charset val="1"/>
      </rPr>
      <t xml:space="preserve">15%</t>
    </r>
  </si>
  <si>
    <r>
      <rPr>
        <sz val="11"/>
        <color rgb="FF000000"/>
        <rFont val="AR PL SungtiL GB"/>
        <family val="2"/>
      </rPr>
      <t xml:space="preserve">命中率提升</t>
    </r>
    <r>
      <rPr>
        <sz val="11"/>
        <color rgb="FF000000"/>
        <rFont val="SimSun"/>
        <family val="0"/>
        <charset val="1"/>
      </rPr>
      <t xml:space="preserve">15%</t>
    </r>
  </si>
  <si>
    <t xml:space="preserve">时间（秒）</t>
  </si>
  <si>
    <t xml:space="preserve">特殊提升</t>
  </si>
  <si>
    <t xml:space="preserve">总体</t>
  </si>
  <si>
    <t xml:space="preserve">强化效果（技术值）</t>
  </si>
  <si>
    <t xml:space="preserve">系统名</t>
  </si>
  <si>
    <t xml:space="preserve">系统结构值</t>
  </si>
  <si>
    <t xml:space="preserve">强化槽</t>
  </si>
  <si>
    <t xml:space="preserve">强化项</t>
  </si>
  <si>
    <t xml:space="preserve">技术值</t>
  </si>
  <si>
    <t xml:space="preserve">触发点</t>
  </si>
  <si>
    <t xml:space="preserve">触发一次</t>
  </si>
  <si>
    <t xml:space="preserve">循环</t>
  </si>
  <si>
    <t xml:space="preserve">持续</t>
  </si>
  <si>
    <t xml:space="preserve">冷却</t>
  </si>
  <si>
    <t xml:space="preserve">作用</t>
  </si>
  <si>
    <t xml:space="preserve">强化效果</t>
  </si>
  <si>
    <t xml:space="preserve">总技术值</t>
  </si>
  <si>
    <t xml:space="preserve">数量</t>
  </si>
  <si>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级</t>
    </r>
  </si>
  <si>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级</t>
    </r>
  </si>
  <si>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级</t>
    </r>
  </si>
  <si>
    <r>
      <rPr>
        <sz val="11"/>
        <color rgb="FF000000"/>
        <rFont val="SimSun"/>
        <family val="0"/>
        <charset val="1"/>
      </rPr>
      <t xml:space="preserve">4</t>
    </r>
    <r>
      <rPr>
        <sz val="11"/>
        <color rgb="FF000000"/>
        <rFont val="AR PL SungtiL GB"/>
        <family val="2"/>
      </rPr>
      <t xml:space="preserve">级</t>
    </r>
  </si>
  <si>
    <r>
      <rPr>
        <sz val="11"/>
        <color rgb="FF000000"/>
        <rFont val="SimSun"/>
        <family val="0"/>
        <charset val="1"/>
      </rPr>
      <t xml:space="preserve">15%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6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</si>
  <si>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5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</si>
  <si>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7.5%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</si>
  <si>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</si>
  <si>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22.5%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</si>
  <si>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</si>
  <si>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</si>
  <si>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4%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</si>
  <si>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6%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</si>
  <si>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8%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</si>
  <si>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3.7%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</si>
  <si>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11.2%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</si>
  <si>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AR PL SungtiL GB"/>
        <family val="2"/>
      </rPr>
      <t xml:space="preserve">维塔斯</t>
    </r>
    <r>
      <rPr>
        <sz val="11"/>
        <color rgb="FF000000"/>
        <rFont val="SimSun"/>
        <family val="0"/>
        <charset val="1"/>
      </rPr>
      <t xml:space="preserve">-B010</t>
    </r>
  </si>
  <si>
    <r>
      <rPr>
        <sz val="11"/>
        <color rgb="FF000000"/>
        <rFont val="SimSun"/>
        <family val="0"/>
        <charset val="1"/>
      </rPr>
      <t xml:space="preserve">7.5%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</si>
  <si>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</si>
  <si>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</si>
  <si>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4%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</si>
  <si>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3.7%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</si>
  <si>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t xml:space="preserve">高速动力系统</t>
  </si>
  <si>
    <r>
      <rPr>
        <sz val="11"/>
        <color rgb="FF000000"/>
        <rFont val="SimSun"/>
        <family val="0"/>
        <charset val="1"/>
      </rPr>
      <t xml:space="preserve">22.5%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</si>
  <si>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</si>
  <si>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6%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</si>
  <si>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8%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</si>
  <si>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</si>
  <si>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</si>
  <si>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t xml:space="preserve">机动规避</t>
  </si>
  <si>
    <r>
      <rPr>
        <sz val="11"/>
        <color rgb="FF000000"/>
        <rFont val="AR PL SungtiL GB"/>
        <family val="2"/>
      </rPr>
      <t xml:space="preserve">自身结构比例降至</t>
    </r>
    <r>
      <rPr>
        <sz val="11"/>
        <color rgb="FF000000"/>
        <rFont val="SimSun"/>
        <family val="0"/>
        <charset val="1"/>
      </rPr>
      <t xml:space="preserve">20%</t>
    </r>
  </si>
  <si>
    <r>
      <rPr>
        <sz val="11"/>
        <color rgb="FF000000"/>
        <rFont val="AR PL SungtiL GB"/>
        <family val="2"/>
      </rPr>
      <t xml:space="preserve">舰船闪避率提升</t>
    </r>
    <r>
      <rPr>
        <sz val="11"/>
        <color rgb="FF000000"/>
        <rFont val="SimSun"/>
        <family val="0"/>
        <charset val="1"/>
      </rPr>
      <t xml:space="preserve">50%</t>
    </r>
    <r>
      <rPr>
        <sz val="11"/>
        <color rgb="FF000000"/>
        <rFont val="AR PL SungtiL GB"/>
        <family val="2"/>
      </rPr>
      <t xml:space="preserve">。</t>
    </r>
  </si>
  <si>
    <t xml:space="preserve">航行电脑强化</t>
  </si>
  <si>
    <r>
      <rPr>
        <sz val="11"/>
        <color rgb="FF000000"/>
        <rFont val="AR PL SungtiL GB"/>
        <family val="2"/>
      </rPr>
      <t xml:space="preserve">巡航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曲率速度</t>
    </r>
    <r>
      <rPr>
        <sz val="11"/>
        <color rgb="FF000000"/>
        <rFont val="SimSun"/>
        <family val="0"/>
        <charset val="1"/>
      </rPr>
      <t xml:space="preserve">+7%</t>
    </r>
  </si>
  <si>
    <t xml:space="preserve">舰船规避姿态</t>
  </si>
  <si>
    <t xml:space="preserve">站位调整为后排</t>
  </si>
  <si>
    <r>
      <rPr>
        <sz val="11"/>
        <color rgb="FF000000"/>
        <rFont val="SimSun"/>
        <family val="0"/>
        <charset val="1"/>
      </rPr>
      <t xml:space="preserve">2.6%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</si>
  <si>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5.3%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</si>
  <si>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t xml:space="preserve">加力引擎系统</t>
  </si>
  <si>
    <r>
      <rPr>
        <sz val="11"/>
        <color rgb="FF000000"/>
        <rFont val="SimSun"/>
        <family val="0"/>
        <charset val="1"/>
      </rPr>
      <t xml:space="preserve">6%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</si>
  <si>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8%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</si>
  <si>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AR PL SungtiL GB"/>
        <family val="2"/>
      </rPr>
      <t xml:space="preserve">舰船闪避率提升</t>
    </r>
    <r>
      <rPr>
        <sz val="11"/>
        <color rgb="FF000000"/>
        <rFont val="SimSun"/>
        <family val="0"/>
        <charset val="1"/>
      </rPr>
      <t xml:space="preserve">40%</t>
    </r>
    <r>
      <rPr>
        <sz val="11"/>
        <color rgb="FF000000"/>
        <rFont val="AR PL SungtiL GB"/>
        <family val="2"/>
      </rPr>
      <t xml:space="preserve">。</t>
    </r>
  </si>
  <si>
    <r>
      <rPr>
        <sz val="11"/>
        <rFont val="AR PL SungtiL GB"/>
        <family val="2"/>
      </rPr>
      <t xml:space="preserve">阋神星</t>
    </r>
    <r>
      <rPr>
        <sz val="11"/>
        <rFont val="SimSun"/>
        <family val="0"/>
        <charset val="1"/>
      </rPr>
      <t xml:space="preserve">I</t>
    </r>
    <r>
      <rPr>
        <sz val="11"/>
        <rFont val="AR PL SungtiL GB"/>
        <family val="2"/>
      </rPr>
      <t xml:space="preserve">级</t>
    </r>
  </si>
  <si>
    <r>
      <rPr>
        <sz val="11"/>
        <color rgb="FF000000"/>
        <rFont val="SimSun"/>
        <family val="0"/>
        <charset val="1"/>
      </rPr>
      <t xml:space="preserve">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</si>
  <si>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</si>
  <si>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t xml:space="preserve">附加动力系统</t>
  </si>
  <si>
    <r>
      <rPr>
        <sz val="11"/>
        <rFont val="SimSun"/>
        <family val="0"/>
        <charset val="1"/>
      </rPr>
      <t xml:space="preserve">CAS066</t>
    </r>
    <r>
      <rPr>
        <sz val="11"/>
        <rFont val="AR PL SungtiL GB"/>
        <family val="2"/>
      </rPr>
      <t xml:space="preserve">级</t>
    </r>
  </si>
  <si>
    <t xml:space="preserve">名字：龙骨结构增强、焊接工艺强化</t>
  </si>
  <si>
    <t xml:space="preserve">名字：装甲刚性强化、装甲淬火处理</t>
  </si>
  <si>
    <t xml:space="preserve">名字：装甲能量涂层</t>
  </si>
  <si>
    <t xml:space="preserve">名字：重点防爆强化</t>
  </si>
  <si>
    <r>
      <rPr>
        <sz val="11"/>
        <color rgb="FF000000"/>
        <rFont val="AR PL SungtiL GB"/>
        <family val="2"/>
      </rPr>
      <t xml:space="preserve">结构值提升</t>
    </r>
    <r>
      <rPr>
        <sz val="11"/>
        <color rgb="FF000000"/>
        <rFont val="SimSun"/>
        <family val="0"/>
        <charset val="1"/>
      </rPr>
      <t xml:space="preserve">10%</t>
    </r>
  </si>
  <si>
    <t xml:space="preserve">抵抗伤害提高</t>
  </si>
  <si>
    <r>
      <rPr>
        <sz val="11"/>
        <color rgb="FF000000"/>
        <rFont val="AR PL SungtiL GB"/>
        <family val="2"/>
      </rPr>
      <t xml:space="preserve">护盾值提高</t>
    </r>
    <r>
      <rPr>
        <sz val="11"/>
        <color rgb="FF000000"/>
        <rFont val="SimSun"/>
        <family val="0"/>
        <charset val="1"/>
      </rPr>
      <t xml:space="preserve">10%</t>
    </r>
  </si>
  <si>
    <r>
      <rPr>
        <sz val="11"/>
        <color rgb="FF000000"/>
        <rFont val="AR PL SungtiL GB"/>
        <family val="2"/>
      </rPr>
      <t xml:space="preserve">受到暴击伤害下降</t>
    </r>
    <r>
      <rPr>
        <sz val="11"/>
        <color rgb="FF000000"/>
        <rFont val="SimSun"/>
        <family val="0"/>
        <charset val="1"/>
      </rPr>
      <t xml:space="preserve">30%</t>
    </r>
  </si>
  <si>
    <r>
      <rPr>
        <sz val="11"/>
        <color rgb="FF000000"/>
        <rFont val="AR PL SungtiL GB"/>
        <family val="2"/>
      </rPr>
      <t xml:space="preserve">主系统结构值提升</t>
    </r>
    <r>
      <rPr>
        <sz val="11"/>
        <color rgb="FF000000"/>
        <rFont val="SimSun"/>
        <family val="0"/>
        <charset val="1"/>
      </rPr>
      <t xml:space="preserve">30%</t>
    </r>
  </si>
  <si>
    <r>
      <rPr>
        <sz val="11"/>
        <color rgb="FF000000"/>
        <rFont val="AR PL SungtiL GB"/>
        <family val="2"/>
      </rPr>
      <t xml:space="preserve">主系统受到暴击伤害下降</t>
    </r>
    <r>
      <rPr>
        <sz val="11"/>
        <color rgb="FF000000"/>
        <rFont val="SimSun"/>
        <family val="0"/>
        <charset val="1"/>
      </rPr>
      <t xml:space="preserve">30%</t>
    </r>
  </si>
  <si>
    <r>
      <rPr>
        <sz val="11"/>
        <color rgb="FF000000"/>
        <rFont val="AR PL SungtiL GB"/>
        <family val="2"/>
      </rPr>
      <t xml:space="preserve">被直射武器命中率下降</t>
    </r>
    <r>
      <rPr>
        <sz val="11"/>
        <color rgb="FF000000"/>
        <rFont val="SimSun"/>
        <family val="0"/>
        <charset val="1"/>
      </rPr>
      <t xml:space="preserve">15%</t>
    </r>
  </si>
  <si>
    <r>
      <rPr>
        <sz val="11"/>
        <color rgb="FF000000"/>
        <rFont val="AR PL SungtiL GB"/>
        <family val="2"/>
      </rPr>
      <t xml:space="preserve">被导弹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鱼雷命中率下降</t>
    </r>
    <r>
      <rPr>
        <sz val="11"/>
        <color rgb="FF000000"/>
        <rFont val="SimSun"/>
        <family val="0"/>
        <charset val="1"/>
      </rPr>
      <t xml:space="preserve">15%/25%</t>
    </r>
  </si>
  <si>
    <r>
      <rPr>
        <sz val="11"/>
        <color rgb="FF000000"/>
        <rFont val="AR PL SungtiL GB"/>
        <family val="2"/>
      </rPr>
      <t xml:space="preserve">敌方锁定时间提升</t>
    </r>
    <r>
      <rPr>
        <sz val="11"/>
        <color rgb="FF000000"/>
        <rFont val="SimSun"/>
        <family val="0"/>
        <charset val="1"/>
      </rPr>
      <t xml:space="preserve">40%</t>
    </r>
  </si>
  <si>
    <r>
      <rPr>
        <sz val="11"/>
        <color rgb="FF000000"/>
        <rFont val="AR PL SungtiL GB"/>
        <family val="2"/>
      </rPr>
      <t xml:space="preserve">战机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护航艇命中率提升</t>
    </r>
    <r>
      <rPr>
        <sz val="11"/>
        <color rgb="FF000000"/>
        <rFont val="SimSun"/>
        <family val="0"/>
        <charset val="1"/>
      </rPr>
      <t xml:space="preserve">15%</t>
    </r>
  </si>
  <si>
    <t xml:space="preserve">舰船遭受</t>
  </si>
  <si>
    <t xml:space="preserve">系统代号</t>
  </si>
  <si>
    <t xml:space="preserve">预装</t>
  </si>
  <si>
    <t xml:space="preserve">舰船结构值</t>
  </si>
  <si>
    <t xml:space="preserve">物理伤害</t>
  </si>
  <si>
    <t xml:space="preserve">能量伤害</t>
  </si>
  <si>
    <t xml:space="preserve">暴击伤害</t>
  </si>
  <si>
    <r>
      <rPr>
        <sz val="11"/>
        <color rgb="FF000000"/>
        <rFont val="SimSun"/>
        <family val="0"/>
        <charset val="1"/>
      </rPr>
      <t xml:space="preserve">5</t>
    </r>
    <r>
      <rPr>
        <sz val="11"/>
        <color rgb="FF000000"/>
        <rFont val="AR PL SungtiL GB"/>
        <family val="2"/>
      </rPr>
      <t xml:space="preserve">级</t>
    </r>
  </si>
  <si>
    <t xml:space="preserve">最高效果（总技术值）</t>
  </si>
  <si>
    <r>
      <rPr>
        <sz val="11"/>
        <color rgb="FF000000"/>
        <rFont val="SimSun"/>
        <family val="0"/>
        <charset val="1"/>
      </rPr>
      <t xml:space="preserve">3%/5%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</si>
  <si>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6%/10%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</si>
  <si>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9%/15%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</si>
  <si>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12%/20%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</si>
  <si>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15%/25%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</si>
  <si>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16%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</si>
  <si>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24%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</si>
  <si>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</si>
  <si>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40%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</si>
  <si>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t xml:space="preserve">复合装甲系统</t>
  </si>
  <si>
    <r>
      <rPr>
        <sz val="11"/>
        <color rgb="FF000000"/>
        <rFont val="SimSun"/>
        <family val="0"/>
        <charset val="1"/>
      </rPr>
      <t xml:space="preserve">3%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</si>
  <si>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9%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</si>
  <si>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</si>
  <si>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</si>
  <si>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</si>
  <si>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</si>
  <si>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</si>
  <si>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15%/25%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</si>
  <si>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5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</si>
  <si>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0.6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</si>
  <si>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1.2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</si>
  <si>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1.8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</si>
  <si>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2.4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</si>
  <si>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8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</si>
  <si>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</si>
  <si>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</si>
  <si>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18%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</si>
  <si>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24%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</si>
  <si>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9%/15%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</si>
  <si>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12%/20%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</si>
  <si>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3.3%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</si>
  <si>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6.6%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</si>
  <si>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</si>
  <si>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MS</t>
    </r>
    <r>
      <rPr>
        <sz val="11"/>
        <color rgb="FF000000"/>
        <rFont val="AR PL SungtiL GB"/>
        <family val="2"/>
      </rPr>
      <t xml:space="preserve">强化装甲系统</t>
    </r>
  </si>
  <si>
    <r>
      <rPr>
        <sz val="11"/>
        <color rgb="FF000000"/>
        <rFont val="SimSun"/>
        <family val="0"/>
        <charset val="1"/>
      </rPr>
      <t xml:space="preserve">1.8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</si>
  <si>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2.4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</si>
  <si>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</si>
  <si>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8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8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</si>
  <si>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</si>
  <si>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4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</si>
  <si>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6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</si>
  <si>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8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</si>
  <si>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30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6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</si>
  <si>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6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</si>
  <si>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12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</si>
  <si>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18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</si>
  <si>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24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</si>
  <si>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30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</si>
  <si>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18%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</si>
  <si>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75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8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</si>
  <si>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15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</si>
  <si>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30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</si>
  <si>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45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</si>
  <si>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60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</si>
  <si>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75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</si>
  <si>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t xml:space="preserve">附加装甲系统</t>
  </si>
  <si>
    <t xml:space="preserve">C2</t>
  </si>
  <si>
    <t xml:space="preserve">否</t>
  </si>
  <si>
    <t xml:space="preserve">重点防护系统</t>
  </si>
  <si>
    <t xml:space="preserve">D2</t>
  </si>
  <si>
    <t xml:space="preserve">能量补偿装甲系统</t>
  </si>
  <si>
    <t xml:space="preserve">C3</t>
  </si>
  <si>
    <t xml:space="preserve">舰船突进姿态</t>
  </si>
  <si>
    <t xml:space="preserve">站位调整为前排</t>
  </si>
  <si>
    <t xml:space="preserve">C1</t>
  </si>
  <si>
    <t xml:space="preserve">电磁装甲系统</t>
  </si>
  <si>
    <t xml:space="preserve">防卫重型装甲系统</t>
  </si>
  <si>
    <t xml:space="preserve">名字：炮管强化、弹药强化</t>
  </si>
  <si>
    <t xml:space="preserve">名字：对空雷达强化</t>
  </si>
  <si>
    <t xml:space="preserve">武器特殊能力</t>
  </si>
  <si>
    <r>
      <rPr>
        <sz val="11"/>
        <color rgb="FF000000"/>
        <rFont val="AR PL SungtiL GB"/>
        <family val="2"/>
      </rPr>
      <t xml:space="preserve">系统结构值提升</t>
    </r>
    <r>
      <rPr>
        <sz val="11"/>
        <color rgb="FF000000"/>
        <rFont val="SimSun"/>
        <family val="0"/>
        <charset val="1"/>
      </rPr>
      <t xml:space="preserve">35%</t>
    </r>
  </si>
  <si>
    <r>
      <rPr>
        <sz val="11"/>
        <color rgb="FF000000"/>
        <rFont val="AR PL SungtiL GB"/>
        <family val="2"/>
      </rPr>
      <t xml:space="preserve">系统受到暴击伤害下降</t>
    </r>
    <r>
      <rPr>
        <sz val="11"/>
        <color rgb="FF000000"/>
        <rFont val="SimSun"/>
        <family val="0"/>
        <charset val="1"/>
      </rPr>
      <t xml:space="preserve">30%</t>
    </r>
  </si>
  <si>
    <r>
      <rPr>
        <sz val="11"/>
        <color rgb="FF000000"/>
        <rFont val="AR PL SungtiL GB"/>
        <family val="2"/>
      </rPr>
      <t xml:space="preserve">获得拦截效果，导弹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鱼雷拦截率</t>
    </r>
    <r>
      <rPr>
        <sz val="11"/>
        <color rgb="FF000000"/>
        <rFont val="SimSun"/>
        <family val="0"/>
        <charset val="1"/>
      </rPr>
      <t xml:space="preserve">2%</t>
    </r>
  </si>
  <si>
    <r>
      <rPr>
        <sz val="11"/>
        <color rgb="FF000000"/>
        <rFont val="AR PL SungtiL GB"/>
        <family val="2"/>
      </rPr>
      <t xml:space="preserve">导弹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鱼雷拦截率提升</t>
    </r>
    <r>
      <rPr>
        <sz val="11"/>
        <color rgb="FF000000"/>
        <rFont val="SimSun"/>
        <family val="0"/>
        <charset val="1"/>
      </rPr>
      <t xml:space="preserve">25%</t>
    </r>
  </si>
  <si>
    <r>
      <rPr>
        <sz val="11"/>
        <color rgb="FF000000"/>
        <rFont val="AR PL SungtiL GB"/>
        <family val="2"/>
      </rPr>
      <t xml:space="preserve">导弹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鱼雷被拦截率下降</t>
    </r>
    <r>
      <rPr>
        <sz val="11"/>
        <color rgb="FF000000"/>
        <rFont val="SimSun"/>
        <family val="0"/>
        <charset val="1"/>
      </rPr>
      <t xml:space="preserve">30%</t>
    </r>
  </si>
  <si>
    <r>
      <rPr>
        <sz val="11"/>
        <color rgb="FF000000"/>
        <rFont val="AR PL SungtiL GB"/>
        <family val="2"/>
      </rPr>
      <t xml:space="preserve">获得暴击，暴击伤害</t>
    </r>
    <r>
      <rPr>
        <sz val="11"/>
        <color rgb="FF000000"/>
        <rFont val="SimSun"/>
        <family val="0"/>
        <charset val="1"/>
      </rPr>
      <t xml:space="preserve">50%</t>
    </r>
  </si>
  <si>
    <r>
      <rPr>
        <sz val="11"/>
        <color rgb="FF000000"/>
        <rFont val="AR PL SungtiL GB"/>
        <family val="2"/>
      </rPr>
      <t xml:space="preserve">暴击伤害提升</t>
    </r>
    <r>
      <rPr>
        <sz val="11"/>
        <color rgb="FF000000"/>
        <rFont val="SimSun"/>
        <family val="0"/>
        <charset val="1"/>
      </rPr>
      <t xml:space="preserve">40%</t>
    </r>
  </si>
  <si>
    <r>
      <rPr>
        <sz val="11"/>
        <color rgb="FF000000"/>
        <rFont val="AR PL SungtiL GB"/>
        <family val="2"/>
      </rPr>
      <t xml:space="preserve">火炮伤害提升</t>
    </r>
    <r>
      <rPr>
        <sz val="11"/>
        <color rgb="FF000000"/>
        <rFont val="SimSun"/>
        <family val="0"/>
        <charset val="1"/>
      </rPr>
      <t xml:space="preserve">10%</t>
    </r>
  </si>
  <si>
    <r>
      <rPr>
        <sz val="11"/>
        <color rgb="FF000000"/>
        <rFont val="AR PL SungtiL GB"/>
        <family val="2"/>
      </rPr>
      <t xml:space="preserve">轨道炮伤害提升</t>
    </r>
    <r>
      <rPr>
        <sz val="11"/>
        <color rgb="FF000000"/>
        <rFont val="SimSun"/>
        <family val="0"/>
        <charset val="1"/>
      </rPr>
      <t xml:space="preserve">10%</t>
    </r>
  </si>
  <si>
    <r>
      <rPr>
        <sz val="11"/>
        <color rgb="FF000000"/>
        <rFont val="AR PL SungtiL GB"/>
        <family val="2"/>
      </rPr>
      <t xml:space="preserve">导弹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鱼雷伤害提升</t>
    </r>
    <r>
      <rPr>
        <sz val="11"/>
        <color rgb="FF000000"/>
        <rFont val="SimSun"/>
        <family val="0"/>
        <charset val="1"/>
      </rPr>
      <t xml:space="preserve">10%</t>
    </r>
  </si>
  <si>
    <r>
      <rPr>
        <sz val="11"/>
        <color rgb="FF000000"/>
        <rFont val="AR PL SungtiL GB"/>
        <family val="2"/>
      </rPr>
      <t xml:space="preserve">脉冲炮伤害提升</t>
    </r>
    <r>
      <rPr>
        <sz val="11"/>
        <color rgb="FF000000"/>
        <rFont val="SimSun"/>
        <family val="0"/>
        <charset val="1"/>
      </rPr>
      <t xml:space="preserve">10%</t>
    </r>
  </si>
  <si>
    <r>
      <rPr>
        <sz val="11"/>
        <color rgb="FF000000"/>
        <rFont val="AR PL SungtiL GB"/>
        <family val="2"/>
      </rPr>
      <t xml:space="preserve">离子炮伤害提升</t>
    </r>
    <r>
      <rPr>
        <sz val="11"/>
        <color rgb="FF000000"/>
        <rFont val="SimSun"/>
        <family val="0"/>
        <charset val="1"/>
      </rPr>
      <t xml:space="preserve">10%</t>
    </r>
  </si>
  <si>
    <r>
      <rPr>
        <sz val="11"/>
        <color rgb="FF000000"/>
        <rFont val="AR PL SungtiL GB"/>
        <family val="2"/>
      </rPr>
      <t xml:space="preserve">等离子伤害提升</t>
    </r>
    <r>
      <rPr>
        <sz val="11"/>
        <color rgb="FF000000"/>
        <rFont val="SimSun"/>
        <family val="0"/>
        <charset val="1"/>
      </rPr>
      <t xml:space="preserve">10%</t>
    </r>
  </si>
  <si>
    <r>
      <rPr>
        <sz val="11"/>
        <color rgb="FF000000"/>
        <rFont val="AR PL SungtiL GB"/>
        <family val="2"/>
      </rPr>
      <t xml:space="preserve">防空伤害提升</t>
    </r>
    <r>
      <rPr>
        <sz val="11"/>
        <color rgb="FF000000"/>
        <rFont val="SimSun"/>
        <family val="0"/>
        <charset val="1"/>
      </rPr>
      <t xml:space="preserve">20%</t>
    </r>
  </si>
  <si>
    <r>
      <rPr>
        <sz val="11"/>
        <color rgb="FF000000"/>
        <rFont val="AR PL SungtiL GB"/>
        <family val="2"/>
      </rPr>
      <t xml:space="preserve">攻城伤害提升</t>
    </r>
    <r>
      <rPr>
        <sz val="11"/>
        <color rgb="FF000000"/>
        <rFont val="SimSun"/>
        <family val="0"/>
        <charset val="1"/>
      </rPr>
      <t xml:space="preserve">30%</t>
    </r>
  </si>
  <si>
    <t xml:space="preserve">持续时间下降</t>
  </si>
  <si>
    <r>
      <rPr>
        <sz val="11"/>
        <color rgb="FF000000"/>
        <rFont val="AR PL SungtiL GB"/>
        <family val="2"/>
      </rPr>
      <t xml:space="preserve">冷却时间下降</t>
    </r>
    <r>
      <rPr>
        <sz val="11"/>
        <color rgb="FF000000"/>
        <rFont val="SimSun"/>
        <family val="0"/>
        <charset val="1"/>
      </rPr>
      <t xml:space="preserve">15%</t>
    </r>
  </si>
  <si>
    <r>
      <rPr>
        <sz val="11"/>
        <color rgb="FF000000"/>
        <rFont val="AR PL SungtiL GB"/>
        <family val="2"/>
      </rPr>
      <t xml:space="preserve">冷却时间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命中率下降</t>
    </r>
    <r>
      <rPr>
        <sz val="11"/>
        <color rgb="FF000000"/>
        <rFont val="SimSun"/>
        <family val="0"/>
        <charset val="1"/>
      </rPr>
      <t xml:space="preserve">40%/15%</t>
    </r>
  </si>
  <si>
    <r>
      <rPr>
        <sz val="11"/>
        <color rgb="FF000000"/>
        <rFont val="AR PL SungtiL GB"/>
        <family val="2"/>
      </rPr>
      <t xml:space="preserve">火炮命中率提升</t>
    </r>
    <r>
      <rPr>
        <sz val="11"/>
        <color rgb="FF000000"/>
        <rFont val="SimSun"/>
        <family val="0"/>
        <charset val="1"/>
      </rPr>
      <t xml:space="preserve">10%</t>
    </r>
  </si>
  <si>
    <r>
      <rPr>
        <sz val="11"/>
        <color rgb="FF000000"/>
        <rFont val="AR PL SungtiL GB"/>
        <family val="2"/>
      </rPr>
      <t xml:space="preserve">轨道炮命中率提升</t>
    </r>
    <r>
      <rPr>
        <sz val="11"/>
        <color rgb="FF000000"/>
        <rFont val="SimSun"/>
        <family val="0"/>
        <charset val="1"/>
      </rPr>
      <t xml:space="preserve">10%</t>
    </r>
  </si>
  <si>
    <r>
      <rPr>
        <sz val="11"/>
        <color rgb="FF000000"/>
        <rFont val="AR PL SungtiL GB"/>
        <family val="2"/>
      </rPr>
      <t xml:space="preserve">导弹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鱼雷命中率提升</t>
    </r>
    <r>
      <rPr>
        <sz val="11"/>
        <color rgb="FF000000"/>
        <rFont val="SimSun"/>
        <family val="0"/>
        <charset val="1"/>
      </rPr>
      <t xml:space="preserve">10%</t>
    </r>
  </si>
  <si>
    <r>
      <rPr>
        <sz val="11"/>
        <color rgb="FF000000"/>
        <rFont val="AR PL SungtiL GB"/>
        <family val="2"/>
      </rPr>
      <t xml:space="preserve">导弹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鱼雷命中率提升</t>
    </r>
    <r>
      <rPr>
        <sz val="11"/>
        <color rgb="FF000000"/>
        <rFont val="SimSun"/>
        <family val="0"/>
        <charset val="1"/>
      </rPr>
      <t xml:space="preserve">8%/10%</t>
    </r>
  </si>
  <si>
    <r>
      <rPr>
        <sz val="11"/>
        <color rgb="FF000000"/>
        <rFont val="AR PL SungtiL GB"/>
        <family val="2"/>
      </rPr>
      <t xml:space="preserve">脉冲炮命中率提升</t>
    </r>
    <r>
      <rPr>
        <sz val="11"/>
        <color rgb="FF000000"/>
        <rFont val="SimSun"/>
        <family val="0"/>
        <charset val="1"/>
      </rPr>
      <t xml:space="preserve">10%</t>
    </r>
  </si>
  <si>
    <r>
      <rPr>
        <sz val="11"/>
        <color rgb="FF000000"/>
        <rFont val="AR PL SungtiL GB"/>
        <family val="2"/>
      </rPr>
      <t xml:space="preserve">离子炮命中率提升</t>
    </r>
    <r>
      <rPr>
        <sz val="11"/>
        <color rgb="FF000000"/>
        <rFont val="SimSun"/>
        <family val="0"/>
        <charset val="1"/>
      </rPr>
      <t xml:space="preserve">10%</t>
    </r>
  </si>
  <si>
    <r>
      <rPr>
        <sz val="11"/>
        <color rgb="FF000000"/>
        <rFont val="AR PL SungtiL GB"/>
        <family val="2"/>
      </rPr>
      <t xml:space="preserve">护卫舰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驱逐舰命中率提升</t>
    </r>
    <r>
      <rPr>
        <sz val="11"/>
        <color rgb="FF000000"/>
        <rFont val="SimSun"/>
        <family val="0"/>
        <charset val="1"/>
      </rPr>
      <t xml:space="preserve">15%</t>
    </r>
  </si>
  <si>
    <r>
      <rPr>
        <sz val="11"/>
        <color rgb="FF000000"/>
        <rFont val="AR PL SungtiL GB"/>
        <family val="2"/>
      </rPr>
      <t xml:space="preserve">巡洋舰及以上命中率提升</t>
    </r>
    <r>
      <rPr>
        <sz val="11"/>
        <color rgb="FF000000"/>
        <rFont val="SimSun"/>
        <family val="0"/>
        <charset val="1"/>
      </rPr>
      <t xml:space="preserve">15%</t>
    </r>
  </si>
  <si>
    <t xml:space="preserve">武器类型</t>
  </si>
  <si>
    <r>
      <rPr>
        <sz val="11"/>
        <color rgb="FF000000"/>
        <rFont val="AR PL SungtiL GB"/>
        <family val="2"/>
      </rPr>
      <t xml:space="preserve">防空支援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防空范围</t>
    </r>
  </si>
  <si>
    <r>
      <rPr>
        <sz val="11"/>
        <color rgb="FF000000"/>
        <rFont val="AR PL SungtiL GB"/>
        <family val="2"/>
      </rPr>
      <t xml:space="preserve">护甲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护盾穿透</t>
    </r>
  </si>
  <si>
    <t xml:space="preserve">主系统</t>
  </si>
  <si>
    <t xml:space="preserve">主</t>
  </si>
  <si>
    <t xml:space="preserve">副</t>
  </si>
  <si>
    <t xml:space="preserve">三</t>
  </si>
  <si>
    <t xml:space="preserve">攻击主武器</t>
  </si>
  <si>
    <t xml:space="preserve">任意位置</t>
  </si>
  <si>
    <t xml:space="preserve">我方舰船</t>
  </si>
  <si>
    <t xml:space="preserve">同一排</t>
  </si>
  <si>
    <t xml:space="preserve">被动反击</t>
  </si>
  <si>
    <t xml:space="preserve">拦截效果</t>
  </si>
  <si>
    <t xml:space="preserve">暴击</t>
  </si>
  <si>
    <t xml:space="preserve">超主力舰</t>
  </si>
  <si>
    <t xml:space="preserve">综合武器库</t>
  </si>
  <si>
    <t xml:space="preserve">A1</t>
  </si>
  <si>
    <t xml:space="preserve">士气鼓舞</t>
  </si>
  <si>
    <t xml:space="preserve">敌方损失巡洋舰</t>
  </si>
  <si>
    <r>
      <rPr>
        <sz val="11"/>
        <color rgb="FF000000"/>
        <rFont val="AR PL SungtiL GB"/>
        <family val="2"/>
      </rPr>
      <t xml:space="preserve">系统内武器冷却时间下降</t>
    </r>
    <r>
      <rPr>
        <sz val="11"/>
        <color rgb="FF000000"/>
        <rFont val="SimSun"/>
        <family val="0"/>
        <charset val="1"/>
      </rPr>
      <t xml:space="preserve">85%</t>
    </r>
    <r>
      <rPr>
        <sz val="11"/>
        <color rgb="FF000000"/>
        <rFont val="AR PL SungtiL GB"/>
        <family val="2"/>
      </rPr>
      <t xml:space="preserve">。</t>
    </r>
  </si>
  <si>
    <r>
      <rPr>
        <sz val="11"/>
        <color rgb="FF000000"/>
        <rFont val="SimSun"/>
        <family val="0"/>
        <charset val="1"/>
      </rPr>
      <t xml:space="preserve">2.5%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</si>
  <si>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t xml:space="preserve">投射武器平台</t>
  </si>
  <si>
    <t xml:space="preserve">A2</t>
  </si>
  <si>
    <r>
      <rPr>
        <sz val="11"/>
        <color rgb="FF000000"/>
        <rFont val="SimSun"/>
        <family val="0"/>
        <charset val="1"/>
      </rPr>
      <t xml:space="preserve">8.7%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</si>
  <si>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17.5%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</si>
  <si>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26.2%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</si>
  <si>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</si>
  <si>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2%/2.5%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</si>
  <si>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4%/5%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</si>
  <si>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6%/7.5%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</si>
  <si>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8%/10%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</si>
  <si>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t xml:space="preserve">综合火炮平台</t>
  </si>
  <si>
    <t xml:space="preserve">A3</t>
  </si>
  <si>
    <t xml:space="preserve">防空导弹平台</t>
  </si>
  <si>
    <t xml:space="preserve">“龙式”火炮系统</t>
  </si>
  <si>
    <r>
      <rPr>
        <sz val="11"/>
        <color rgb="FF000000"/>
        <rFont val="SimSun"/>
        <family val="0"/>
        <charset val="1"/>
      </rPr>
      <t xml:space="preserve">3%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</si>
  <si>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9%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</si>
  <si>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</si>
  <si>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t xml:space="preserve">导弹防御系统</t>
  </si>
  <si>
    <t xml:space="preserve">B1</t>
  </si>
  <si>
    <t xml:space="preserve">鱼雷攻击系统</t>
  </si>
  <si>
    <r>
      <rPr>
        <sz val="11"/>
        <color rgb="FF000000"/>
        <rFont val="SimSun"/>
        <family val="0"/>
        <charset val="1"/>
      </rPr>
      <t xml:space="preserve">22.5%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</si>
  <si>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</si>
  <si>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12.5%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</si>
  <si>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</si>
  <si>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37.5%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</si>
  <si>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50%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</si>
  <si>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</si>
  <si>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</si>
  <si>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11.2%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</si>
  <si>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t xml:space="preserve">快速火炮系统</t>
  </si>
  <si>
    <r>
      <rPr>
        <sz val="11"/>
        <color rgb="FF000000"/>
        <rFont val="AR PL SungtiL GB"/>
        <family val="2"/>
      </rPr>
      <t xml:space="preserve">主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副</t>
    </r>
  </si>
  <si>
    <t xml:space="preserve">防空反应</t>
  </si>
  <si>
    <t xml:space="preserve">受到敌方战机攻击</t>
  </si>
  <si>
    <r>
      <rPr>
        <sz val="11"/>
        <color rgb="FF000000"/>
        <rFont val="AR PL SungtiL GB"/>
        <family val="2"/>
      </rPr>
      <t xml:space="preserve">冷却时间下降</t>
    </r>
    <r>
      <rPr>
        <sz val="11"/>
        <color rgb="FF000000"/>
        <rFont val="SimSun"/>
        <family val="0"/>
        <charset val="1"/>
      </rPr>
      <t xml:space="preserve">80%</t>
    </r>
    <r>
      <rPr>
        <sz val="11"/>
        <color rgb="FF000000"/>
        <rFont val="AR PL SungtiL GB"/>
        <family val="2"/>
      </rPr>
      <t xml:space="preserve">。</t>
    </r>
  </si>
  <si>
    <t xml:space="preserve">机载武器系统</t>
  </si>
  <si>
    <t xml:space="preserve">重点出击</t>
  </si>
  <si>
    <t xml:space="preserve">敌方包含航空母舰</t>
  </si>
  <si>
    <t xml:space="preserve">优先对其进行攻击。</t>
  </si>
  <si>
    <r>
      <rPr>
        <sz val="11"/>
        <color rgb="FF000000"/>
        <rFont val="SimSun"/>
        <family val="0"/>
        <charset val="1"/>
      </rPr>
      <t xml:space="preserve">40%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</si>
  <si>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50%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</si>
  <si>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rFont val="SimSun"/>
        <family val="0"/>
        <charset val="1"/>
      </rPr>
      <t xml:space="preserve">6%</t>
    </r>
    <r>
      <rPr>
        <sz val="11"/>
        <rFont val="AR PL SungtiL GB"/>
        <family val="2"/>
      </rPr>
      <t xml:space="preserve">（</t>
    </r>
    <r>
      <rPr>
        <sz val="11"/>
        <rFont val="SimSun"/>
        <family val="0"/>
        <charset val="1"/>
      </rPr>
      <t xml:space="preserve">1</t>
    </r>
    <r>
      <rPr>
        <sz val="11"/>
        <rFont val="AR PL SungtiL GB"/>
        <family val="2"/>
      </rPr>
      <t xml:space="preserve">）</t>
    </r>
  </si>
  <si>
    <r>
      <rPr>
        <sz val="11"/>
        <rFont val="SimSun"/>
        <family val="0"/>
        <charset val="1"/>
      </rPr>
      <t xml:space="preserve">12%</t>
    </r>
    <r>
      <rPr>
        <sz val="11"/>
        <rFont val="AR PL SungtiL GB"/>
        <family val="2"/>
      </rPr>
      <t xml:space="preserve">（</t>
    </r>
    <r>
      <rPr>
        <sz val="11"/>
        <rFont val="SimSun"/>
        <family val="0"/>
        <charset val="1"/>
      </rPr>
      <t xml:space="preserve">1</t>
    </r>
    <r>
      <rPr>
        <sz val="11"/>
        <rFont val="AR PL SungtiL GB"/>
        <family val="2"/>
      </rPr>
      <t xml:space="preserve">）</t>
    </r>
  </si>
  <si>
    <t xml:space="preserve">攻击导弹系统</t>
  </si>
  <si>
    <r>
      <rPr>
        <sz val="11"/>
        <color rgb="FF000000"/>
        <rFont val="SimSun"/>
        <family val="0"/>
        <charset val="1"/>
      </rPr>
      <t xml:space="preserve">6.6%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</si>
  <si>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t xml:space="preserve">脉冲炮</t>
  </si>
  <si>
    <r>
      <rPr>
        <sz val="11"/>
        <color rgb="FF000000"/>
        <rFont val="AR PL SungtiL GB"/>
        <family val="2"/>
      </rPr>
      <t xml:space="preserve">“风暴”</t>
    </r>
    <r>
      <rPr>
        <sz val="11"/>
        <color rgb="FF000000"/>
        <rFont val="SimSun"/>
        <family val="0"/>
        <charset val="1"/>
      </rPr>
      <t xml:space="preserve">MK0.1</t>
    </r>
    <r>
      <rPr>
        <sz val="11"/>
        <color rgb="FF000000"/>
        <rFont val="AR PL SungtiL GB"/>
        <family val="2"/>
      </rPr>
      <t xml:space="preserve">导弹系统</t>
    </r>
  </si>
  <si>
    <t xml:space="preserve">攻击鱼雷系统</t>
  </si>
  <si>
    <r>
      <rPr>
        <sz val="11"/>
        <color rgb="FF000000"/>
        <rFont val="SimSun"/>
        <family val="0"/>
        <charset val="1"/>
      </rPr>
      <t xml:space="preserve">24%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</si>
  <si>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</si>
  <si>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</si>
  <si>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2%/2.5%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</si>
  <si>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4%/5%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</si>
  <si>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6%/7.5%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</si>
  <si>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8%/10%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</si>
  <si>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t xml:space="preserve">重型弹药</t>
  </si>
  <si>
    <t xml:space="preserve">目标为巡洋舰</t>
  </si>
  <si>
    <r>
      <rPr>
        <sz val="11"/>
        <color rgb="FF000000"/>
        <rFont val="AR PL SungtiL GB"/>
        <family val="2"/>
      </rPr>
      <t xml:space="preserve">伤害提升</t>
    </r>
    <r>
      <rPr>
        <sz val="11"/>
        <color rgb="FF000000"/>
        <rFont val="SimSun"/>
        <family val="0"/>
        <charset val="1"/>
      </rPr>
      <t xml:space="preserve">60%</t>
    </r>
    <r>
      <rPr>
        <sz val="11"/>
        <color rgb="FF000000"/>
        <rFont val="AR PL SungtiL GB"/>
        <family val="2"/>
      </rPr>
      <t xml:space="preserve">，攻击时间延长</t>
    </r>
    <r>
      <rPr>
        <sz val="11"/>
        <color rgb="FF000000"/>
        <rFont val="SimSun"/>
        <family val="0"/>
        <charset val="1"/>
      </rPr>
      <t xml:space="preserve">30%</t>
    </r>
  </si>
  <si>
    <r>
      <rPr>
        <sz val="11"/>
        <color rgb="FF000000"/>
        <rFont val="SimSun"/>
        <family val="0"/>
        <charset val="1"/>
      </rPr>
      <t xml:space="preserve">20%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</si>
  <si>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16%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</si>
  <si>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</si>
  <si>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t xml:space="preserve">快速输出</t>
  </si>
  <si>
    <r>
      <rPr>
        <sz val="11"/>
        <color rgb="FF000000"/>
        <rFont val="AR PL SungtiL GB"/>
        <family val="2"/>
      </rPr>
      <t xml:space="preserve">缩短系统主武器</t>
    </r>
    <r>
      <rPr>
        <sz val="11"/>
        <color rgb="FF000000"/>
        <rFont val="SimSun"/>
        <family val="0"/>
        <charset val="1"/>
      </rPr>
      <t xml:space="preserve">80%</t>
    </r>
    <r>
      <rPr>
        <sz val="11"/>
        <color rgb="FF000000"/>
        <rFont val="AR PL SungtiL GB"/>
        <family val="2"/>
      </rPr>
      <t xml:space="preserve">的攻击和冷却时间。</t>
    </r>
  </si>
  <si>
    <r>
      <rPr>
        <sz val="11"/>
        <color rgb="FF000000"/>
        <rFont val="SimSun"/>
        <family val="0"/>
        <charset val="1"/>
      </rPr>
      <t xml:space="preserve">15%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10</t>
    </r>
    <r>
      <rPr>
        <sz val="11"/>
        <color rgb="FF000000"/>
        <rFont val="AR PL SungtiL GB"/>
        <family val="2"/>
      </rPr>
      <t xml:space="preserve">）</t>
    </r>
  </si>
  <si>
    <t xml:space="preserve">优势输出</t>
  </si>
  <si>
    <r>
      <rPr>
        <sz val="11"/>
        <color rgb="FF000000"/>
        <rFont val="AR PL SungtiL GB"/>
        <family val="2"/>
      </rPr>
      <t xml:space="preserve">缩短系统主武器</t>
    </r>
    <r>
      <rPr>
        <sz val="11"/>
        <color rgb="FF000000"/>
        <rFont val="SimSun"/>
        <family val="0"/>
        <charset val="1"/>
      </rPr>
      <t xml:space="preserve">80%</t>
    </r>
    <r>
      <rPr>
        <sz val="11"/>
        <color rgb="FF000000"/>
        <rFont val="AR PL SungtiL GB"/>
        <family val="2"/>
      </rPr>
      <t xml:space="preserve">的冷却时间，同时关闭系统其他武器。</t>
    </r>
  </si>
  <si>
    <t xml:space="preserve">导弹攻击系统</t>
  </si>
  <si>
    <t xml:space="preserve">防空火炮系统</t>
  </si>
  <si>
    <r>
      <rPr>
        <sz val="11"/>
        <color rgb="FF000000"/>
        <rFont val="SimSun"/>
        <family val="0"/>
        <charset val="1"/>
      </rPr>
      <t xml:space="preserve">20%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</si>
  <si>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t xml:space="preserve">火炮攻击系统</t>
  </si>
  <si>
    <t xml:space="preserve">对舰快速火炮系统</t>
  </si>
  <si>
    <t xml:space="preserve">近防火炮系统</t>
  </si>
  <si>
    <t xml:space="preserve">反舰鱼雷系统</t>
  </si>
  <si>
    <t xml:space="preserve">密集集束弹药</t>
  </si>
  <si>
    <t xml:space="preserve">目标为护卫舰</t>
  </si>
  <si>
    <r>
      <rPr>
        <sz val="11"/>
        <color rgb="FF000000"/>
        <rFont val="AR PL SungtiL GB"/>
        <family val="2"/>
      </rPr>
      <t xml:space="preserve">集束炸弹的分弹头数量提高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，单个弹头伤害下降</t>
    </r>
    <r>
      <rPr>
        <sz val="11"/>
        <color rgb="FF000000"/>
        <rFont val="SimSun"/>
        <family val="0"/>
        <charset val="1"/>
      </rPr>
      <t xml:space="preserve">15%</t>
    </r>
    <r>
      <rPr>
        <sz val="11"/>
        <color rgb="FF000000"/>
        <rFont val="AR PL SungtiL GB"/>
        <family val="2"/>
      </rPr>
      <t xml:space="preserve">。</t>
    </r>
  </si>
  <si>
    <r>
      <rPr>
        <sz val="11"/>
        <color rgb="FF000000"/>
        <rFont val="SimSun"/>
        <family val="0"/>
        <charset val="1"/>
      </rPr>
      <t xml:space="preserve">7%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</si>
  <si>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14%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</si>
  <si>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21%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</si>
  <si>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28%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</si>
  <si>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t xml:space="preserve">防空协助</t>
  </si>
  <si>
    <r>
      <rPr>
        <sz val="11"/>
        <color rgb="FF000000"/>
        <rFont val="AR PL SungtiL GB"/>
        <family val="2"/>
      </rPr>
      <t xml:space="preserve">系统内主武器锁定战舰临近排范围内敌机并进行攻击，并提高对战机命中率</t>
    </r>
    <r>
      <rPr>
        <sz val="11"/>
        <color rgb="FF000000"/>
        <rFont val="SimSun"/>
        <family val="0"/>
        <charset val="1"/>
      </rPr>
      <t xml:space="preserve">40%</t>
    </r>
    <r>
      <rPr>
        <sz val="11"/>
        <color rgb="FF000000"/>
        <rFont val="AR PL SungtiL GB"/>
        <family val="2"/>
      </rPr>
      <t xml:space="preserve">。</t>
    </r>
  </si>
  <si>
    <t xml:space="preserve">隐身鱼雷系统</t>
  </si>
  <si>
    <t xml:space="preserve">主炮武器系统</t>
  </si>
  <si>
    <r>
      <rPr>
        <sz val="11"/>
        <color rgb="FF000000"/>
        <rFont val="SimSun"/>
        <family val="0"/>
        <charset val="1"/>
      </rPr>
      <t xml:space="preserve">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</si>
  <si>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4%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</si>
  <si>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</si>
  <si>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9%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</si>
  <si>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t xml:space="preserve">通用火炮系统</t>
  </si>
  <si>
    <t xml:space="preserve">鱼雷发射系统</t>
  </si>
  <si>
    <r>
      <rPr>
        <sz val="11"/>
        <color rgb="FF000000"/>
        <rFont val="SimSun"/>
        <family val="0"/>
        <charset val="1"/>
      </rPr>
      <t xml:space="preserve">8%/10%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15</t>
    </r>
    <r>
      <rPr>
        <sz val="11"/>
        <color rgb="FF000000"/>
        <rFont val="AR PL SungtiL GB"/>
        <family val="2"/>
      </rPr>
      <t xml:space="preserve">）</t>
    </r>
  </si>
  <si>
    <t xml:space="preserve">防卫系统</t>
  </si>
  <si>
    <t xml:space="preserve">投射武器系统</t>
  </si>
  <si>
    <r>
      <rPr>
        <sz val="11"/>
        <color rgb="FF000000"/>
        <rFont val="SimSun"/>
        <family val="0"/>
        <charset val="1"/>
      </rPr>
      <t xml:space="preserve">18%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</si>
  <si>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t xml:space="preserve">舰首轨道炮系统</t>
  </si>
  <si>
    <t xml:space="preserve">轨道炮</t>
  </si>
  <si>
    <r>
      <rPr>
        <sz val="11"/>
        <color rgb="FF000000"/>
        <rFont val="AR PL SungtiL GB"/>
        <family val="2"/>
      </rPr>
      <t xml:space="preserve">“永远的北极星”投射系统</t>
    </r>
    <r>
      <rPr>
        <sz val="11"/>
        <color rgb="FF000000"/>
        <rFont val="SimSun"/>
        <family val="0"/>
        <charset val="1"/>
      </rPr>
      <t xml:space="preserve">MARK I-A1</t>
    </r>
  </si>
  <si>
    <t xml:space="preserve">周期集火</t>
  </si>
  <si>
    <r>
      <rPr>
        <sz val="11"/>
        <color rgb="FF000000"/>
        <rFont val="AR PL SungtiL GB"/>
        <family val="2"/>
      </rPr>
      <t xml:space="preserve">令系统内所有武器跟随主武器集中单一目标攻击，武器冷却时间下降</t>
    </r>
    <r>
      <rPr>
        <sz val="11"/>
        <color rgb="FF000000"/>
        <rFont val="SimSun"/>
        <family val="0"/>
        <charset val="1"/>
      </rPr>
      <t xml:space="preserve">80%</t>
    </r>
    <r>
      <rPr>
        <sz val="11"/>
        <color rgb="FF000000"/>
        <rFont val="AR PL SungtiL GB"/>
        <family val="2"/>
      </rPr>
      <t xml:space="preserve">。</t>
    </r>
  </si>
  <si>
    <t xml:space="preserve">“十字”联合火炮系统</t>
  </si>
  <si>
    <r>
      <rPr>
        <sz val="11"/>
        <color rgb="FF000000"/>
        <rFont val="SimSun"/>
        <family val="0"/>
        <charset val="1"/>
      </rPr>
      <t xml:space="preserve">25%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5</t>
    </r>
    <r>
      <rPr>
        <sz val="11"/>
        <color rgb="FF000000"/>
        <rFont val="AR PL SungtiL GB"/>
        <family val="2"/>
      </rPr>
      <t xml:space="preserve">）</t>
    </r>
  </si>
  <si>
    <t xml:space="preserve">“永远的北极星”投射系统</t>
  </si>
  <si>
    <r>
      <rPr>
        <sz val="11"/>
        <color rgb="FF000000"/>
        <rFont val="SimSun"/>
        <family val="0"/>
        <charset val="1"/>
      </rPr>
      <t xml:space="preserve">0.4%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</si>
  <si>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0.8%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</si>
  <si>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1.2%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</si>
  <si>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1.6%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</si>
  <si>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t xml:space="preserve">防空集火</t>
  </si>
  <si>
    <r>
      <rPr>
        <sz val="11"/>
        <color rgb="FF000000"/>
        <rFont val="AR PL SungtiL GB"/>
        <family val="2"/>
      </rPr>
      <t xml:space="preserve">令所有武器锁定临近排范围内敌机并进行攻击，武器冷却降低</t>
    </r>
    <r>
      <rPr>
        <sz val="11"/>
        <color rgb="FF000000"/>
        <rFont val="SimSun"/>
        <family val="0"/>
        <charset val="1"/>
      </rPr>
      <t xml:space="preserve">50%</t>
    </r>
    <r>
      <rPr>
        <sz val="11"/>
        <color rgb="FF000000"/>
        <rFont val="AR PL SungtiL GB"/>
        <family val="2"/>
      </rPr>
      <t xml:space="preserve">。</t>
    </r>
  </si>
  <si>
    <r>
      <rPr>
        <sz val="11"/>
        <color rgb="FF000000"/>
        <rFont val="SimSun"/>
        <family val="0"/>
        <charset val="1"/>
      </rPr>
      <t xml:space="preserve">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5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</si>
  <si>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8</t>
    </r>
    <r>
      <rPr>
        <sz val="11"/>
        <color rgb="FF000000"/>
        <rFont val="AR PL SungtiL GB"/>
        <family val="2"/>
      </rPr>
      <t xml:space="preserve">）</t>
    </r>
  </si>
  <si>
    <t xml:space="preserve">导弹支援系统</t>
  </si>
  <si>
    <t xml:space="preserve">攻城引导</t>
  </si>
  <si>
    <t xml:space="preserve">主武器目标为城防</t>
  </si>
  <si>
    <r>
      <rPr>
        <sz val="11"/>
        <color rgb="FF000000"/>
        <rFont val="AR PL SungtiL GB"/>
        <family val="2"/>
      </rPr>
      <t xml:space="preserve">射击冷却时间增加</t>
    </r>
    <r>
      <rPr>
        <sz val="11"/>
        <color rgb="FF000000"/>
        <rFont val="SimSun"/>
        <family val="0"/>
        <charset val="1"/>
      </rPr>
      <t xml:space="preserve">35%</t>
    </r>
    <r>
      <rPr>
        <sz val="11"/>
        <color rgb="FF000000"/>
        <rFont val="AR PL SungtiL GB"/>
        <family val="2"/>
      </rPr>
      <t xml:space="preserve">，使舰船所搭载舰载机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无人机有</t>
    </r>
    <r>
      <rPr>
        <sz val="11"/>
        <color rgb="FF000000"/>
        <rFont val="SimSun"/>
        <family val="0"/>
        <charset val="1"/>
      </rPr>
      <t xml:space="preserve">30%</t>
    </r>
    <r>
      <rPr>
        <sz val="11"/>
        <color rgb="FF000000"/>
        <rFont val="AR PL SungtiL GB"/>
        <family val="2"/>
      </rPr>
      <t xml:space="preserve">几率造成额外</t>
    </r>
    <r>
      <rPr>
        <sz val="11"/>
        <color rgb="FF000000"/>
        <rFont val="SimSun"/>
        <family val="0"/>
        <charset val="1"/>
      </rPr>
      <t xml:space="preserve">100%</t>
    </r>
    <r>
      <rPr>
        <sz val="11"/>
        <color rgb="FF000000"/>
        <rFont val="AR PL SungtiL GB"/>
        <family val="2"/>
      </rPr>
      <t xml:space="preserve">伤害。</t>
    </r>
  </si>
  <si>
    <t xml:space="preserve">“望远镜”轨道炮攻击系统</t>
  </si>
  <si>
    <r>
      <rPr>
        <sz val="11"/>
        <color rgb="FF000000"/>
        <rFont val="AR PL SungtiL GB"/>
        <family val="2"/>
      </rPr>
      <t xml:space="preserve">缩短系统主武器</t>
    </r>
    <r>
      <rPr>
        <sz val="11"/>
        <color rgb="FF000000"/>
        <rFont val="SimSun"/>
        <family val="0"/>
        <charset val="1"/>
      </rPr>
      <t xml:space="preserve">85%</t>
    </r>
    <r>
      <rPr>
        <sz val="11"/>
        <color rgb="FF000000"/>
        <rFont val="AR PL SungtiL GB"/>
        <family val="2"/>
      </rPr>
      <t xml:space="preserve">的冷却时间，同时关闭系统其他武器。</t>
    </r>
  </si>
  <si>
    <t xml:space="preserve">额外充电</t>
  </si>
  <si>
    <r>
      <rPr>
        <sz val="11"/>
        <color rgb="FF000000"/>
        <rFont val="AR PL SungtiL GB"/>
        <family val="2"/>
      </rPr>
      <t xml:space="preserve">提高轨道炮伤害</t>
    </r>
    <r>
      <rPr>
        <sz val="11"/>
        <color rgb="FF000000"/>
        <rFont val="SimSun"/>
        <family val="0"/>
        <charset val="1"/>
      </rPr>
      <t xml:space="preserve">40%</t>
    </r>
    <r>
      <rPr>
        <sz val="11"/>
        <color rgb="FF000000"/>
        <rFont val="AR PL SungtiL GB"/>
        <family val="2"/>
      </rPr>
      <t xml:space="preserve">，冷却时间提高</t>
    </r>
    <r>
      <rPr>
        <sz val="11"/>
        <color rgb="FF000000"/>
        <rFont val="SimSun"/>
        <family val="0"/>
        <charset val="1"/>
      </rPr>
      <t xml:space="preserve">20%</t>
    </r>
    <r>
      <rPr>
        <sz val="11"/>
        <color rgb="FF000000"/>
        <rFont val="AR PL SungtiL GB"/>
        <family val="2"/>
      </rPr>
      <t xml:space="preserve">。</t>
    </r>
  </si>
  <si>
    <t xml:space="preserve">通用火炮防卫系统</t>
  </si>
  <si>
    <t xml:space="preserve">防空范围增强</t>
  </si>
  <si>
    <t xml:space="preserve">将武器的防空范围扩展到同排舰船。</t>
  </si>
  <si>
    <r>
      <rPr>
        <sz val="11"/>
        <color rgb="FF000000"/>
        <rFont val="SimSun"/>
        <family val="0"/>
        <charset val="1"/>
      </rPr>
      <t xml:space="preserve">FG-300</t>
    </r>
    <r>
      <rPr>
        <sz val="11"/>
        <color rgb="FF000000"/>
        <rFont val="AR PL SungtiL GB"/>
        <family val="2"/>
      </rPr>
      <t xml:space="preserve">通用火炮系统</t>
    </r>
  </si>
  <si>
    <r>
      <rPr>
        <sz val="11"/>
        <color rgb="FF000000"/>
        <rFont val="SimSun"/>
        <family val="0"/>
        <charset val="1"/>
      </rPr>
      <t xml:space="preserve">0.4%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</si>
  <si>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1.2%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</si>
  <si>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1.6%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</si>
  <si>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FG-302</t>
    </r>
    <r>
      <rPr>
        <sz val="11"/>
        <color rgb="FF000000"/>
        <rFont val="AR PL SungtiL GB"/>
        <family val="2"/>
      </rPr>
      <t xml:space="preserve">通用火炮系统</t>
    </r>
  </si>
  <si>
    <r>
      <rPr>
        <sz val="11"/>
        <color rgb="FF000000"/>
        <rFont val="SimSun"/>
        <family val="0"/>
        <charset val="1"/>
      </rPr>
      <t xml:space="preserve">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8</t>
    </r>
    <r>
      <rPr>
        <sz val="11"/>
        <color rgb="FF000000"/>
        <rFont val="AR PL SungtiL GB"/>
        <family val="2"/>
      </rPr>
      <t xml:space="preserve">）</t>
    </r>
  </si>
  <si>
    <t xml:space="preserve">乘胜追击</t>
  </si>
  <si>
    <r>
      <rPr>
        <sz val="11"/>
        <color rgb="FF000000"/>
        <rFont val="AR PL SungtiL GB"/>
        <family val="2"/>
      </rPr>
      <t xml:space="preserve">目标结构比例低于</t>
    </r>
    <r>
      <rPr>
        <sz val="11"/>
        <color rgb="FF000000"/>
        <rFont val="SimSun"/>
        <family val="0"/>
        <charset val="1"/>
      </rPr>
      <t xml:space="preserve">20%</t>
    </r>
  </si>
  <si>
    <r>
      <rPr>
        <sz val="11"/>
        <color rgb="FF000000"/>
        <rFont val="AR PL SungtiL GB"/>
        <family val="2"/>
      </rPr>
      <t xml:space="preserve">单轮攻击增加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次攻击，攻击间隔下降</t>
    </r>
    <r>
      <rPr>
        <sz val="11"/>
        <color rgb="FF000000"/>
        <rFont val="SimSun"/>
        <family val="0"/>
        <charset val="1"/>
      </rPr>
      <t xml:space="preserve">40%</t>
    </r>
    <r>
      <rPr>
        <sz val="11"/>
        <color rgb="FF000000"/>
        <rFont val="AR PL SungtiL GB"/>
        <family val="2"/>
      </rPr>
      <t xml:space="preserve">。</t>
    </r>
  </si>
  <si>
    <t xml:space="preserve">聚焦空战目标</t>
  </si>
  <si>
    <t xml:space="preserve">优先攻击战斗机和拦截机。</t>
  </si>
  <si>
    <t xml:space="preserve">机载火炮系统</t>
  </si>
  <si>
    <t xml:space="preserve">机载格斗系统</t>
  </si>
  <si>
    <t xml:space="preserve">对空弹炮攻击系统</t>
  </si>
  <si>
    <t xml:space="preserve">“风暴”导弹系统</t>
  </si>
  <si>
    <t xml:space="preserve">火炮集火</t>
  </si>
  <si>
    <r>
      <rPr>
        <sz val="11"/>
        <color rgb="FF000000"/>
        <rFont val="AR PL SungtiL GB"/>
        <family val="2"/>
      </rPr>
      <t xml:space="preserve">令舰船内所有火炮武器跟随本系统武器攻击，武器冷却时间下降</t>
    </r>
    <r>
      <rPr>
        <sz val="11"/>
        <color rgb="FF000000"/>
        <rFont val="SimSun"/>
        <family val="0"/>
        <charset val="1"/>
      </rPr>
      <t xml:space="preserve">80%</t>
    </r>
    <r>
      <rPr>
        <sz val="11"/>
        <color rgb="FF000000"/>
        <rFont val="AR PL SungtiL GB"/>
        <family val="2"/>
      </rPr>
      <t xml:space="preserve">。</t>
    </r>
  </si>
  <si>
    <r>
      <rPr>
        <sz val="11"/>
        <color rgb="FF000000"/>
        <rFont val="SimSun"/>
        <family val="0"/>
        <charset val="1"/>
      </rPr>
      <t xml:space="preserve">2%/2.5%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</si>
  <si>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t xml:space="preserve">卡利莱恩重炮系统</t>
  </si>
  <si>
    <r>
      <rPr>
        <sz val="11"/>
        <color rgb="FF000000"/>
        <rFont val="SimSun"/>
        <family val="0"/>
        <charset val="1"/>
      </rPr>
      <t xml:space="preserve">4%/5%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</si>
  <si>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6%/7.5%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</si>
  <si>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8%/10%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</si>
  <si>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t xml:space="preserve">近防系统</t>
  </si>
  <si>
    <t xml:space="preserve">“凛冽寒风”火箭发射系统</t>
  </si>
  <si>
    <r>
      <rPr>
        <sz val="11"/>
        <color rgb="FF000000"/>
        <rFont val="SimSun"/>
        <family val="0"/>
        <charset val="1"/>
      </rPr>
      <t xml:space="preserve">1.6%/2%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</si>
  <si>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3.2%/4%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</si>
  <si>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4.8%/6%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</si>
  <si>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6.4%/8%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</si>
  <si>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t xml:space="preserve">舰首联合重炮系统</t>
  </si>
  <si>
    <t xml:space="preserve">小型火炮系统</t>
  </si>
  <si>
    <t xml:space="preserve">联合轨道炮系统</t>
  </si>
  <si>
    <r>
      <rPr>
        <sz val="11"/>
        <color rgb="FF000000"/>
        <rFont val="SimSun"/>
        <family val="0"/>
        <charset val="1"/>
      </rPr>
      <t xml:space="preserve">8%/3%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</si>
  <si>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24%/9%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</si>
  <si>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32%/12%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</si>
  <si>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40%/15%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</si>
  <si>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t xml:space="preserve">分散攻击</t>
  </si>
  <si>
    <r>
      <rPr>
        <sz val="11"/>
        <color rgb="FF000000"/>
        <rFont val="AR PL SungtiL GB"/>
        <family val="2"/>
      </rPr>
      <t xml:space="preserve">武器分散攻击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个目标</t>
    </r>
  </si>
  <si>
    <r>
      <rPr>
        <sz val="11"/>
        <color rgb="FF000000"/>
        <rFont val="SimSun"/>
        <family val="0"/>
        <charset val="1"/>
      </rPr>
      <t xml:space="preserve">10%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4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</si>
  <si>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4</t>
    </r>
    <r>
      <rPr>
        <sz val="11"/>
        <color rgb="FF000000"/>
        <rFont val="AR PL SungtiL GB"/>
        <family val="2"/>
      </rPr>
      <t xml:space="preserve">）</t>
    </r>
  </si>
  <si>
    <t xml:space="preserve">副武器系统</t>
  </si>
  <si>
    <t xml:space="preserve">“阋神”联合舰炮系统</t>
  </si>
  <si>
    <r>
      <rPr>
        <sz val="11"/>
        <color rgb="FF000000"/>
        <rFont val="SimSun"/>
        <family val="0"/>
        <charset val="1"/>
      </rPr>
      <t xml:space="preserve">25%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10</t>
    </r>
    <r>
      <rPr>
        <sz val="11"/>
        <color rgb="FF000000"/>
        <rFont val="AR PL SungtiL GB"/>
        <family val="2"/>
      </rPr>
      <t xml:space="preserve">）</t>
    </r>
  </si>
  <si>
    <t xml:space="preserve">“阋神灰烬”重炮</t>
  </si>
  <si>
    <r>
      <rPr>
        <sz val="11"/>
        <color rgb="FF000000"/>
        <rFont val="SimSun"/>
        <family val="0"/>
        <charset val="1"/>
      </rPr>
      <t xml:space="preserve">40%/15%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10</t>
    </r>
    <r>
      <rPr>
        <sz val="11"/>
        <color rgb="FF000000"/>
        <rFont val="AR PL SungtiL GB"/>
        <family val="2"/>
      </rPr>
      <t xml:space="preserve">）</t>
    </r>
  </si>
  <si>
    <t xml:space="preserve">“阋神”通用舰炮系统</t>
  </si>
  <si>
    <t xml:space="preserve">“牛角”脉冲炮系统</t>
  </si>
  <si>
    <r>
      <rPr>
        <sz val="11"/>
        <color rgb="FF000000"/>
        <rFont val="SimSun"/>
        <family val="0"/>
        <charset val="1"/>
      </rPr>
      <t xml:space="preserve">25%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9</t>
    </r>
    <r>
      <rPr>
        <sz val="11"/>
        <color rgb="FF000000"/>
        <rFont val="AR PL SungtiL GB"/>
        <family val="2"/>
      </rPr>
      <t xml:space="preserve">）</t>
    </r>
  </si>
  <si>
    <t xml:space="preserve">“堡垒”火炮系统</t>
  </si>
  <si>
    <t xml:space="preserve">全船集火</t>
  </si>
  <si>
    <r>
      <rPr>
        <sz val="11"/>
        <color rgb="FF000000"/>
        <rFont val="AR PL SungtiL GB"/>
        <family val="2"/>
      </rPr>
      <t xml:space="preserve">令舰船内所有武器集中单一目标攻击，所有武器冷却时间下降</t>
    </r>
    <r>
      <rPr>
        <sz val="11"/>
        <color rgb="FF000000"/>
        <rFont val="SimSun"/>
        <family val="0"/>
        <charset val="1"/>
      </rPr>
      <t xml:space="preserve">80%</t>
    </r>
    <r>
      <rPr>
        <sz val="11"/>
        <color rgb="FF000000"/>
        <rFont val="AR PL SungtiL GB"/>
        <family val="2"/>
      </rPr>
      <t xml:space="preserve">。</t>
    </r>
  </si>
  <si>
    <r>
      <rPr>
        <sz val="11"/>
        <color rgb="FF000000"/>
        <rFont val="SimSun"/>
        <family val="0"/>
        <charset val="1"/>
      </rPr>
      <t xml:space="preserve">721</t>
    </r>
    <r>
      <rPr>
        <sz val="11"/>
        <color rgb="FF000000"/>
        <rFont val="AR PL SungtiL GB"/>
        <family val="2"/>
      </rPr>
      <t xml:space="preserve">型综合舰炮系统</t>
    </r>
  </si>
  <si>
    <r>
      <rPr>
        <sz val="11"/>
        <color rgb="FF000000"/>
        <rFont val="SimSun"/>
        <family val="0"/>
        <charset val="1"/>
      </rPr>
      <t xml:space="preserve">MK-200</t>
    </r>
    <r>
      <rPr>
        <sz val="11"/>
        <color rgb="FF000000"/>
        <rFont val="AR PL SungtiL GB"/>
        <family val="2"/>
      </rPr>
      <t xml:space="preserve">通用垂直发射系统</t>
    </r>
  </si>
  <si>
    <r>
      <rPr>
        <sz val="11"/>
        <color rgb="FF000000"/>
        <rFont val="SimSun"/>
        <family val="0"/>
        <charset val="1"/>
      </rPr>
      <t xml:space="preserve">721</t>
    </r>
    <r>
      <rPr>
        <sz val="11"/>
        <color rgb="FF000000"/>
        <rFont val="AR PL SungtiL GB"/>
        <family val="2"/>
      </rPr>
      <t xml:space="preserve">型辅助舰炮系统</t>
    </r>
  </si>
  <si>
    <t xml:space="preserve">联合火炮系统</t>
  </si>
  <si>
    <t xml:space="preserve">防御火炮系统</t>
  </si>
  <si>
    <t xml:space="preserve">舰首离子炮系统</t>
  </si>
  <si>
    <t xml:space="preserve">离子炮</t>
  </si>
  <si>
    <t xml:space="preserve">聚能输出</t>
  </si>
  <si>
    <r>
      <rPr>
        <sz val="11"/>
        <color rgb="FF000000"/>
        <rFont val="AR PL SungtiL GB"/>
        <family val="2"/>
      </rPr>
      <t xml:space="preserve">伤害提升</t>
    </r>
    <r>
      <rPr>
        <sz val="11"/>
        <color rgb="FF000000"/>
        <rFont val="SimSun"/>
        <family val="0"/>
        <charset val="1"/>
      </rPr>
      <t xml:space="preserve">35%</t>
    </r>
    <r>
      <rPr>
        <sz val="11"/>
        <color rgb="FF000000"/>
        <rFont val="AR PL SungtiL GB"/>
        <family val="2"/>
      </rPr>
      <t xml:space="preserve">，攻击冷却提高</t>
    </r>
    <r>
      <rPr>
        <sz val="11"/>
        <color rgb="FF000000"/>
        <rFont val="SimSun"/>
        <family val="0"/>
        <charset val="1"/>
      </rPr>
      <t xml:space="preserve">15%</t>
    </r>
    <r>
      <rPr>
        <sz val="11"/>
        <color rgb="FF000000"/>
        <rFont val="AR PL SungtiL GB"/>
        <family val="2"/>
      </rPr>
      <t xml:space="preserve">。</t>
    </r>
  </si>
  <si>
    <t xml:space="preserve">防空系统</t>
  </si>
  <si>
    <t xml:space="preserve">“雷式”离子炮系统</t>
  </si>
  <si>
    <t xml:space="preserve">过载输出</t>
  </si>
  <si>
    <r>
      <rPr>
        <sz val="11"/>
        <color rgb="FF000000"/>
        <rFont val="AR PL SungtiL GB"/>
        <family val="2"/>
      </rPr>
      <t xml:space="preserve">关闭其他所有武器，每轮攻击增加</t>
    </r>
    <r>
      <rPr>
        <sz val="11"/>
        <color rgb="FF000000"/>
        <rFont val="SimSun"/>
        <family val="0"/>
        <charset val="1"/>
      </rPr>
      <t xml:space="preserve">4</t>
    </r>
    <r>
      <rPr>
        <sz val="11"/>
        <color rgb="FF000000"/>
        <rFont val="AR PL SungtiL GB"/>
        <family val="2"/>
      </rPr>
      <t xml:space="preserve">次伤害，延长离子主炮连续射击时间</t>
    </r>
    <r>
      <rPr>
        <sz val="11"/>
        <color rgb="FF000000"/>
        <rFont val="SimSun"/>
        <family val="0"/>
        <charset val="1"/>
      </rPr>
      <t xml:space="preserve">100%</t>
    </r>
    <r>
      <rPr>
        <sz val="11"/>
        <color rgb="FF000000"/>
        <rFont val="AR PL SungtiL GB"/>
        <family val="2"/>
      </rPr>
      <t xml:space="preserve">，命中率提升</t>
    </r>
    <r>
      <rPr>
        <sz val="11"/>
        <color rgb="FF000000"/>
        <rFont val="SimSun"/>
        <family val="0"/>
        <charset val="1"/>
      </rPr>
      <t xml:space="preserve">35%</t>
    </r>
    <r>
      <rPr>
        <sz val="11"/>
        <color rgb="FF000000"/>
        <rFont val="AR PL SungtiL GB"/>
        <family val="2"/>
      </rPr>
      <t xml:space="preserve">。</t>
    </r>
  </si>
  <si>
    <t xml:space="preserve">通用导弹发射系统</t>
  </si>
  <si>
    <t xml:space="preserve">“永远的北极星”大型投射系统</t>
  </si>
  <si>
    <r>
      <rPr>
        <sz val="11"/>
        <color rgb="FF000000"/>
        <rFont val="AR PL SungtiL GB"/>
        <family val="2"/>
      </rPr>
      <t xml:space="preserve">伤害提升</t>
    </r>
    <r>
      <rPr>
        <sz val="11"/>
        <color rgb="FF000000"/>
        <rFont val="SimSun"/>
        <family val="0"/>
        <charset val="1"/>
      </rPr>
      <t xml:space="preserve">60%</t>
    </r>
    <r>
      <rPr>
        <sz val="11"/>
        <color rgb="FF000000"/>
        <rFont val="AR PL SungtiL GB"/>
        <family val="2"/>
      </rPr>
      <t xml:space="preserve">，攻击时间延长</t>
    </r>
    <r>
      <rPr>
        <sz val="11"/>
        <color rgb="FF000000"/>
        <rFont val="SimSun"/>
        <family val="0"/>
        <charset val="1"/>
      </rPr>
      <t xml:space="preserve">30%</t>
    </r>
    <r>
      <rPr>
        <sz val="11"/>
        <color rgb="FF000000"/>
        <rFont val="AR PL SungtiL GB"/>
        <family val="2"/>
      </rPr>
      <t xml:space="preserve">。</t>
    </r>
  </si>
  <si>
    <t xml:space="preserve">“矿车”投射矩阵</t>
  </si>
  <si>
    <r>
      <rPr>
        <sz val="11"/>
        <color rgb="FF000000"/>
        <rFont val="SimSun"/>
        <family val="0"/>
        <charset val="1"/>
      </rPr>
      <t xml:space="preserve">7%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</si>
  <si>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14%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</si>
  <si>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21%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</si>
  <si>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t xml:space="preserve">防卫火炮系统</t>
  </si>
  <si>
    <r>
      <rPr>
        <sz val="11"/>
        <color rgb="FF000000"/>
        <rFont val="SimSun"/>
        <family val="0"/>
        <charset val="1"/>
      </rPr>
      <t xml:space="preserve">15%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7</t>
    </r>
    <r>
      <rPr>
        <sz val="11"/>
        <color rgb="FF000000"/>
        <rFont val="AR PL SungtiL GB"/>
        <family val="2"/>
      </rPr>
      <t xml:space="preserve">）</t>
    </r>
  </si>
  <si>
    <t xml:space="preserve">标准综合舰炮系统</t>
  </si>
  <si>
    <t xml:space="preserve">重型鱼雷发射系统</t>
  </si>
  <si>
    <t xml:space="preserve">长轴轨道炮系统</t>
  </si>
  <si>
    <t xml:space="preserve">综合投射武器系统</t>
  </si>
  <si>
    <r>
      <rPr>
        <sz val="11"/>
        <color rgb="FF000000"/>
        <rFont val="微软雅黑"/>
        <family val="0"/>
        <charset val="1"/>
      </rPr>
      <t xml:space="preserve">11.2%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微软雅黑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</si>
  <si>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t xml:space="preserve">通用投射武器平台</t>
  </si>
  <si>
    <t xml:space="preserve">“伽马风暴”投射武器系统</t>
  </si>
  <si>
    <r>
      <rPr>
        <sz val="11"/>
        <color rgb="FF000000"/>
        <rFont val="SimSun"/>
        <family val="0"/>
        <charset val="1"/>
      </rPr>
      <t xml:space="preserve">40%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</si>
  <si>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50%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</si>
  <si>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t xml:space="preserve">“伽马风暴”离子攻击系统</t>
  </si>
  <si>
    <t xml:space="preserve">M1</t>
  </si>
  <si>
    <r>
      <rPr>
        <sz val="11"/>
        <color rgb="FF000000"/>
        <rFont val="SimSun"/>
        <family val="0"/>
        <charset val="1"/>
      </rPr>
      <t xml:space="preserve">28%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</si>
  <si>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</si>
  <si>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5</t>
    </r>
    <r>
      <rPr>
        <sz val="11"/>
        <color rgb="FF000000"/>
        <rFont val="AR PL SungtiL GB"/>
        <family val="2"/>
      </rPr>
      <t xml:space="preserve">）</t>
    </r>
  </si>
  <si>
    <t xml:space="preserve">“伽马风暴”投射攻击系统</t>
  </si>
  <si>
    <t xml:space="preserve">M2</t>
  </si>
  <si>
    <t xml:space="preserve">脉冲防空系统</t>
  </si>
  <si>
    <t xml:space="preserve">B2</t>
  </si>
  <si>
    <t xml:space="preserve">防空导弹系统</t>
  </si>
  <si>
    <t xml:space="preserve">B3</t>
  </si>
  <si>
    <t xml:space="preserve">近程防空系统</t>
  </si>
  <si>
    <t xml:space="preserve">D1</t>
  </si>
  <si>
    <r>
      <rPr>
        <sz val="11"/>
        <color rgb="FF000000"/>
        <rFont val="AR PL SungtiL GB"/>
        <family val="2"/>
      </rPr>
      <t xml:space="preserve">“凛冽寒风”</t>
    </r>
    <r>
      <rPr>
        <sz val="11"/>
        <color rgb="FF000000"/>
        <rFont val="SimSun"/>
        <family val="0"/>
        <charset val="1"/>
      </rPr>
      <t xml:space="preserve">MK2-</t>
    </r>
    <r>
      <rPr>
        <sz val="11"/>
        <color rgb="FF000000"/>
        <rFont val="AR PL SungtiL GB"/>
        <family val="2"/>
      </rPr>
      <t xml:space="preserve">火箭发射系统</t>
    </r>
  </si>
  <si>
    <r>
      <rPr>
        <sz val="11"/>
        <color rgb="FF000000"/>
        <rFont val="微软雅黑"/>
        <family val="0"/>
        <charset val="1"/>
      </rPr>
      <t xml:space="preserve">9%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微软雅黑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</si>
  <si>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t xml:space="preserve">“雷式”离子生成系统</t>
  </si>
  <si>
    <r>
      <rPr>
        <sz val="11"/>
        <color rgb="FF000000"/>
        <rFont val="AR PL SungtiL GB"/>
        <family val="2"/>
      </rPr>
      <t xml:space="preserve">“永远的北极星”</t>
    </r>
    <r>
      <rPr>
        <sz val="11"/>
        <color rgb="FF000000"/>
        <rFont val="SimSun"/>
        <family val="0"/>
        <charset val="1"/>
      </rPr>
      <t xml:space="preserve">MARKII</t>
    </r>
    <r>
      <rPr>
        <sz val="11"/>
        <color rgb="FF000000"/>
        <rFont val="AR PL SungtiL GB"/>
        <family val="2"/>
      </rPr>
      <t xml:space="preserve">投射系统</t>
    </r>
  </si>
  <si>
    <t xml:space="preserve">实验型等离子投射系统</t>
  </si>
  <si>
    <t xml:space="preserve">通用火炮平台</t>
  </si>
  <si>
    <t xml:space="preserve">通用近防系统</t>
  </si>
  <si>
    <t xml:space="preserve">离子炮塔系统</t>
  </si>
  <si>
    <t xml:space="preserve">脉冲炮塔系统</t>
  </si>
  <si>
    <t xml:space="preserve">堡垒火炮系统</t>
  </si>
  <si>
    <r>
      <rPr>
        <sz val="11"/>
        <color rgb="FF000000"/>
        <rFont val="SimSun"/>
        <family val="0"/>
        <charset val="1"/>
      </rPr>
      <t xml:space="preserve">10%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10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</si>
  <si>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12.5%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</si>
  <si>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</si>
  <si>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37.5%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</si>
  <si>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t xml:space="preserve">矿车投射矩阵</t>
  </si>
  <si>
    <t xml:space="preserve">分布式轻型武器控制系统</t>
  </si>
  <si>
    <t xml:space="preserve">反导拦截系统</t>
  </si>
  <si>
    <t xml:space="preserve">攻坚轨道炮系统</t>
  </si>
  <si>
    <t xml:space="preserve">大型火炮平台</t>
  </si>
  <si>
    <t xml:space="preserve">舰首火炮系统</t>
  </si>
  <si>
    <t xml:space="preserve">攻坚鱼雷系统</t>
  </si>
  <si>
    <t xml:space="preserve">M3</t>
  </si>
  <si>
    <t xml:space="preserve">轨道炮塔阵列</t>
  </si>
  <si>
    <t xml:space="preserve">脉冲炮塔阵列</t>
  </si>
  <si>
    <t xml:space="preserve">综合投射武器平台</t>
  </si>
  <si>
    <t xml:space="preserve">精确攻击系统</t>
  </si>
  <si>
    <t xml:space="preserve">精准攻击</t>
  </si>
  <si>
    <r>
      <rPr>
        <sz val="11"/>
        <color rgb="FF000000"/>
        <rFont val="AR PL SungtiL GB"/>
        <family val="2"/>
      </rPr>
      <t xml:space="preserve">优先攻击超主力舰，并提升附带对目标单位的武器系统的伤害</t>
    </r>
    <r>
      <rPr>
        <sz val="11"/>
        <color rgb="FF000000"/>
        <rFont val="SimSun"/>
        <family val="0"/>
        <charset val="1"/>
      </rPr>
      <t xml:space="preserve">60%</t>
    </r>
    <r>
      <rPr>
        <sz val="11"/>
        <color rgb="FF000000"/>
        <rFont val="AR PL SungtiL GB"/>
        <family val="2"/>
      </rPr>
      <t xml:space="preserve">。</t>
    </r>
  </si>
  <si>
    <t xml:space="preserve">反击火炮系统</t>
  </si>
  <si>
    <r>
      <rPr>
        <sz val="11"/>
        <color rgb="FF000000"/>
        <rFont val="SimSun"/>
        <family val="0"/>
        <charset val="1"/>
      </rPr>
      <t xml:space="preserve">15%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14</t>
    </r>
    <r>
      <rPr>
        <sz val="11"/>
        <color rgb="FF000000"/>
        <rFont val="AR PL SungtiL GB"/>
        <family val="2"/>
      </rPr>
      <t xml:space="preserve">）</t>
    </r>
  </si>
  <si>
    <t xml:space="preserve">攻击火炮系统</t>
  </si>
  <si>
    <t xml:space="preserve">弹炮攻击系统</t>
  </si>
  <si>
    <r>
      <rPr>
        <sz val="11"/>
        <color rgb="FF000000"/>
        <rFont val="AR PL SungtiL GB"/>
        <family val="2"/>
      </rPr>
      <t xml:space="preserve">系统内主武器对敌方目标的攻击会有</t>
    </r>
    <r>
      <rPr>
        <sz val="11"/>
        <color rgb="FF000000"/>
        <rFont val="SimSun"/>
        <family val="0"/>
        <charset val="1"/>
      </rPr>
      <t xml:space="preserve">15%</t>
    </r>
    <r>
      <rPr>
        <sz val="11"/>
        <color rgb="FF000000"/>
        <rFont val="AR PL SungtiL GB"/>
        <family val="2"/>
      </rPr>
      <t xml:space="preserve">的概率额外造成暴击伤害。</t>
    </r>
  </si>
  <si>
    <t xml:space="preserve">聚能脉冲炮系统</t>
  </si>
  <si>
    <r>
      <rPr>
        <sz val="11"/>
        <color rgb="FF000000"/>
        <rFont val="AR PL SungtiL GB"/>
        <family val="2"/>
      </rPr>
      <t xml:space="preserve">优先对护卫舰和驱逐舰目标进行攻击，系统内武器的攻击持续时间缩短</t>
    </r>
    <r>
      <rPr>
        <sz val="11"/>
        <color rgb="FF000000"/>
        <rFont val="SimSun"/>
        <family val="0"/>
        <charset val="1"/>
      </rPr>
      <t xml:space="preserve">50%</t>
    </r>
    <r>
      <rPr>
        <sz val="11"/>
        <color rgb="FF000000"/>
        <rFont val="AR PL SungtiL GB"/>
        <family val="2"/>
      </rPr>
      <t xml:space="preserve">，冷却时间延长</t>
    </r>
    <r>
      <rPr>
        <sz val="11"/>
        <color rgb="FF000000"/>
        <rFont val="SimSun"/>
        <family val="0"/>
        <charset val="1"/>
      </rPr>
      <t xml:space="preserve">30%</t>
    </r>
    <r>
      <rPr>
        <sz val="11"/>
        <color rgb="FF000000"/>
        <rFont val="AR PL SungtiL GB"/>
        <family val="2"/>
      </rPr>
      <t xml:space="preserve">。</t>
    </r>
  </si>
  <si>
    <t xml:space="preserve">等离子轰炸系统</t>
  </si>
  <si>
    <t xml:space="preserve">等离子</t>
  </si>
  <si>
    <t xml:space="preserve">主动机动</t>
  </si>
  <si>
    <r>
      <rPr>
        <sz val="11"/>
        <color rgb="FF000000"/>
        <rFont val="AR PL SungtiL GB"/>
        <family val="2"/>
      </rPr>
      <t xml:space="preserve">闪避率提升</t>
    </r>
    <r>
      <rPr>
        <sz val="11"/>
        <color rgb="FF000000"/>
        <rFont val="SimSun"/>
        <family val="0"/>
        <charset val="1"/>
      </rPr>
      <t xml:space="preserve">30%</t>
    </r>
    <r>
      <rPr>
        <sz val="11"/>
        <color rgb="FF000000"/>
        <rFont val="AR PL SungtiL GB"/>
        <family val="2"/>
      </rPr>
      <t xml:space="preserve">。</t>
    </r>
  </si>
  <si>
    <t xml:space="preserve">机载投弹系统</t>
  </si>
  <si>
    <t xml:space="preserve">隐身攻击</t>
  </si>
  <si>
    <r>
      <rPr>
        <sz val="11"/>
        <color rgb="FF000000"/>
        <rFont val="AR PL SungtiL GB"/>
        <family val="2"/>
      </rPr>
      <t xml:space="preserve">闪避率提升</t>
    </r>
    <r>
      <rPr>
        <sz val="11"/>
        <color rgb="FF000000"/>
        <rFont val="SimSun"/>
        <family val="0"/>
        <charset val="1"/>
      </rPr>
      <t xml:space="preserve">90%</t>
    </r>
    <r>
      <rPr>
        <sz val="11"/>
        <color rgb="FF000000"/>
        <rFont val="AR PL SungtiL GB"/>
        <family val="2"/>
      </rPr>
      <t xml:space="preserve">，命中率提升</t>
    </r>
    <r>
      <rPr>
        <sz val="11"/>
        <color rgb="FF000000"/>
        <rFont val="SimSun"/>
        <family val="0"/>
        <charset val="1"/>
      </rPr>
      <t xml:space="preserve">30%</t>
    </r>
    <r>
      <rPr>
        <sz val="11"/>
        <color rgb="FF000000"/>
        <rFont val="AR PL SungtiL GB"/>
        <family val="2"/>
      </rPr>
      <t xml:space="preserve">。</t>
    </r>
  </si>
  <si>
    <t xml:space="preserve">密集投弹</t>
  </si>
  <si>
    <r>
      <rPr>
        <sz val="11"/>
        <color rgb="FF000000"/>
        <rFont val="AR PL SungtiL GB"/>
        <family val="2"/>
      </rPr>
      <t xml:space="preserve">优先攻击超主力舰，攻击次数提高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，攻击持续时间延长</t>
    </r>
    <r>
      <rPr>
        <sz val="11"/>
        <color rgb="FF000000"/>
        <rFont val="SimSun"/>
        <family val="0"/>
        <charset val="1"/>
      </rPr>
      <t xml:space="preserve">30%</t>
    </r>
    <r>
      <rPr>
        <sz val="11"/>
        <color rgb="FF000000"/>
        <rFont val="AR PL SungtiL GB"/>
        <family val="2"/>
      </rPr>
      <t xml:space="preserve">，攻击冷却时间延长</t>
    </r>
    <r>
      <rPr>
        <sz val="11"/>
        <color rgb="FF000000"/>
        <rFont val="SimSun"/>
        <family val="0"/>
        <charset val="1"/>
      </rPr>
      <t xml:space="preserve">30%</t>
    </r>
    <r>
      <rPr>
        <sz val="11"/>
        <color rgb="FF000000"/>
        <rFont val="AR PL SungtiL GB"/>
        <family val="2"/>
      </rPr>
      <t xml:space="preserve">。</t>
    </r>
  </si>
  <si>
    <t xml:space="preserve">特殊能力</t>
  </si>
  <si>
    <t xml:space="preserve">战斗序列</t>
  </si>
  <si>
    <t xml:space="preserve">模块调校</t>
  </si>
  <si>
    <t xml:space="preserve">舰载机</t>
  </si>
  <si>
    <t xml:space="preserve">小型舰船</t>
  </si>
  <si>
    <t xml:space="preserve">大型舰船</t>
  </si>
  <si>
    <t xml:space="preserve">建筑</t>
  </si>
  <si>
    <t xml:space="preserve">单发伤害</t>
  </si>
  <si>
    <t xml:space="preserve">调教需要</t>
  </si>
  <si>
    <t xml:space="preserve">型号</t>
  </si>
  <si>
    <t xml:space="preserve">所属系统</t>
  </si>
  <si>
    <t xml:space="preserve">护航</t>
  </si>
  <si>
    <t xml:space="preserve">驱逐</t>
  </si>
  <si>
    <t xml:space="preserve">护卫</t>
  </si>
  <si>
    <t xml:space="preserve">战列</t>
  </si>
  <si>
    <t xml:space="preserve">航母</t>
  </si>
  <si>
    <t xml:space="preserve">战巡</t>
  </si>
  <si>
    <t xml:space="preserve">巡洋</t>
  </si>
  <si>
    <t xml:space="preserve">基地</t>
  </si>
  <si>
    <t xml:space="preserve">伤害类型</t>
  </si>
  <si>
    <t xml:space="preserve">安装数</t>
  </si>
  <si>
    <t xml:space="preserve">齐射数量</t>
  </si>
  <si>
    <t xml:space="preserve">攻击次数</t>
  </si>
  <si>
    <t xml:space="preserve">提升</t>
  </si>
  <si>
    <t xml:space="preserve">技术类型</t>
  </si>
  <si>
    <t xml:space="preserve">稀有度</t>
  </si>
  <si>
    <r>
      <rPr>
        <sz val="11"/>
        <color rgb="FF000000"/>
        <rFont val="SimSun"/>
        <family val="0"/>
        <charset val="1"/>
      </rPr>
      <t xml:space="preserve">SG-145B</t>
    </r>
    <r>
      <rPr>
        <sz val="11"/>
        <color rgb="FF000000"/>
        <rFont val="AR PL SungtiL GB"/>
        <family val="2"/>
      </rPr>
      <t xml:space="preserve">型</t>
    </r>
  </si>
  <si>
    <t xml:space="preserve">通用火炮</t>
  </si>
  <si>
    <t xml:space="preserve">物理</t>
  </si>
  <si>
    <r>
      <rPr>
        <sz val="11"/>
        <color rgb="FF000000"/>
        <rFont val="AR PL SungtiL GB"/>
        <family val="2"/>
      </rPr>
      <t xml:space="preserve">火炮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电磁</t>
    </r>
  </si>
  <si>
    <t xml:space="preserve">R1</t>
  </si>
  <si>
    <r>
      <rPr>
        <sz val="11"/>
        <color rgb="FF000000"/>
        <rFont val="SimSun"/>
        <family val="0"/>
        <charset val="1"/>
      </rPr>
      <t xml:space="preserve">SG-1120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</si>
  <si>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SG-1180A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</si>
  <si>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AM-210D</t>
    </r>
    <r>
      <rPr>
        <sz val="11"/>
        <color rgb="FF000000"/>
        <rFont val="AR PL SungtiL GB"/>
        <family val="2"/>
      </rPr>
      <t xml:space="preserve">型</t>
    </r>
  </si>
  <si>
    <t xml:space="preserve">机载导弹发射器</t>
  </si>
  <si>
    <r>
      <rPr>
        <sz val="11"/>
        <color rgb="FF000000"/>
        <rFont val="AR PL SungtiL GB"/>
        <family val="2"/>
      </rPr>
      <t xml:space="preserve">“十字”</t>
    </r>
    <r>
      <rPr>
        <sz val="11"/>
        <color rgb="FF000000"/>
        <rFont val="SimSun"/>
        <family val="0"/>
        <charset val="1"/>
      </rPr>
      <t xml:space="preserve">MK1-AG-335D</t>
    </r>
    <r>
      <rPr>
        <sz val="11"/>
        <color rgb="FF000000"/>
        <rFont val="AR PL SungtiL GB"/>
        <family val="2"/>
      </rPr>
      <t xml:space="preserve">型</t>
    </r>
  </si>
  <si>
    <t xml:space="preserve">机载格斗火炮</t>
  </si>
  <si>
    <r>
      <rPr>
        <sz val="11"/>
        <color rgb="FF000000"/>
        <rFont val="AR PL SungtiL GB"/>
        <family val="2"/>
      </rPr>
      <t xml:space="preserve">“罗安钢铁矮人”</t>
    </r>
    <r>
      <rPr>
        <sz val="11"/>
        <color rgb="FF000000"/>
        <rFont val="SimSun"/>
        <family val="0"/>
        <charset val="1"/>
      </rPr>
      <t xml:space="preserve">L-CT-2-328D</t>
    </r>
    <r>
      <rPr>
        <sz val="11"/>
        <color rgb="FF000000"/>
        <rFont val="AR PL SungtiL GB"/>
        <family val="2"/>
      </rPr>
      <t xml:space="preserve">型</t>
    </r>
  </si>
  <si>
    <t xml:space="preserve">攻击鱼雷</t>
  </si>
  <si>
    <r>
      <rPr>
        <sz val="11"/>
        <color rgb="FF000000"/>
        <rFont val="SimSun"/>
        <family val="0"/>
        <charset val="1"/>
      </rPr>
      <t xml:space="preserve">AG-275D</t>
    </r>
    <r>
      <rPr>
        <sz val="11"/>
        <color rgb="FF000000"/>
        <rFont val="AR PL SungtiL GB"/>
        <family val="2"/>
      </rPr>
      <t xml:space="preserve">型</t>
    </r>
  </si>
  <si>
    <t xml:space="preserve">重型机炮</t>
  </si>
  <si>
    <r>
      <rPr>
        <sz val="11"/>
        <color rgb="FF000000"/>
        <rFont val="SimSun"/>
        <family val="0"/>
        <charset val="1"/>
      </rPr>
      <t xml:space="preserve">AM-60D</t>
    </r>
    <r>
      <rPr>
        <sz val="11"/>
        <color rgb="FF000000"/>
        <rFont val="AR PL SungtiL GB"/>
        <family val="2"/>
      </rPr>
      <t xml:space="preserve">型</t>
    </r>
  </si>
  <si>
    <t xml:space="preserve">小型导弹</t>
  </si>
  <si>
    <r>
      <rPr>
        <sz val="11"/>
        <color rgb="FF000000"/>
        <rFont val="SimSun"/>
        <family val="0"/>
        <charset val="1"/>
      </rPr>
      <t xml:space="preserve">CIM-778D</t>
    </r>
    <r>
      <rPr>
        <sz val="11"/>
        <color rgb="FF000000"/>
        <rFont val="AR PL SungtiL GB"/>
        <family val="2"/>
      </rPr>
      <t xml:space="preserve">型</t>
    </r>
  </si>
  <si>
    <t xml:space="preserve">机载等离子轰炸系统</t>
  </si>
  <si>
    <r>
      <rPr>
        <sz val="11"/>
        <color rgb="FF000000"/>
        <rFont val="AR PL SungtiL GB"/>
        <family val="2"/>
      </rPr>
      <t xml:space="preserve">“罗安飞镖”</t>
    </r>
    <r>
      <rPr>
        <sz val="11"/>
        <color rgb="FF000000"/>
        <rFont val="SimSun"/>
        <family val="0"/>
        <charset val="1"/>
      </rPr>
      <t xml:space="preserve">L-CM-178C/D</t>
    </r>
    <r>
      <rPr>
        <sz val="11"/>
        <color rgb="FF000000"/>
        <rFont val="AR PL SungtiL GB"/>
        <family val="2"/>
      </rPr>
      <t xml:space="preserve">型</t>
    </r>
  </si>
  <si>
    <t xml:space="preserve">制导攻击系统</t>
  </si>
  <si>
    <r>
      <rPr>
        <sz val="11"/>
        <color rgb="FF000000"/>
        <rFont val="SimSun"/>
        <family val="0"/>
        <charset val="1"/>
      </rPr>
      <t xml:space="preserve">CG-130D</t>
    </r>
    <r>
      <rPr>
        <sz val="11"/>
        <color rgb="FF000000"/>
        <rFont val="AR PL SungtiL GB"/>
        <family val="2"/>
      </rPr>
      <t xml:space="preserve">型</t>
    </r>
  </si>
  <si>
    <t xml:space="preserve">机载火炮</t>
  </si>
  <si>
    <r>
      <rPr>
        <sz val="11"/>
        <color rgb="FF000000"/>
        <rFont val="AR PL SungtiL GB"/>
        <family val="2"/>
      </rPr>
      <t xml:space="preserve">“雷火”</t>
    </r>
    <r>
      <rPr>
        <sz val="11"/>
        <color rgb="FF000000"/>
        <rFont val="SimSun"/>
        <family val="0"/>
        <charset val="1"/>
      </rPr>
      <t xml:space="preserve">MK1.5-J/CG-430D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</si>
  <si>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“湛蓝守护者”</t>
    </r>
    <r>
      <rPr>
        <sz val="11"/>
        <color rgb="FF000000"/>
        <rFont val="SimSun"/>
        <family val="0"/>
        <charset val="1"/>
      </rPr>
      <t xml:space="preserve">-BP-X50T/D</t>
    </r>
    <r>
      <rPr>
        <sz val="11"/>
        <color rgb="FF000000"/>
        <rFont val="AR PL SungtiL GB"/>
        <family val="2"/>
      </rPr>
      <t xml:space="preserve">实验型</t>
    </r>
  </si>
  <si>
    <t xml:space="preserve">聚能短距脉冲炮</t>
  </si>
  <si>
    <r>
      <rPr>
        <sz val="11"/>
        <color rgb="FF000000"/>
        <rFont val="SimSun"/>
        <family val="0"/>
        <charset val="1"/>
      </rPr>
      <t xml:space="preserve">BT-2-310D</t>
    </r>
    <r>
      <rPr>
        <sz val="11"/>
        <color rgb="FF000000"/>
        <rFont val="AR PL SungtiL GB"/>
        <family val="2"/>
      </rPr>
      <t xml:space="preserve">型</t>
    </r>
  </si>
  <si>
    <t xml:space="preserve">鱼雷轰炸系统</t>
  </si>
  <si>
    <r>
      <rPr>
        <sz val="11"/>
        <color rgb="FF000000"/>
        <rFont val="SimSun"/>
        <family val="0"/>
        <charset val="1"/>
      </rPr>
      <t xml:space="preserve">BG-330D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</si>
  <si>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BM-275B/D</t>
    </r>
    <r>
      <rPr>
        <sz val="11"/>
        <color rgb="FF000000"/>
        <rFont val="AR PL SungtiL GB"/>
        <family val="2"/>
      </rPr>
      <t xml:space="preserve">型</t>
    </r>
  </si>
  <si>
    <t xml:space="preserve">对空格斗导弹</t>
  </si>
  <si>
    <r>
      <rPr>
        <sz val="11"/>
        <color rgb="FF000000"/>
        <rFont val="SimSun"/>
        <family val="0"/>
        <charset val="1"/>
      </rPr>
      <t xml:space="preserve">SG-530D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</si>
  <si>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子系统平台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舰载机</t>
    </r>
  </si>
  <si>
    <r>
      <rPr>
        <sz val="11"/>
        <color rgb="FF000000"/>
        <rFont val="SimSun"/>
        <family val="0"/>
        <charset val="1"/>
      </rPr>
      <t xml:space="preserve">FG-181D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</si>
  <si>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FG-232B/D</t>
    </r>
    <r>
      <rPr>
        <sz val="11"/>
        <color rgb="FF000000"/>
        <rFont val="AR PL SungtiL GB"/>
        <family val="2"/>
      </rPr>
      <t xml:space="preserve">型</t>
    </r>
  </si>
  <si>
    <t xml:space="preserve">机载反击火炮</t>
  </si>
  <si>
    <r>
      <rPr>
        <sz val="11"/>
        <color rgb="FF000000"/>
        <rFont val="AR PL SungtiL GB"/>
        <family val="2"/>
      </rPr>
      <t xml:space="preserve">“十字”</t>
    </r>
    <r>
      <rPr>
        <sz val="11"/>
        <color rgb="FF000000"/>
        <rFont val="SimSun"/>
        <family val="0"/>
        <charset val="1"/>
      </rPr>
      <t xml:space="preserve">MK3-AG-350D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</si>
  <si>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“天火”</t>
    </r>
    <r>
      <rPr>
        <sz val="11"/>
        <color rgb="FF000000"/>
        <rFont val="SimSun"/>
        <family val="0"/>
        <charset val="1"/>
      </rPr>
      <t xml:space="preserve">MK1-JM-3x300A/D</t>
    </r>
    <r>
      <rPr>
        <sz val="11"/>
        <color rgb="FF000000"/>
        <rFont val="AR PL SungtiL GB"/>
        <family val="2"/>
      </rPr>
      <t xml:space="preserve">型</t>
    </r>
  </si>
  <si>
    <t xml:space="preserve">导弹发射系统</t>
  </si>
  <si>
    <r>
      <rPr>
        <sz val="11"/>
        <color rgb="FF000000"/>
        <rFont val="AR PL SungtiL GB"/>
        <family val="2"/>
      </rPr>
      <t xml:space="preserve">“雷火”</t>
    </r>
    <r>
      <rPr>
        <sz val="11"/>
        <color rgb="FF000000"/>
        <rFont val="SimSun"/>
        <family val="0"/>
        <charset val="1"/>
      </rPr>
      <t xml:space="preserve">MK1-J/SG-275D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</si>
  <si>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“雷火”</t>
    </r>
    <r>
      <rPr>
        <sz val="11"/>
        <color rgb="FF000000"/>
        <rFont val="SimSun"/>
        <family val="0"/>
        <charset val="1"/>
      </rPr>
      <t xml:space="preserve">MK2.3-J/SG-1155D</t>
    </r>
    <r>
      <rPr>
        <sz val="11"/>
        <color rgb="FF000000"/>
        <rFont val="AR PL SungtiL GB"/>
        <family val="2"/>
      </rPr>
      <t xml:space="preserve">型</t>
    </r>
  </si>
  <si>
    <t xml:space="preserve">机载重型火炮</t>
  </si>
  <si>
    <r>
      <rPr>
        <sz val="11"/>
        <color rgb="FF000000"/>
        <rFont val="AR PL SungtiL GB"/>
        <family val="2"/>
      </rPr>
      <t xml:space="preserve">“风暴”</t>
    </r>
    <r>
      <rPr>
        <sz val="11"/>
        <color rgb="FF000000"/>
        <rFont val="SimSun"/>
        <family val="0"/>
        <charset val="1"/>
      </rPr>
      <t xml:space="preserve">MKX-CM-2x168D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</si>
  <si>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CG-1132D</t>
    </r>
    <r>
      <rPr>
        <sz val="11"/>
        <color rgb="FF000000"/>
        <rFont val="AR PL SungtiL GB"/>
        <family val="2"/>
      </rPr>
      <t xml:space="preserve">型</t>
    </r>
  </si>
  <si>
    <t xml:space="preserve">快速火炮</t>
  </si>
  <si>
    <r>
      <rPr>
        <sz val="11"/>
        <color rgb="FF000000"/>
        <rFont val="SimSun"/>
        <family val="0"/>
        <charset val="1"/>
      </rPr>
      <t xml:space="preserve">CG-288D</t>
    </r>
    <r>
      <rPr>
        <sz val="11"/>
        <color rgb="FF000000"/>
        <rFont val="AR PL SungtiL GB"/>
        <family val="2"/>
      </rPr>
      <t xml:space="preserve">型</t>
    </r>
  </si>
  <si>
    <t xml:space="preserve">双联装快速火炮</t>
  </si>
  <si>
    <r>
      <rPr>
        <sz val="11"/>
        <color rgb="FF000000"/>
        <rFont val="SimSun"/>
        <family val="0"/>
        <charset val="1"/>
      </rPr>
      <t xml:space="preserve">CM-4x120D</t>
    </r>
    <r>
      <rPr>
        <sz val="11"/>
        <color rgb="FF000000"/>
        <rFont val="AR PL SungtiL GB"/>
        <family val="2"/>
      </rPr>
      <t xml:space="preserve">型</t>
    </r>
  </si>
  <si>
    <t xml:space="preserve">火箭发射塔</t>
  </si>
  <si>
    <r>
      <rPr>
        <sz val="11"/>
        <color rgb="FF000000"/>
        <rFont val="AR PL SungtiL GB"/>
        <family val="2"/>
      </rPr>
      <t xml:space="preserve">“蜂巢”</t>
    </r>
    <r>
      <rPr>
        <sz val="11"/>
        <color rgb="FF000000"/>
        <rFont val="SimSun"/>
        <family val="0"/>
        <charset val="1"/>
      </rPr>
      <t xml:space="preserve">-CT-4-450D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</si>
  <si>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“彗尾”</t>
    </r>
    <r>
      <rPr>
        <sz val="11"/>
        <color rgb="FF000000"/>
        <rFont val="SimSun"/>
        <family val="0"/>
        <charset val="1"/>
      </rPr>
      <t xml:space="preserve">MK1-CG-628B/D</t>
    </r>
    <r>
      <rPr>
        <sz val="11"/>
        <color rgb="FF000000"/>
        <rFont val="AR PL SungtiL GB"/>
        <family val="2"/>
      </rPr>
      <t xml:space="preserve">型</t>
    </r>
  </si>
  <si>
    <t xml:space="preserve">近防火炮</t>
  </si>
  <si>
    <r>
      <rPr>
        <sz val="11"/>
        <color rgb="FF000000"/>
        <rFont val="SimSun"/>
        <family val="0"/>
        <charset val="1"/>
      </rPr>
      <t xml:space="preserve">BM-4x147D</t>
    </r>
    <r>
      <rPr>
        <sz val="11"/>
        <color rgb="FF000000"/>
        <rFont val="AR PL SungtiL GB"/>
        <family val="2"/>
      </rPr>
      <t xml:space="preserve">型</t>
    </r>
  </si>
  <si>
    <t xml:space="preserve">攻击导弹发射管</t>
  </si>
  <si>
    <r>
      <rPr>
        <sz val="11"/>
        <color rgb="FF000000"/>
        <rFont val="AR PL SungtiL GB"/>
        <family val="2"/>
      </rPr>
      <t xml:space="preserve">“雷火”</t>
    </r>
    <r>
      <rPr>
        <sz val="11"/>
        <color rgb="FF000000"/>
        <rFont val="SimSun"/>
        <family val="0"/>
        <charset val="1"/>
      </rPr>
      <t xml:space="preserve">MK2-J/SG-2100</t>
    </r>
    <r>
      <rPr>
        <sz val="11"/>
        <color rgb="FF000000"/>
        <rFont val="AR PL SungtiL GB"/>
        <family val="2"/>
      </rPr>
      <t xml:space="preserve">型</t>
    </r>
  </si>
  <si>
    <t xml:space="preserve">双联装炮塔</t>
  </si>
  <si>
    <r>
      <rPr>
        <sz val="11"/>
        <color rgb="FF000000"/>
        <rFont val="SimSun"/>
        <family val="0"/>
        <charset val="1"/>
      </rPr>
      <t xml:space="preserve">SG-330A/D</t>
    </r>
    <r>
      <rPr>
        <sz val="11"/>
        <color rgb="FF000000"/>
        <rFont val="AR PL SungtiL GB"/>
        <family val="2"/>
      </rPr>
      <t xml:space="preserve">型</t>
    </r>
  </si>
  <si>
    <t xml:space="preserve">快速炮塔</t>
  </si>
  <si>
    <r>
      <rPr>
        <sz val="11"/>
        <color rgb="FF000000"/>
        <rFont val="AR PL SungtiL GB"/>
        <family val="2"/>
      </rPr>
      <t xml:space="preserve">“堡垒”</t>
    </r>
    <r>
      <rPr>
        <sz val="11"/>
        <color rgb="FF000000"/>
        <rFont val="SimSun"/>
        <family val="0"/>
        <charset val="1"/>
      </rPr>
      <t xml:space="preserve">MK2-BG-2100A/D</t>
    </r>
    <r>
      <rPr>
        <sz val="11"/>
        <color rgb="FF000000"/>
        <rFont val="AR PL SungtiL GB"/>
        <family val="2"/>
      </rPr>
      <t xml:space="preserve">型</t>
    </r>
  </si>
  <si>
    <t xml:space="preserve">双联装攻击火炮</t>
  </si>
  <si>
    <r>
      <rPr>
        <sz val="11"/>
        <color rgb="FF000000"/>
        <rFont val="SimSun"/>
        <family val="0"/>
        <charset val="1"/>
      </rPr>
      <t xml:space="preserve">BT-2x140D</t>
    </r>
    <r>
      <rPr>
        <sz val="11"/>
        <color rgb="FF000000"/>
        <rFont val="AR PL SungtiL GB"/>
        <family val="2"/>
      </rPr>
      <t xml:space="preserve">型</t>
    </r>
  </si>
  <si>
    <t xml:space="preserve">攻击鱼雷发射管</t>
  </si>
  <si>
    <r>
      <rPr>
        <sz val="11"/>
        <color rgb="FF000000"/>
        <rFont val="AR PL SungtiL GB"/>
        <family val="2"/>
      </rPr>
      <t xml:space="preserve">“托勒密之眼”</t>
    </r>
    <r>
      <rPr>
        <sz val="11"/>
        <color rgb="FF000000"/>
        <rFont val="SimSun"/>
        <family val="0"/>
        <charset val="1"/>
      </rPr>
      <t xml:space="preserve">MK2-CP-170T/D</t>
    </r>
    <r>
      <rPr>
        <sz val="11"/>
        <color rgb="FF000000"/>
        <rFont val="AR PL SungtiL GB"/>
        <family val="2"/>
      </rPr>
      <t xml:space="preserve">型</t>
    </r>
  </si>
  <si>
    <t xml:space="preserve">机载实验型脉冲炮塔</t>
  </si>
  <si>
    <r>
      <rPr>
        <sz val="11"/>
        <color rgb="FF000000"/>
        <rFont val="AR PL SungtiL GB"/>
        <family val="2"/>
      </rPr>
      <t xml:space="preserve">“堡垒”</t>
    </r>
    <r>
      <rPr>
        <sz val="11"/>
        <color rgb="FF000000"/>
        <rFont val="SimSun"/>
        <family val="0"/>
        <charset val="1"/>
      </rPr>
      <t xml:space="preserve">MK1-BG-160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</si>
  <si>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“堡垒”</t>
    </r>
    <r>
      <rPr>
        <sz val="11"/>
        <color rgb="FF000000"/>
        <rFont val="SimSun"/>
        <family val="0"/>
        <charset val="1"/>
      </rPr>
      <t xml:space="preserve">MK1-BG-245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</si>
  <si>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“超新星</t>
    </r>
    <r>
      <rPr>
        <sz val="11"/>
        <color rgb="FF000000"/>
        <rFont val="SimSun"/>
        <family val="0"/>
        <charset val="1"/>
      </rPr>
      <t xml:space="preserve">-</t>
    </r>
    <r>
      <rPr>
        <sz val="11"/>
        <color rgb="FF000000"/>
        <rFont val="AR PL SungtiL GB"/>
        <family val="2"/>
      </rPr>
      <t xml:space="preserve">白”</t>
    </r>
    <r>
      <rPr>
        <sz val="11"/>
        <color rgb="FF000000"/>
        <rFont val="SimSun"/>
        <family val="0"/>
        <charset val="1"/>
      </rPr>
      <t xml:space="preserve">-AT-360A</t>
    </r>
    <r>
      <rPr>
        <sz val="11"/>
        <color rgb="FF000000"/>
        <rFont val="AR PL SungtiL GB"/>
        <family val="2"/>
      </rPr>
      <t xml:space="preserve">型</t>
    </r>
  </si>
  <si>
    <t xml:space="preserve">对舰鱼雷</t>
  </si>
  <si>
    <r>
      <rPr>
        <sz val="11"/>
        <color rgb="FF000000"/>
        <rFont val="AR PL SungtiL GB"/>
        <family val="2"/>
      </rPr>
      <t xml:space="preserve">“十字”</t>
    </r>
    <r>
      <rPr>
        <sz val="11"/>
        <color rgb="FF000000"/>
        <rFont val="SimSun"/>
        <family val="0"/>
        <charset val="1"/>
      </rPr>
      <t xml:space="preserve">MK1-AG-335B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</si>
  <si>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“红宝石”</t>
    </r>
    <r>
      <rPr>
        <sz val="11"/>
        <color rgb="FF000000"/>
        <rFont val="SimSun"/>
        <family val="0"/>
        <charset val="1"/>
      </rPr>
      <t xml:space="preserve">-BR-1480A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</si>
  <si>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“堡垒”</t>
    </r>
    <r>
      <rPr>
        <sz val="11"/>
        <color rgb="FF000000"/>
        <rFont val="SimSun"/>
        <family val="0"/>
        <charset val="1"/>
      </rPr>
      <t xml:space="preserve">MK1-BG-220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</si>
  <si>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“罗安星铁矮人</t>
    </r>
    <r>
      <rPr>
        <sz val="11"/>
        <color rgb="FF000000"/>
        <rFont val="SimSun"/>
        <family val="0"/>
        <charset val="1"/>
      </rPr>
      <t xml:space="preserve">K”-CT-240A</t>
    </r>
    <r>
      <rPr>
        <sz val="11"/>
        <color rgb="FF000000"/>
        <rFont val="AR PL SungtiL GB"/>
        <family val="2"/>
      </rPr>
      <t xml:space="preserve">型</t>
    </r>
  </si>
  <si>
    <t xml:space="preserve">集束鱼雷</t>
  </si>
  <si>
    <r>
      <rPr>
        <sz val="11"/>
        <color rgb="FF000000"/>
        <rFont val="AR PL SungtiL GB"/>
        <family val="2"/>
      </rPr>
      <t xml:space="preserve">鱼雷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导弹</t>
    </r>
  </si>
  <si>
    <r>
      <rPr>
        <sz val="11"/>
        <color rgb="FF000000"/>
        <rFont val="SimSun"/>
        <family val="0"/>
        <charset val="1"/>
      </rPr>
      <t xml:space="preserve">CG-135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</si>
  <si>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CG-1118A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</si>
  <si>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AM-2x138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</si>
  <si>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“十字”</t>
    </r>
    <r>
      <rPr>
        <sz val="11"/>
        <color rgb="FF000000"/>
        <rFont val="SimSun"/>
        <family val="0"/>
        <charset val="1"/>
      </rPr>
      <t xml:space="preserve">MK2-AG-260A</t>
    </r>
    <r>
      <rPr>
        <sz val="11"/>
        <color rgb="FF000000"/>
        <rFont val="AR PL SungtiL GB"/>
        <family val="2"/>
      </rPr>
      <t xml:space="preserve">型</t>
    </r>
  </si>
  <si>
    <t xml:space="preserve">快速双联装火炮</t>
  </si>
  <si>
    <r>
      <rPr>
        <sz val="11"/>
        <color rgb="FF000000"/>
        <rFont val="AR PL SungtiL GB"/>
        <family val="2"/>
      </rPr>
      <t xml:space="preserve">“永远的北极星”</t>
    </r>
    <r>
      <rPr>
        <sz val="11"/>
        <color rgb="FF000000"/>
        <rFont val="SimSun"/>
        <family val="0"/>
        <charset val="1"/>
      </rPr>
      <t xml:space="preserve">MK1-AM-3x180</t>
    </r>
    <r>
      <rPr>
        <sz val="11"/>
        <color rgb="FF000000"/>
        <rFont val="AR PL SungtiL GB"/>
        <family val="2"/>
      </rPr>
      <t xml:space="preserve">型</t>
    </r>
  </si>
  <si>
    <t xml:space="preserve">三联装火箭发射巢</t>
  </si>
  <si>
    <r>
      <rPr>
        <sz val="11"/>
        <color rgb="FF000000"/>
        <rFont val="SimSun"/>
        <family val="0"/>
        <charset val="1"/>
      </rPr>
      <t xml:space="preserve">AG-260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</si>
  <si>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“永远的北极星”</t>
    </r>
    <r>
      <rPr>
        <sz val="11"/>
        <color rgb="FF000000"/>
        <rFont val="SimSun"/>
        <family val="0"/>
        <charset val="1"/>
      </rPr>
      <t xml:space="preserve">MK1-AM-3x180B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</si>
  <si>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FG300-SG-1150</t>
    </r>
    <r>
      <rPr>
        <sz val="11"/>
        <color rgb="FF000000"/>
        <rFont val="AR PL SungtiL GB"/>
        <family val="2"/>
      </rPr>
      <t xml:space="preserve">型</t>
    </r>
  </si>
  <si>
    <t xml:space="preserve">定制型快速通用火炮</t>
  </si>
  <si>
    <r>
      <rPr>
        <sz val="11"/>
        <color rgb="FF000000"/>
        <rFont val="SimSun"/>
        <family val="0"/>
        <charset val="1"/>
      </rPr>
      <t xml:space="preserve">SG-330B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</si>
  <si>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BG-1120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</si>
  <si>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FG-2253</t>
    </r>
    <r>
      <rPr>
        <sz val="11"/>
        <color rgb="FF000000"/>
        <rFont val="AR PL SungtiL GB"/>
        <family val="2"/>
      </rPr>
      <t xml:space="preserve">型</t>
    </r>
  </si>
  <si>
    <t xml:space="preserve">通用双联装火炮</t>
  </si>
  <si>
    <r>
      <rPr>
        <sz val="11"/>
        <color rgb="FF000000"/>
        <rFont val="SimSun"/>
        <family val="0"/>
        <charset val="1"/>
      </rPr>
      <t xml:space="preserve">FG-283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</si>
  <si>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FT-260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</si>
  <si>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FR-1385C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</si>
  <si>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FG-130B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</si>
  <si>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FM-6x400B/C</t>
    </r>
    <r>
      <rPr>
        <sz val="11"/>
        <color rgb="FF000000"/>
        <rFont val="AR PL SungtiL GB"/>
        <family val="2"/>
      </rPr>
      <t xml:space="preserve">型</t>
    </r>
  </si>
  <si>
    <t xml:space="preserve">导弹发射阵列</t>
  </si>
  <si>
    <r>
      <rPr>
        <sz val="11"/>
        <color rgb="FF000000"/>
        <rFont val="AR PL SungtiL GB"/>
        <family val="2"/>
      </rPr>
      <t xml:space="preserve">“风暴”</t>
    </r>
    <r>
      <rPr>
        <sz val="11"/>
        <color rgb="FF000000"/>
        <rFont val="SimSun"/>
        <family val="0"/>
        <charset val="1"/>
      </rPr>
      <t xml:space="preserve">MK2-CM-8x200C</t>
    </r>
    <r>
      <rPr>
        <sz val="11"/>
        <color rgb="FF000000"/>
        <rFont val="AR PL SungtiL GB"/>
        <family val="2"/>
      </rPr>
      <t xml:space="preserve">型</t>
    </r>
  </si>
  <si>
    <t xml:space="preserve">导弹发射巢</t>
  </si>
  <si>
    <r>
      <rPr>
        <sz val="11"/>
        <color rgb="FF000000"/>
        <rFont val="AR PL SungtiL GB"/>
        <family val="2"/>
      </rPr>
      <t xml:space="preserve">“堡垒”</t>
    </r>
    <r>
      <rPr>
        <sz val="11"/>
        <color rgb="FF000000"/>
        <rFont val="SimSun"/>
        <family val="0"/>
        <charset val="1"/>
      </rPr>
      <t xml:space="preserve">MK2-BG-2100B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</si>
  <si>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BP-600T</t>
    </r>
    <r>
      <rPr>
        <sz val="11"/>
        <color rgb="FF000000"/>
        <rFont val="AR PL SungtiL GB"/>
        <family val="2"/>
      </rPr>
      <t xml:space="preserve">型</t>
    </r>
  </si>
  <si>
    <t xml:space="preserve">试验型脉冲炮塔</t>
  </si>
  <si>
    <r>
      <rPr>
        <sz val="11"/>
        <color rgb="FF000000"/>
        <rFont val="AR PL SungtiL GB"/>
        <family val="2"/>
      </rPr>
      <t xml:space="preserve">脉冲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等离子</t>
    </r>
  </si>
  <si>
    <r>
      <rPr>
        <sz val="11"/>
        <color rgb="FF000000"/>
        <rFont val="SimSun"/>
        <family val="0"/>
        <charset val="1"/>
      </rPr>
      <t xml:space="preserve">BP-120B</t>
    </r>
    <r>
      <rPr>
        <sz val="11"/>
        <color rgb="FF000000"/>
        <rFont val="AR PL SungtiL GB"/>
        <family val="2"/>
      </rPr>
      <t xml:space="preserve">型</t>
    </r>
  </si>
  <si>
    <t xml:space="preserve">快速脉冲炮塔</t>
  </si>
  <si>
    <r>
      <rPr>
        <sz val="11"/>
        <color rgb="FF000000"/>
        <rFont val="SimSun"/>
        <family val="0"/>
        <charset val="1"/>
      </rPr>
      <t xml:space="preserve">AG-1120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</si>
  <si>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AC721-SG-2275C</t>
    </r>
    <r>
      <rPr>
        <sz val="11"/>
        <color rgb="FF000000"/>
        <rFont val="AR PL SungtiL GB"/>
        <family val="2"/>
      </rPr>
      <t xml:space="preserve">型</t>
    </r>
  </si>
  <si>
    <t xml:space="preserve">定制型双联装攻击火炮</t>
  </si>
  <si>
    <r>
      <rPr>
        <sz val="11"/>
        <color rgb="FF000000"/>
        <rFont val="SimSun"/>
        <family val="0"/>
        <charset val="1"/>
      </rPr>
      <t xml:space="preserve">SG-330B/D</t>
    </r>
    <r>
      <rPr>
        <sz val="11"/>
        <color rgb="FF000000"/>
        <rFont val="AR PL SungtiL GB"/>
        <family val="2"/>
      </rPr>
      <t xml:space="preserve">型</t>
    </r>
  </si>
  <si>
    <t xml:space="preserve">防空炮塔</t>
  </si>
  <si>
    <r>
      <rPr>
        <sz val="11"/>
        <color rgb="FF000000"/>
        <rFont val="AR PL SungtiL GB"/>
        <family val="2"/>
      </rPr>
      <t xml:space="preserve">“阋神”</t>
    </r>
    <r>
      <rPr>
        <sz val="11"/>
        <color rgb="FF000000"/>
        <rFont val="SimSun"/>
        <family val="0"/>
        <charset val="1"/>
      </rPr>
      <t xml:space="preserve">-AG-1156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</si>
  <si>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“阋神灰烬”</t>
    </r>
    <r>
      <rPr>
        <sz val="11"/>
        <color rgb="FF000000"/>
        <rFont val="SimSun"/>
        <family val="0"/>
        <charset val="1"/>
      </rPr>
      <t xml:space="preserve">-AG-2300</t>
    </r>
    <r>
      <rPr>
        <sz val="11"/>
        <color rgb="FF000000"/>
        <rFont val="AR PL SungtiL GB"/>
        <family val="2"/>
      </rPr>
      <t xml:space="preserve">型</t>
    </r>
  </si>
  <si>
    <t xml:space="preserve">重炮</t>
  </si>
  <si>
    <r>
      <rPr>
        <sz val="11"/>
        <color rgb="FF000000"/>
        <rFont val="AR PL SungtiL GB"/>
        <family val="2"/>
      </rPr>
      <t xml:space="preserve">“风暴”</t>
    </r>
    <r>
      <rPr>
        <sz val="11"/>
        <color rgb="FF000000"/>
        <rFont val="SimSun"/>
        <family val="0"/>
        <charset val="1"/>
      </rPr>
      <t xml:space="preserve">MK2-CM-4*280A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</si>
  <si>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“卡利莱恩</t>
    </r>
    <r>
      <rPr>
        <sz val="11"/>
        <color rgb="FF000000"/>
        <rFont val="SimSun"/>
        <family val="0"/>
        <charset val="1"/>
      </rPr>
      <t xml:space="preserve">K”-CG-2358C</t>
    </r>
    <r>
      <rPr>
        <sz val="11"/>
        <color rgb="FF000000"/>
        <rFont val="AR PL SungtiL GB"/>
        <family val="2"/>
      </rPr>
      <t xml:space="preserve">型</t>
    </r>
  </si>
  <si>
    <t xml:space="preserve">双联装舰首攻城舰炮</t>
  </si>
  <si>
    <r>
      <rPr>
        <sz val="11"/>
        <color rgb="FF000000"/>
        <rFont val="SimSun"/>
        <family val="0"/>
        <charset val="1"/>
      </rPr>
      <t xml:space="preserve">FG-1103B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</si>
  <si>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“寒风”</t>
    </r>
    <r>
      <rPr>
        <sz val="11"/>
        <color rgb="FF000000"/>
        <rFont val="SimSun"/>
        <family val="0"/>
        <charset val="1"/>
      </rPr>
      <t xml:space="preserve">-FM-6x410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</si>
  <si>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6</t>
    </r>
    <r>
      <rPr>
        <sz val="11"/>
        <color rgb="FF000000"/>
        <rFont val="AR PL SungtiL GB"/>
        <family val="2"/>
      </rPr>
      <t xml:space="preserve">联装导弹发射巢</t>
    </r>
  </si>
  <si>
    <r>
      <rPr>
        <sz val="11"/>
        <color rgb="FF000000"/>
        <rFont val="SimSun"/>
        <family val="0"/>
        <charset val="1"/>
      </rPr>
      <t xml:space="preserve">FG-1103A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</si>
  <si>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“寒风”</t>
    </r>
    <r>
      <rPr>
        <sz val="11"/>
        <color rgb="FF000000"/>
        <rFont val="SimSun"/>
        <family val="0"/>
        <charset val="1"/>
      </rPr>
      <t xml:space="preserve">-FM-6x210-B/S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</si>
  <si>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FG-280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</si>
  <si>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“NeoX”-FG-2300A</t>
    </r>
    <r>
      <rPr>
        <sz val="11"/>
        <color rgb="FF000000"/>
        <rFont val="AR PL SungtiL GB"/>
        <family val="2"/>
      </rPr>
      <t xml:space="preserve">型</t>
    </r>
  </si>
  <si>
    <t xml:space="preserve">对舰重炮</t>
  </si>
  <si>
    <r>
      <rPr>
        <sz val="11"/>
        <color rgb="FF000000"/>
        <rFont val="SimSun"/>
        <family val="0"/>
        <charset val="1"/>
      </rPr>
      <t xml:space="preserve">AR-2380C</t>
    </r>
    <r>
      <rPr>
        <sz val="11"/>
        <color rgb="FF000000"/>
        <rFont val="AR PL SungtiL GB"/>
        <family val="2"/>
      </rPr>
      <t xml:space="preserve">型</t>
    </r>
  </si>
  <si>
    <t xml:space="preserve">舰首轨道炮</t>
  </si>
  <si>
    <r>
      <rPr>
        <sz val="11"/>
        <color rgb="FF000000"/>
        <rFont val="SimSun"/>
        <family val="0"/>
        <charset val="1"/>
      </rPr>
      <t xml:space="preserve">AR-1125A</t>
    </r>
    <r>
      <rPr>
        <sz val="11"/>
        <color rgb="FF000000"/>
        <rFont val="AR PL SungtiL GB"/>
        <family val="2"/>
      </rPr>
      <t xml:space="preserve">型</t>
    </r>
  </si>
  <si>
    <t xml:space="preserve">轨道炮塔</t>
  </si>
  <si>
    <r>
      <rPr>
        <sz val="11"/>
        <color rgb="FF000000"/>
        <rFont val="AR PL SungtiL GB"/>
        <family val="2"/>
      </rPr>
      <t xml:space="preserve">“超新星</t>
    </r>
    <r>
      <rPr>
        <sz val="11"/>
        <color rgb="FF000000"/>
        <rFont val="SimSun"/>
        <family val="0"/>
        <charset val="1"/>
      </rPr>
      <t xml:space="preserve">-</t>
    </r>
    <r>
      <rPr>
        <sz val="11"/>
        <color rgb="FF000000"/>
        <rFont val="AR PL SungtiL GB"/>
        <family val="2"/>
      </rPr>
      <t xml:space="preserve">白</t>
    </r>
    <r>
      <rPr>
        <sz val="11"/>
        <color rgb="FF000000"/>
        <rFont val="SimSun"/>
        <family val="0"/>
        <charset val="1"/>
      </rPr>
      <t xml:space="preserve">K”MK3-AT-1-700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</si>
  <si>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AM-4x400B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</si>
  <si>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“堡垒”</t>
    </r>
    <r>
      <rPr>
        <sz val="11"/>
        <color rgb="FF000000"/>
        <rFont val="SimSun"/>
        <family val="0"/>
        <charset val="1"/>
      </rPr>
      <t xml:space="preserve">MK3-BG-2330A</t>
    </r>
    <r>
      <rPr>
        <sz val="11"/>
        <color rgb="FF000000"/>
        <rFont val="AR PL SungtiL GB"/>
        <family val="2"/>
      </rPr>
      <t xml:space="preserve">型</t>
    </r>
  </si>
  <si>
    <t xml:space="preserve">双联装对舰火炮</t>
  </si>
  <si>
    <r>
      <rPr>
        <sz val="11"/>
        <color rgb="FF000000"/>
        <rFont val="SimSun"/>
        <family val="0"/>
        <charset val="1"/>
      </rPr>
      <t xml:space="preserve">BG-290B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</si>
  <si>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BG-340B</t>
    </r>
    <r>
      <rPr>
        <sz val="11"/>
        <color rgb="FF000000"/>
        <rFont val="AR PL SungtiL GB"/>
        <family val="2"/>
      </rPr>
      <t xml:space="preserve">型</t>
    </r>
  </si>
  <si>
    <t xml:space="preserve">防空火炮</t>
  </si>
  <si>
    <r>
      <rPr>
        <sz val="11"/>
        <color rgb="FF000000"/>
        <rFont val="AR PL SungtiL GB"/>
        <family val="2"/>
      </rPr>
      <t xml:space="preserve">“堡垒”</t>
    </r>
    <r>
      <rPr>
        <sz val="11"/>
        <color rgb="FF000000"/>
        <rFont val="SimSun"/>
        <family val="0"/>
        <charset val="1"/>
      </rPr>
      <t xml:space="preserve">MK3-BG-2330A</t>
    </r>
  </si>
  <si>
    <r>
      <rPr>
        <sz val="11"/>
        <color rgb="FF000000"/>
        <rFont val="AR PL SungtiL GB"/>
        <family val="2"/>
      </rPr>
      <t xml:space="preserve">“雷域”</t>
    </r>
    <r>
      <rPr>
        <sz val="11"/>
        <color rgb="FF000000"/>
        <rFont val="SimSun"/>
        <family val="0"/>
        <charset val="1"/>
      </rPr>
      <t xml:space="preserve">MK5-BM-12x350A</t>
    </r>
    <r>
      <rPr>
        <sz val="11"/>
        <color rgb="FF000000"/>
        <rFont val="AR PL SungtiL GB"/>
        <family val="2"/>
      </rPr>
      <t xml:space="preserve">型</t>
    </r>
  </si>
  <si>
    <t xml:space="preserve">反舰导弹阵列</t>
  </si>
  <si>
    <r>
      <rPr>
        <sz val="11"/>
        <color rgb="FF000000"/>
        <rFont val="SimSun"/>
        <family val="0"/>
        <charset val="1"/>
      </rPr>
      <t xml:space="preserve">BM-8x400A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</si>
  <si>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BM-1x180A</t>
    </r>
    <r>
      <rPr>
        <sz val="11"/>
        <color rgb="FF000000"/>
        <rFont val="AR PL SungtiL GB"/>
        <family val="2"/>
      </rPr>
      <t xml:space="preserve">型</t>
    </r>
  </si>
  <si>
    <t xml:space="preserve">反舰导弹系统</t>
  </si>
  <si>
    <r>
      <rPr>
        <sz val="11"/>
        <color rgb="FF000000"/>
        <rFont val="AR PL SungtiL GB"/>
        <family val="2"/>
      </rPr>
      <t xml:space="preserve">“超新星</t>
    </r>
    <r>
      <rPr>
        <sz val="11"/>
        <color rgb="FF000000"/>
        <rFont val="SimSun"/>
        <family val="0"/>
        <charset val="1"/>
      </rPr>
      <t xml:space="preserve">-</t>
    </r>
    <r>
      <rPr>
        <sz val="11"/>
        <color rgb="FF000000"/>
        <rFont val="AR PL SungtiL GB"/>
        <family val="2"/>
      </rPr>
      <t xml:space="preserve">白</t>
    </r>
    <r>
      <rPr>
        <sz val="11"/>
        <color rgb="FF000000"/>
        <rFont val="SimSun"/>
        <family val="0"/>
        <charset val="1"/>
      </rPr>
      <t xml:space="preserve">K”MK2-AT-8-700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</si>
  <si>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AG-1120B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</si>
  <si>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“超新星</t>
    </r>
    <r>
      <rPr>
        <sz val="11"/>
        <color rgb="FF000000"/>
        <rFont val="SimSun"/>
        <family val="0"/>
        <charset val="1"/>
      </rPr>
      <t xml:space="preserve">-</t>
    </r>
    <r>
      <rPr>
        <sz val="11"/>
        <color rgb="FF000000"/>
        <rFont val="AR PL SungtiL GB"/>
        <family val="2"/>
      </rPr>
      <t xml:space="preserve">白</t>
    </r>
    <r>
      <rPr>
        <sz val="11"/>
        <color rgb="FF000000"/>
        <rFont val="SimSun"/>
        <family val="0"/>
        <charset val="1"/>
      </rPr>
      <t xml:space="preserve">K”MK2-AT-8-820A</t>
    </r>
    <r>
      <rPr>
        <sz val="11"/>
        <color rgb="FF000000"/>
        <rFont val="AR PL SungtiL GB"/>
        <family val="2"/>
      </rPr>
      <t xml:space="preserve">型</t>
    </r>
  </si>
  <si>
    <t xml:space="preserve">反舰鱼雷</t>
  </si>
  <si>
    <r>
      <rPr>
        <sz val="11"/>
        <color rgb="FF000000"/>
        <rFont val="SimSun"/>
        <family val="0"/>
        <charset val="1"/>
      </rPr>
      <t xml:space="preserve">CM-8x188A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</si>
  <si>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8</t>
    </r>
    <r>
      <rPr>
        <sz val="11"/>
        <color rgb="FF000000"/>
        <rFont val="AR PL SungtiL GB"/>
        <family val="2"/>
      </rPr>
      <t xml:space="preserve">联装导弹发射阵列</t>
    </r>
  </si>
  <si>
    <r>
      <rPr>
        <sz val="11"/>
        <color rgb="FF000000"/>
        <rFont val="SimSun"/>
        <family val="0"/>
        <charset val="1"/>
      </rPr>
      <t xml:space="preserve">CG-1105B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</si>
  <si>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“雷式”</t>
    </r>
    <r>
      <rPr>
        <sz val="11"/>
        <color rgb="FF000000"/>
        <rFont val="SimSun"/>
        <family val="0"/>
        <charset val="1"/>
      </rPr>
      <t xml:space="preserve">MK2-AI-2x720</t>
    </r>
    <r>
      <rPr>
        <sz val="11"/>
        <color rgb="FF000000"/>
        <rFont val="AR PL SungtiL GB"/>
        <family val="2"/>
      </rPr>
      <t xml:space="preserve">型</t>
    </r>
  </si>
  <si>
    <t xml:space="preserve">双联装离子炮</t>
  </si>
  <si>
    <r>
      <rPr>
        <sz val="11"/>
        <color rgb="FF000000"/>
        <rFont val="SimSun"/>
        <family val="0"/>
        <charset val="1"/>
      </rPr>
      <t xml:space="preserve">AM-8x150A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</si>
  <si>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ST-8-610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</si>
  <si>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8</t>
    </r>
    <r>
      <rPr>
        <sz val="11"/>
        <color rgb="FF000000"/>
        <rFont val="AR PL SungtiL GB"/>
        <family val="2"/>
      </rPr>
      <t xml:space="preserve">联装鱼雷发射系统</t>
    </r>
  </si>
  <si>
    <r>
      <rPr>
        <sz val="11"/>
        <rFont val="AR PL SungtiL GB"/>
        <family val="2"/>
      </rPr>
      <t xml:space="preserve">“雷火”</t>
    </r>
    <r>
      <rPr>
        <sz val="11"/>
        <rFont val="SimSun"/>
        <family val="0"/>
        <charset val="1"/>
      </rPr>
      <t xml:space="preserve">MK4-SG-2550</t>
    </r>
    <r>
      <rPr>
        <sz val="11"/>
        <rFont val="AR PL SungtiL GB"/>
        <family val="2"/>
      </rPr>
      <t xml:space="preserve">型</t>
    </r>
  </si>
  <si>
    <t xml:space="preserve">对舰火炮</t>
  </si>
  <si>
    <r>
      <rPr>
        <sz val="11"/>
        <color rgb="FF000000"/>
        <rFont val="SimSun"/>
        <family val="0"/>
        <charset val="1"/>
      </rPr>
      <t xml:space="preserve">SG-1120B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</si>
  <si>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KCCPV-SM-16x450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</si>
  <si>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16</t>
    </r>
    <r>
      <rPr>
        <sz val="11"/>
        <color rgb="FF000000"/>
        <rFont val="AR PL SungtiL GB"/>
        <family val="2"/>
      </rPr>
      <t xml:space="preserve">联装导弹发射阵列</t>
    </r>
  </si>
  <si>
    <r>
      <rPr>
        <sz val="11"/>
        <color rgb="FF000000"/>
        <rFont val="SimSun"/>
        <family val="0"/>
        <charset val="1"/>
      </rPr>
      <t xml:space="preserve">KCCPV-ST-3-700C</t>
    </r>
    <r>
      <rPr>
        <sz val="11"/>
        <color rgb="FF000000"/>
        <rFont val="AR PL SungtiL GB"/>
        <family val="2"/>
      </rPr>
      <t xml:space="preserve">型</t>
    </r>
  </si>
  <si>
    <t xml:space="preserve">定制重型攻城鱼雷发射管</t>
  </si>
  <si>
    <r>
      <rPr>
        <sz val="11"/>
        <color rgb="FF000000"/>
        <rFont val="SimSun"/>
        <family val="0"/>
        <charset val="1"/>
      </rPr>
      <t xml:space="preserve">SG-1120C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</si>
  <si>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FG-2283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</si>
  <si>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FI-750A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</si>
  <si>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rFont val="SimSun"/>
        <family val="0"/>
        <charset val="1"/>
      </rPr>
      <t xml:space="preserve">FG-363B</t>
    </r>
    <r>
      <rPr>
        <sz val="11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</si>
  <si>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FG-1180A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</si>
  <si>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FG-2180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</si>
  <si>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CG-1240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</si>
  <si>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AR-2500C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</si>
  <si>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AM-4x608</t>
    </r>
    <r>
      <rPr>
        <sz val="11"/>
        <color rgb="FF000000"/>
        <rFont val="AR PL SungtiL GB"/>
        <family val="2"/>
      </rPr>
      <t xml:space="preserve">型</t>
    </r>
  </si>
  <si>
    <t xml:space="preserve">防空导弹发射巢</t>
  </si>
  <si>
    <r>
      <rPr>
        <sz val="11"/>
        <color rgb="FF000000"/>
        <rFont val="AR PL SungtiL GB"/>
        <family val="2"/>
      </rPr>
      <t xml:space="preserve">“红宝石”</t>
    </r>
    <r>
      <rPr>
        <sz val="11"/>
        <color rgb="FF000000"/>
        <rFont val="SimSun"/>
        <family val="0"/>
        <charset val="1"/>
      </rPr>
      <t xml:space="preserve">-BR-1950C</t>
    </r>
    <r>
      <rPr>
        <sz val="11"/>
        <color rgb="FF000000"/>
        <rFont val="AR PL SungtiL GB"/>
        <family val="2"/>
      </rPr>
      <t xml:space="preserve">型</t>
    </r>
  </si>
  <si>
    <t xml:space="preserve">舰首攻城轨道炮</t>
  </si>
  <si>
    <r>
      <rPr>
        <sz val="11"/>
        <color rgb="FF000000"/>
        <rFont val="SimSun"/>
        <family val="0"/>
        <charset val="1"/>
      </rPr>
      <t xml:space="preserve">BG-1850</t>
    </r>
    <r>
      <rPr>
        <sz val="11"/>
        <color rgb="FF000000"/>
        <rFont val="AR PL SungtiL GB"/>
        <family val="2"/>
      </rPr>
      <t xml:space="preserve">型</t>
    </r>
  </si>
  <si>
    <t xml:space="preserve">重型火炮</t>
  </si>
  <si>
    <r>
      <rPr>
        <sz val="11"/>
        <color rgb="FF000000"/>
        <rFont val="SimSun"/>
        <family val="0"/>
        <charset val="1"/>
      </rPr>
      <t xml:space="preserve">BG-2240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</si>
  <si>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“氦闪”</t>
    </r>
    <r>
      <rPr>
        <sz val="11"/>
        <color rgb="FF000000"/>
        <rFont val="SimSun"/>
        <family val="0"/>
        <charset val="1"/>
      </rPr>
      <t xml:space="preserve">CI-2x700T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</si>
  <si>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联装超重型离子炮塔</t>
    </r>
  </si>
  <si>
    <r>
      <rPr>
        <sz val="11"/>
        <color rgb="FF000000"/>
        <rFont val="AR PL SungtiL GB"/>
        <family val="2"/>
      </rPr>
      <t xml:space="preserve">等离子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脉冲</t>
    </r>
  </si>
  <si>
    <r>
      <rPr>
        <sz val="11"/>
        <color rgb="FF000000"/>
        <rFont val="AR PL SungtiL GB"/>
        <family val="2"/>
      </rPr>
      <t xml:space="preserve">“伽马风暴”</t>
    </r>
    <r>
      <rPr>
        <sz val="11"/>
        <color rgb="FF000000"/>
        <rFont val="SimSun"/>
        <family val="0"/>
        <charset val="1"/>
      </rPr>
      <t xml:space="preserve">-CM-8x608A</t>
    </r>
    <r>
      <rPr>
        <sz val="11"/>
        <color rgb="FF000000"/>
        <rFont val="AR PL SungtiL GB"/>
        <family val="2"/>
      </rPr>
      <t xml:space="preserve">型</t>
    </r>
  </si>
  <si>
    <t xml:space="preserve">常规导弹发射系统</t>
  </si>
  <si>
    <r>
      <rPr>
        <sz val="11"/>
        <color rgb="FF000000"/>
        <rFont val="AR PL SungtiL GB"/>
        <family val="2"/>
      </rPr>
      <t xml:space="preserve">“伽马风暴”</t>
    </r>
    <r>
      <rPr>
        <sz val="11"/>
        <color rgb="FF000000"/>
        <rFont val="SimSun"/>
        <family val="0"/>
        <charset val="1"/>
      </rPr>
      <t xml:space="preserve">-CT-2x600</t>
    </r>
    <r>
      <rPr>
        <sz val="11"/>
        <color rgb="FF000000"/>
        <rFont val="AR PL SungtiL GB"/>
        <family val="2"/>
      </rPr>
      <t xml:space="preserve">型</t>
    </r>
  </si>
  <si>
    <t xml:space="preserve">能量鱼雷发射系统</t>
  </si>
  <si>
    <r>
      <rPr>
        <sz val="11"/>
        <color rgb="FF000000"/>
        <rFont val="AR PL SungtiL GB"/>
        <family val="2"/>
      </rPr>
      <t xml:space="preserve">“雷式”</t>
    </r>
    <r>
      <rPr>
        <sz val="11"/>
        <color rgb="FF000000"/>
        <rFont val="SimSun"/>
        <family val="0"/>
        <charset val="1"/>
      </rPr>
      <t xml:space="preserve">AI-900A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</si>
  <si>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“永远的北极星</t>
    </r>
    <r>
      <rPr>
        <sz val="11"/>
        <color rgb="FF000000"/>
        <rFont val="SimSun"/>
        <family val="0"/>
        <charset val="1"/>
      </rPr>
      <t xml:space="preserve">K”MK2-AM-8x300B</t>
    </r>
    <r>
      <rPr>
        <sz val="11"/>
        <color rgb="FF000000"/>
        <rFont val="AR PL SungtiL GB"/>
        <family val="2"/>
      </rPr>
      <t xml:space="preserve">型</t>
    </r>
  </si>
  <si>
    <t xml:space="preserve">集束导弹</t>
  </si>
  <si>
    <r>
      <rPr>
        <sz val="11"/>
        <color rgb="FF000000"/>
        <rFont val="AR PL SungtiL GB"/>
        <family val="2"/>
      </rPr>
      <t xml:space="preserve">“超新星</t>
    </r>
    <r>
      <rPr>
        <sz val="11"/>
        <color rgb="FF000000"/>
        <rFont val="SimSun"/>
        <family val="0"/>
        <charset val="1"/>
      </rPr>
      <t xml:space="preserve">-</t>
    </r>
    <r>
      <rPr>
        <sz val="11"/>
        <color rgb="FF000000"/>
        <rFont val="AR PL SungtiL GB"/>
        <family val="2"/>
      </rPr>
      <t xml:space="preserve">白”</t>
    </r>
    <r>
      <rPr>
        <sz val="11"/>
        <color rgb="FF000000"/>
        <rFont val="SimSun"/>
        <family val="0"/>
        <charset val="1"/>
      </rPr>
      <t xml:space="preserve">MK3-AT-800A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</si>
  <si>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AG-1105B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</si>
  <si>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SR-2600</t>
    </r>
    <r>
      <rPr>
        <sz val="11"/>
        <color rgb="FF000000"/>
        <rFont val="AR PL SungtiL GB"/>
        <family val="2"/>
      </rPr>
      <t xml:space="preserve">型</t>
    </r>
  </si>
  <si>
    <t xml:space="preserve">重型轨道炮</t>
  </si>
  <si>
    <r>
      <rPr>
        <sz val="11"/>
        <color rgb="FF000000"/>
        <rFont val="AR PL SungtiL GB"/>
        <family val="2"/>
      </rPr>
      <t xml:space="preserve">电磁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火炮</t>
    </r>
  </si>
  <si>
    <r>
      <rPr>
        <sz val="11"/>
        <color rgb="FF000000"/>
        <rFont val="AR PL SungtiL GB"/>
        <family val="2"/>
      </rPr>
      <t xml:space="preserve">“雷火”</t>
    </r>
    <r>
      <rPr>
        <sz val="11"/>
        <color rgb="FF000000"/>
        <rFont val="SimSun"/>
        <family val="0"/>
        <charset val="1"/>
      </rPr>
      <t xml:space="preserve">MK4-SG-2580</t>
    </r>
    <r>
      <rPr>
        <sz val="11"/>
        <color rgb="FF000000"/>
        <rFont val="AR PL SungtiL GB"/>
        <family val="2"/>
      </rPr>
      <t xml:space="preserve">型</t>
    </r>
  </si>
  <si>
    <t xml:space="preserve">双联装重型火炮</t>
  </si>
  <si>
    <r>
      <rPr>
        <sz val="11"/>
        <color rgb="FF000000"/>
        <rFont val="SimSun"/>
        <family val="0"/>
        <charset val="1"/>
      </rPr>
      <t xml:space="preserve">“K-ST-12-255A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</si>
  <si>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3x4</t>
    </r>
    <r>
      <rPr>
        <sz val="11"/>
        <color rgb="FF000000"/>
        <rFont val="AR PL SungtiL GB"/>
        <family val="2"/>
      </rPr>
      <t xml:space="preserve">集束鱼雷发射系统</t>
    </r>
  </si>
  <si>
    <r>
      <rPr>
        <sz val="11"/>
        <color rgb="FF000000"/>
        <rFont val="SimSun"/>
        <family val="0"/>
        <charset val="1"/>
      </rPr>
      <t xml:space="preserve">SP-430</t>
    </r>
    <r>
      <rPr>
        <sz val="11"/>
        <color rgb="FF000000"/>
        <rFont val="AR PL SungtiL GB"/>
        <family val="2"/>
      </rPr>
      <t xml:space="preserve">型</t>
    </r>
  </si>
  <si>
    <t xml:space="preserve">脉冲炮塔</t>
  </si>
  <si>
    <r>
      <rPr>
        <sz val="11"/>
        <color rgb="FF000000"/>
        <rFont val="AR PL SungtiL GB"/>
        <family val="2"/>
      </rPr>
      <t xml:space="preserve">“寒风”</t>
    </r>
    <r>
      <rPr>
        <sz val="11"/>
        <color rgb="FF000000"/>
        <rFont val="SimSun"/>
        <family val="0"/>
        <charset val="1"/>
      </rPr>
      <t xml:space="preserve">-FM-12x410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</si>
  <si>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12</t>
    </r>
    <r>
      <rPr>
        <sz val="11"/>
        <color rgb="FF000000"/>
        <rFont val="AR PL SungtiL GB"/>
        <family val="2"/>
      </rPr>
      <t xml:space="preserve">联装导弹发射巢</t>
    </r>
  </si>
  <si>
    <r>
      <rPr>
        <sz val="11"/>
        <color rgb="FF000000"/>
        <rFont val="AR PL SungtiL GB"/>
        <family val="2"/>
      </rPr>
      <t xml:space="preserve">“寒风”</t>
    </r>
    <r>
      <rPr>
        <sz val="11"/>
        <color rgb="FF000000"/>
        <rFont val="SimSun"/>
        <family val="0"/>
        <charset val="1"/>
      </rPr>
      <t xml:space="preserve">-FM-2x210</t>
    </r>
    <r>
      <rPr>
        <sz val="11"/>
        <color rgb="FF000000"/>
        <rFont val="AR PL SungtiL GB"/>
        <family val="2"/>
      </rPr>
      <t xml:space="preserve">型</t>
    </r>
  </si>
  <si>
    <t xml:space="preserve">双联装导弹发射巢</t>
  </si>
  <si>
    <r>
      <rPr>
        <sz val="11"/>
        <color rgb="FF000000"/>
        <rFont val="SimSun"/>
        <family val="0"/>
        <charset val="1"/>
      </rPr>
      <t xml:space="preserve">FR-2600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</si>
  <si>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BG-2450A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</si>
  <si>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“雷域”</t>
    </r>
    <r>
      <rPr>
        <sz val="11"/>
        <color rgb="FF000000"/>
        <rFont val="SimSun"/>
        <family val="0"/>
        <charset val="1"/>
      </rPr>
      <t xml:space="preserve">MK3-BM-8x320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</si>
  <si>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SimSun"/>
        <family val="0"/>
        <charset val="1"/>
      </rPr>
      <t xml:space="preserve">8</t>
    </r>
    <r>
      <rPr>
        <sz val="11"/>
        <color rgb="FF000000"/>
        <rFont val="AR PL SungtiL GB"/>
        <family val="2"/>
      </rPr>
      <t xml:space="preserve">联装反舰导弹系统</t>
    </r>
  </si>
  <si>
    <r>
      <rPr>
        <sz val="11"/>
        <color rgb="FF000000"/>
        <rFont val="AR PL SungtiL GB"/>
        <family val="2"/>
      </rPr>
      <t xml:space="preserve">“雷域”</t>
    </r>
    <r>
      <rPr>
        <sz val="11"/>
        <color rgb="FF000000"/>
        <rFont val="SimSun"/>
        <family val="0"/>
        <charset val="1"/>
      </rPr>
      <t xml:space="preserve">MK5-BM-16x180</t>
    </r>
    <r>
      <rPr>
        <sz val="11"/>
        <color rgb="FF000000"/>
        <rFont val="AR PL SungtiL GB"/>
        <family val="2"/>
      </rPr>
      <t xml:space="preserve">型</t>
    </r>
  </si>
  <si>
    <r>
      <rPr>
        <sz val="11"/>
        <color rgb="FF000000"/>
        <rFont val="AR PL SungtiL GB"/>
        <family val="2"/>
      </rPr>
      <t xml:space="preserve">“尨式”</t>
    </r>
    <r>
      <rPr>
        <sz val="11"/>
        <color rgb="FF000000"/>
        <rFont val="SimSun"/>
        <family val="0"/>
        <charset val="1"/>
      </rPr>
      <t xml:space="preserve">MK4-C/SG-3480A</t>
    </r>
    <r>
      <rPr>
        <sz val="11"/>
        <color rgb="FF000000"/>
        <rFont val="AR PL SungtiL GB"/>
        <family val="2"/>
      </rPr>
      <t xml:space="preserve">型</t>
    </r>
  </si>
  <si>
    <t xml:space="preserve">三联装重型火炮</t>
  </si>
  <si>
    <r>
      <rPr>
        <sz val="11"/>
        <color rgb="FF000000"/>
        <rFont val="AR PL SungtiL GB"/>
        <family val="2"/>
      </rPr>
      <t xml:space="preserve">“尨式”</t>
    </r>
    <r>
      <rPr>
        <sz val="11"/>
        <color rgb="FF000000"/>
        <rFont val="SimSun"/>
        <family val="0"/>
        <charset val="1"/>
      </rPr>
      <t xml:space="preserve">C/SG-190B</t>
    </r>
    <r>
      <rPr>
        <sz val="11"/>
        <color rgb="FF000000"/>
        <rFont val="AR PL SungtiL GB"/>
        <family val="2"/>
      </rPr>
      <t xml:space="preserve">型</t>
    </r>
  </si>
  <si>
    <t xml:space="preserve">通用快速火炮</t>
  </si>
  <si>
    <r>
      <rPr>
        <sz val="11"/>
        <color rgb="FF000000"/>
        <rFont val="SimSun"/>
        <family val="0"/>
        <charset val="1"/>
      </rPr>
      <t xml:space="preserve">“BM-12x180T</t>
    </r>
    <r>
      <rPr>
        <sz val="11"/>
        <color rgb="FF000000"/>
        <rFont val="AR PL SungtiL GB"/>
        <family val="2"/>
      </rPr>
      <t xml:space="preserve">型</t>
    </r>
  </si>
  <si>
    <t xml:space="preserve">防御导弹系统</t>
  </si>
  <si>
    <t xml:space="preserve">名字：机库装甲强化</t>
  </si>
  <si>
    <t xml:space="preserve">名字：机载武器维护</t>
  </si>
  <si>
    <t xml:space="preserve">名字：攻城弹药强化、城防弱点识别</t>
  </si>
  <si>
    <t xml:space="preserve">名字：弹药补充加速</t>
  </si>
  <si>
    <t xml:space="preserve">名字：辅助攻击雷达</t>
  </si>
  <si>
    <r>
      <rPr>
        <sz val="11"/>
        <color rgb="FF000000"/>
        <rFont val="AR PL SungtiL GB"/>
        <family val="2"/>
      </rPr>
      <t xml:space="preserve">被制导武器（导弹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鱼雷）命中率下降</t>
    </r>
    <r>
      <rPr>
        <sz val="11"/>
        <color rgb="FF000000"/>
        <rFont val="SimSun"/>
        <family val="0"/>
        <charset val="1"/>
      </rPr>
      <t xml:space="preserve">20%</t>
    </r>
  </si>
  <si>
    <r>
      <rPr>
        <sz val="11"/>
        <color rgb="FF000000"/>
        <rFont val="AR PL SungtiL GB"/>
        <family val="2"/>
      </rPr>
      <t xml:space="preserve">无人机维修效果提升</t>
    </r>
    <r>
      <rPr>
        <sz val="11"/>
        <color rgb="FF000000"/>
        <rFont val="SimSun"/>
        <family val="0"/>
        <charset val="1"/>
      </rPr>
      <t xml:space="preserve">10%</t>
    </r>
  </si>
  <si>
    <r>
      <rPr>
        <sz val="11"/>
        <color rgb="FF000000"/>
        <rFont val="AR PL SungtiL GB"/>
        <family val="2"/>
      </rPr>
      <t xml:space="preserve">载机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无人机锁定目标速度提升</t>
    </r>
    <r>
      <rPr>
        <sz val="11"/>
        <color rgb="FF000000"/>
        <rFont val="SimSun"/>
        <family val="0"/>
        <charset val="1"/>
      </rPr>
      <t xml:space="preserve">70%</t>
    </r>
  </si>
  <si>
    <r>
      <rPr>
        <sz val="11"/>
        <color rgb="FF000000"/>
        <rFont val="AR PL SungtiL GB"/>
        <family val="2"/>
      </rPr>
      <t xml:space="preserve">载机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无人机伤害提升</t>
    </r>
    <r>
      <rPr>
        <sz val="11"/>
        <color rgb="FF000000"/>
        <rFont val="SimSun"/>
        <family val="0"/>
        <charset val="1"/>
      </rPr>
      <t xml:space="preserve">10%</t>
    </r>
  </si>
  <si>
    <r>
      <rPr>
        <sz val="11"/>
        <color rgb="FF000000"/>
        <rFont val="AR PL SungtiL GB"/>
        <family val="2"/>
      </rPr>
      <t xml:space="preserve">载机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无人机攻城伤害提升</t>
    </r>
    <r>
      <rPr>
        <sz val="11"/>
        <color rgb="FF000000"/>
        <rFont val="SimSun"/>
        <family val="0"/>
        <charset val="1"/>
      </rPr>
      <t xml:space="preserve">15%</t>
    </r>
  </si>
  <si>
    <r>
      <rPr>
        <sz val="11"/>
        <color rgb="FF000000"/>
        <rFont val="AR PL SungtiL GB"/>
        <family val="2"/>
      </rPr>
      <t xml:space="preserve">所有载机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无人机伤害提升</t>
    </r>
    <r>
      <rPr>
        <sz val="11"/>
        <color rgb="FF000000"/>
        <rFont val="SimSun"/>
        <family val="0"/>
        <charset val="1"/>
      </rPr>
      <t xml:space="preserve">3%</t>
    </r>
  </si>
  <si>
    <r>
      <rPr>
        <sz val="11"/>
        <color rgb="FF000000"/>
        <rFont val="AR PL SungtiL GB"/>
        <family val="2"/>
      </rPr>
      <t xml:space="preserve">载机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无人机返回冷却时间下降</t>
    </r>
    <r>
      <rPr>
        <sz val="11"/>
        <color rgb="FF000000"/>
        <rFont val="SimSun"/>
        <family val="0"/>
        <charset val="1"/>
      </rPr>
      <t xml:space="preserve">20%</t>
    </r>
  </si>
  <si>
    <r>
      <rPr>
        <sz val="11"/>
        <color rgb="FF000000"/>
        <rFont val="AR PL SungtiL GB"/>
        <family val="2"/>
      </rPr>
      <t xml:space="preserve">所有载机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无人机返回冷却时间下降</t>
    </r>
    <r>
      <rPr>
        <sz val="11"/>
        <color rgb="FF000000"/>
        <rFont val="SimSun"/>
        <family val="0"/>
        <charset val="1"/>
      </rPr>
      <t xml:space="preserve">5%</t>
    </r>
  </si>
  <si>
    <r>
      <rPr>
        <sz val="11"/>
        <color rgb="FF000000"/>
        <rFont val="AR PL SungtiL GB"/>
        <family val="2"/>
      </rPr>
      <t xml:space="preserve">载机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无人机命中率提升</t>
    </r>
    <r>
      <rPr>
        <sz val="11"/>
        <color rgb="FF000000"/>
        <rFont val="SimSun"/>
        <family val="0"/>
        <charset val="1"/>
      </rPr>
      <t xml:space="preserve">20%</t>
    </r>
  </si>
  <si>
    <r>
      <rPr>
        <sz val="11"/>
        <color rgb="FF000000"/>
        <rFont val="AR PL SungtiL GB"/>
        <family val="2"/>
      </rPr>
      <t xml:space="preserve">载机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无人机主武器获得拦截效果，导弹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鱼雷拦截率</t>
    </r>
    <r>
      <rPr>
        <sz val="11"/>
        <color rgb="FF000000"/>
        <rFont val="SimSun"/>
        <family val="0"/>
        <charset val="1"/>
      </rPr>
      <t xml:space="preserve">5%</t>
    </r>
  </si>
  <si>
    <r>
      <rPr>
        <sz val="11"/>
        <color rgb="FF000000"/>
        <rFont val="AR PL SungtiL GB"/>
        <family val="2"/>
      </rPr>
      <t xml:space="preserve">载机导弹闪避率提升</t>
    </r>
    <r>
      <rPr>
        <sz val="11"/>
        <color rgb="FF000000"/>
        <rFont val="SimSun"/>
        <family val="0"/>
        <charset val="1"/>
      </rPr>
      <t xml:space="preserve">30%</t>
    </r>
  </si>
  <si>
    <r>
      <rPr>
        <sz val="11"/>
        <color rgb="FF000000"/>
        <rFont val="AR PL SungtiL GB"/>
        <family val="2"/>
      </rPr>
      <t xml:space="preserve">载机入仓维修提升</t>
    </r>
    <r>
      <rPr>
        <sz val="11"/>
        <color rgb="FF000000"/>
        <rFont val="SimSun"/>
        <family val="0"/>
        <charset val="1"/>
      </rPr>
      <t xml:space="preserve">10%</t>
    </r>
  </si>
  <si>
    <t xml:space="preserve">机库类型</t>
  </si>
  <si>
    <t xml:space="preserve">战斗</t>
  </si>
  <si>
    <t xml:space="preserve">信息</t>
  </si>
  <si>
    <t xml:space="preserve">载机入仓维修</t>
  </si>
  <si>
    <t xml:space="preserve">中型</t>
  </si>
  <si>
    <t xml:space="preserve">大型</t>
  </si>
  <si>
    <t xml:space="preserve">攻城无人机保障系统</t>
  </si>
  <si>
    <t xml:space="preserve">“毒刺”无人机攻击系统</t>
  </si>
  <si>
    <r>
      <rPr>
        <sz val="11"/>
        <color rgb="FF000000"/>
        <rFont val="AR PL SungtiL GB"/>
        <family val="2"/>
      </rPr>
      <t xml:space="preserve">优先派出舰载机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无人机对其进行攻击，并缩短攻击时间</t>
    </r>
    <r>
      <rPr>
        <sz val="11"/>
        <color rgb="FF000000"/>
        <rFont val="SimSun"/>
        <family val="0"/>
        <charset val="1"/>
      </rPr>
      <t xml:space="preserve">35%</t>
    </r>
    <r>
      <rPr>
        <sz val="11"/>
        <color rgb="FF000000"/>
        <rFont val="AR PL SungtiL GB"/>
        <family val="2"/>
      </rPr>
      <t xml:space="preserve">。</t>
    </r>
  </si>
  <si>
    <r>
      <rPr>
        <sz val="11"/>
        <color rgb="FF000000"/>
        <rFont val="SimSun"/>
        <family val="0"/>
        <charset val="1"/>
      </rPr>
      <t xml:space="preserve">28%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</si>
  <si>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35%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</si>
  <si>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42%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</si>
  <si>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56%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</si>
  <si>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70%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</si>
  <si>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16%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</si>
  <si>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t xml:space="preserve">“毒刺”防卫无人机系统</t>
  </si>
  <si>
    <t xml:space="preserve">突击登陆无人机系统</t>
  </si>
  <si>
    <t xml:space="preserve">防空无人机系统</t>
  </si>
  <si>
    <t xml:space="preserve">攻城无人机系统</t>
  </si>
  <si>
    <r>
      <rPr>
        <sz val="11"/>
        <color rgb="FF000000"/>
        <rFont val="SimSun"/>
        <family val="0"/>
        <charset val="1"/>
      </rPr>
      <t xml:space="preserve">7%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</si>
  <si>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14%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</si>
  <si>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21%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3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</si>
  <si>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8%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23</t>
    </r>
    <r>
      <rPr>
        <sz val="11"/>
        <color rgb="FF000000"/>
        <rFont val="AR PL SungtiL GB"/>
        <family val="2"/>
      </rPr>
      <t xml:space="preserve">）</t>
    </r>
  </si>
  <si>
    <t xml:space="preserve">无人机支援系统</t>
  </si>
  <si>
    <t xml:space="preserve">紧急维修</t>
  </si>
  <si>
    <r>
      <rPr>
        <sz val="11"/>
        <color rgb="FF000000"/>
        <rFont val="AR PL SungtiL GB"/>
        <family val="2"/>
      </rPr>
      <t xml:space="preserve">令所携带无人机对自身进行维修，维修效果提高</t>
    </r>
    <r>
      <rPr>
        <sz val="11"/>
        <color rgb="FF000000"/>
        <rFont val="SimSun"/>
        <family val="0"/>
        <charset val="1"/>
      </rPr>
      <t xml:space="preserve">100%</t>
    </r>
    <r>
      <rPr>
        <sz val="11"/>
        <color rgb="FF000000"/>
        <rFont val="AR PL SungtiL GB"/>
        <family val="2"/>
      </rPr>
      <t xml:space="preserve">。</t>
    </r>
  </si>
  <si>
    <r>
      <rPr>
        <sz val="11"/>
        <color rgb="FF000000"/>
        <rFont val="SimSun"/>
        <family val="0"/>
        <charset val="1"/>
      </rPr>
      <t xml:space="preserve">56%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</si>
  <si>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70%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</si>
  <si>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t xml:space="preserve">苔原无人机系统</t>
  </si>
  <si>
    <t xml:space="preserve">战机维护指挥系统</t>
  </si>
  <si>
    <t xml:space="preserve">战术无人机系统</t>
  </si>
  <si>
    <t xml:space="preserve">炮艇维护系统</t>
  </si>
  <si>
    <t xml:space="preserve">“苔原”防空无人机系统</t>
  </si>
  <si>
    <t xml:space="preserve">“苔原”拦截无人机系统</t>
  </si>
  <si>
    <r>
      <rPr>
        <sz val="11"/>
        <color rgb="FF000000"/>
        <rFont val="SimSun"/>
        <family val="0"/>
        <charset val="1"/>
      </rPr>
      <t xml:space="preserve">5%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6</t>
    </r>
    <r>
      <rPr>
        <sz val="11"/>
        <color rgb="FF000000"/>
        <rFont val="AR PL SungtiL GB"/>
        <family val="2"/>
      </rPr>
      <t xml:space="preserve">）</t>
    </r>
  </si>
  <si>
    <t xml:space="preserve">战机搭载系统</t>
  </si>
  <si>
    <t xml:space="preserve">信息指挥系统</t>
  </si>
  <si>
    <t xml:space="preserve">重点支援</t>
  </si>
  <si>
    <t xml:space="preserve">己方包含巡洋舰</t>
  </si>
  <si>
    <r>
      <rPr>
        <sz val="11"/>
        <color rgb="FF000000"/>
        <rFont val="AR PL SungtiL GB"/>
        <family val="2"/>
      </rPr>
      <t xml:space="preserve">优先对其进行支援，支援时间提高</t>
    </r>
    <r>
      <rPr>
        <sz val="11"/>
        <color rgb="FF000000"/>
        <rFont val="SimSun"/>
        <family val="0"/>
        <charset val="1"/>
      </rPr>
      <t xml:space="preserve">30%</t>
    </r>
    <r>
      <rPr>
        <sz val="11"/>
        <color rgb="FF000000"/>
        <rFont val="AR PL SungtiL GB"/>
        <family val="2"/>
      </rPr>
      <t xml:space="preserve">。</t>
    </r>
  </si>
  <si>
    <t xml:space="preserve">敌方包含护航艇</t>
  </si>
  <si>
    <r>
      <rPr>
        <sz val="11"/>
        <color rgb="FF000000"/>
        <rFont val="AR PL SungtiL GB"/>
        <family val="2"/>
      </rPr>
      <t xml:space="preserve">优先派出舰载机</t>
    </r>
    <r>
      <rPr>
        <sz val="11"/>
        <color rgb="FF000000"/>
        <rFont val="SimSun"/>
        <family val="0"/>
        <charset val="1"/>
      </rPr>
      <t xml:space="preserve">/</t>
    </r>
    <r>
      <rPr>
        <sz val="11"/>
        <color rgb="FF000000"/>
        <rFont val="AR PL SungtiL GB"/>
        <family val="2"/>
      </rPr>
      <t xml:space="preserve">无人机对其进行攻击，并缩短攻击时间</t>
    </r>
    <r>
      <rPr>
        <sz val="11"/>
        <color rgb="FF000000"/>
        <rFont val="SimSun"/>
        <family val="0"/>
        <charset val="1"/>
      </rPr>
      <t xml:space="preserve">45%</t>
    </r>
    <r>
      <rPr>
        <sz val="11"/>
        <color rgb="FF000000"/>
        <rFont val="AR PL SungtiL GB"/>
        <family val="2"/>
      </rPr>
      <t xml:space="preserve">。</t>
    </r>
  </si>
  <si>
    <t xml:space="preserve">舰载机系统</t>
  </si>
  <si>
    <t xml:space="preserve">舰载机平台</t>
  </si>
  <si>
    <t xml:space="preserve">炮艇坞舱</t>
  </si>
  <si>
    <t xml:space="preserve">舰载机模块</t>
  </si>
  <si>
    <t xml:space="preserve">侦察无人机系统</t>
  </si>
  <si>
    <r>
      <rPr>
        <sz val="11"/>
        <color rgb="FF000000"/>
        <rFont val="SimSun"/>
        <family val="0"/>
        <charset val="1"/>
      </rPr>
      <t xml:space="preserve">NT</t>
    </r>
    <r>
      <rPr>
        <sz val="11"/>
        <color rgb="FF000000"/>
        <rFont val="AR PL SungtiL GB"/>
        <family val="2"/>
      </rPr>
      <t xml:space="preserve">无人机防空系统</t>
    </r>
  </si>
  <si>
    <t xml:space="preserve">“雷暴”无人机护盾系统</t>
  </si>
  <si>
    <t xml:space="preserve">大型载机系统</t>
  </si>
  <si>
    <t xml:space="preserve">舰船维护系统</t>
  </si>
  <si>
    <r>
      <rPr>
        <sz val="11"/>
        <color rgb="FF000000"/>
        <rFont val="SimSun"/>
        <family val="0"/>
        <charset val="1"/>
      </rPr>
      <t xml:space="preserve">3%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8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</si>
  <si>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1%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1</t>
    </r>
    <r>
      <rPr>
        <sz val="11"/>
        <color rgb="FF000000"/>
        <rFont val="AR PL SungtiL GB"/>
        <family val="2"/>
      </rPr>
      <t xml:space="preserve">）</t>
    </r>
  </si>
  <si>
    <t xml:space="preserve">炮艇搭载平台</t>
  </si>
  <si>
    <t xml:space="preserve">综合舰载机搭载平台</t>
  </si>
  <si>
    <t xml:space="preserve">综合战机系统</t>
  </si>
  <si>
    <t xml:space="preserve">大型舰载机系统</t>
  </si>
  <si>
    <t xml:space="preserve">炮艇搭载系统</t>
  </si>
  <si>
    <t xml:space="preserve">信息无人机支援平台</t>
  </si>
  <si>
    <t xml:space="preserve">干扰效果持续时间延长</t>
  </si>
  <si>
    <r>
      <rPr>
        <sz val="11"/>
        <color rgb="FF000000"/>
        <rFont val="AR PL SungtiL GB"/>
        <family val="2"/>
      </rPr>
      <t xml:space="preserve">被导弹命中率下降</t>
    </r>
    <r>
      <rPr>
        <sz val="11"/>
        <color rgb="FF000000"/>
        <rFont val="SimSun"/>
        <family val="0"/>
        <charset val="1"/>
      </rPr>
      <t xml:space="preserve">20%</t>
    </r>
  </si>
  <si>
    <t xml:space="preserve">机载干扰系统</t>
  </si>
  <si>
    <t xml:space="preserve">规避伤害</t>
  </si>
  <si>
    <t xml:space="preserve">放弃攻击当前目标并返回母舰。</t>
  </si>
  <si>
    <t xml:space="preserve">电子侦察系统</t>
  </si>
  <si>
    <t xml:space="preserve">信息干扰系统</t>
  </si>
  <si>
    <t xml:space="preserve">主动干扰</t>
  </si>
  <si>
    <r>
      <rPr>
        <sz val="11"/>
        <color rgb="FF000000"/>
        <rFont val="AR PL SungtiL GB"/>
        <family val="2"/>
      </rPr>
      <t xml:space="preserve">闪避率提升</t>
    </r>
    <r>
      <rPr>
        <sz val="11"/>
        <color rgb="FF000000"/>
        <rFont val="SimSun"/>
        <family val="0"/>
        <charset val="1"/>
      </rPr>
      <t xml:space="preserve">90%</t>
    </r>
    <r>
      <rPr>
        <sz val="11"/>
        <color rgb="FF000000"/>
        <rFont val="AR PL SungtiL GB"/>
        <family val="2"/>
      </rPr>
      <t xml:space="preserve">。</t>
    </r>
  </si>
  <si>
    <t xml:space="preserve">信息增强系统</t>
  </si>
  <si>
    <t xml:space="preserve">态势感知系统</t>
  </si>
  <si>
    <t xml:space="preserve">战场隐蔽系统</t>
  </si>
  <si>
    <t xml:space="preserve">预警系统</t>
  </si>
  <si>
    <t xml:space="preserve">信息系统</t>
  </si>
  <si>
    <t xml:space="preserve">雷达探测系统</t>
  </si>
  <si>
    <t xml:space="preserve">信息链</t>
  </si>
  <si>
    <t xml:space="preserve">己方包含战机</t>
  </si>
  <si>
    <r>
      <rPr>
        <sz val="11"/>
        <color rgb="FF000000"/>
        <rFont val="AR PL SungtiL GB"/>
        <family val="2"/>
      </rPr>
      <t xml:space="preserve">对敌方战机命中率提高</t>
    </r>
    <r>
      <rPr>
        <sz val="11"/>
        <color rgb="FF000000"/>
        <rFont val="SimSun"/>
        <family val="0"/>
        <charset val="1"/>
      </rPr>
      <t xml:space="preserve">30%</t>
    </r>
    <r>
      <rPr>
        <sz val="11"/>
        <color rgb="FF000000"/>
        <rFont val="AR PL SungtiL GB"/>
        <family val="2"/>
      </rPr>
      <t xml:space="preserve">。</t>
    </r>
  </si>
  <si>
    <r>
      <rPr>
        <sz val="11"/>
        <color rgb="FF000000"/>
        <rFont val="AR PL SungtiL GB"/>
        <family val="2"/>
      </rPr>
      <t xml:space="preserve">模块仓储提升</t>
    </r>
    <r>
      <rPr>
        <sz val="11"/>
        <color rgb="FF000000"/>
        <rFont val="SimSun"/>
        <family val="0"/>
        <charset val="1"/>
      </rPr>
      <t xml:space="preserve">80%</t>
    </r>
  </si>
  <si>
    <r>
      <rPr>
        <sz val="11"/>
        <color rgb="FF000000"/>
        <rFont val="AR PL SungtiL GB"/>
        <family val="2"/>
      </rPr>
      <t xml:space="preserve">舰船仓储提升</t>
    </r>
    <r>
      <rPr>
        <sz val="11"/>
        <color rgb="FF000000"/>
        <rFont val="SimSun"/>
        <family val="0"/>
        <charset val="1"/>
      </rPr>
      <t xml:space="preserve">30%</t>
    </r>
  </si>
  <si>
    <r>
      <rPr>
        <sz val="11"/>
        <color rgb="FF000000"/>
        <rFont val="AR PL SungtiL GB"/>
        <family val="2"/>
      </rPr>
      <t xml:space="preserve">开采速度提升</t>
    </r>
    <r>
      <rPr>
        <sz val="11"/>
        <color rgb="FF000000"/>
        <rFont val="SimSun"/>
        <family val="0"/>
        <charset val="1"/>
      </rPr>
      <t xml:space="preserve">20%</t>
    </r>
  </si>
  <si>
    <t xml:space="preserve">总</t>
  </si>
  <si>
    <t xml:space="preserve">模块</t>
  </si>
  <si>
    <t xml:space="preserve">模块数</t>
  </si>
  <si>
    <t xml:space="preserve">总模块</t>
  </si>
  <si>
    <t xml:space="preserve">舰船</t>
  </si>
  <si>
    <t xml:space="preserve">工程值</t>
  </si>
  <si>
    <t xml:space="preserve">开采速度（小时）</t>
  </si>
  <si>
    <t xml:space="preserve">开采等级</t>
  </si>
  <si>
    <t xml:space="preserve">工程无人机系统</t>
  </si>
  <si>
    <r>
      <rPr>
        <sz val="11"/>
        <color rgb="FF000000"/>
        <rFont val="SimSun"/>
        <family val="0"/>
        <charset val="1"/>
      </rPr>
      <t xml:space="preserve">80%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9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</si>
  <si>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9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</si>
  <si>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20%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8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</si>
  <si>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80%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8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</si>
  <si>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48%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</si>
  <si>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64%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</si>
  <si>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SimSun"/>
        <family val="0"/>
        <charset val="1"/>
      </rPr>
      <t xml:space="preserve">80%</t>
    </r>
    <r>
      <rPr>
        <sz val="11"/>
        <color rgb="FF000000"/>
        <rFont val="AR PL SungtiL GB"/>
        <family val="2"/>
      </rPr>
      <t xml:space="preserve">（</t>
    </r>
    <r>
      <rPr>
        <sz val="11"/>
        <color rgb="FF000000"/>
        <rFont val="SimSun"/>
        <family val="0"/>
        <charset val="1"/>
      </rPr>
      <t xml:space="preserve">2</t>
    </r>
    <r>
      <rPr>
        <sz val="11"/>
        <color rgb="FF000000"/>
        <rFont val="AR PL SungtiL GB"/>
        <family val="2"/>
      </rPr>
      <t xml:space="preserve">）</t>
    </r>
  </si>
  <si>
    <r>
      <rPr>
        <sz val="11"/>
        <color rgb="FF000000"/>
        <rFont val="AR PL SungtiL GB"/>
        <family val="2"/>
      </rPr>
      <t xml:space="preserve">主系统脉冲炮伤害提升</t>
    </r>
    <r>
      <rPr>
        <sz val="11"/>
        <color rgb="FF000000"/>
        <rFont val="SimSun"/>
        <family val="0"/>
        <charset val="1"/>
      </rPr>
      <t xml:space="preserve">10%</t>
    </r>
  </si>
  <si>
    <r>
      <rPr>
        <sz val="11"/>
        <color rgb="FF000000"/>
        <rFont val="AR PL SungtiL GB"/>
        <family val="2"/>
      </rPr>
      <t xml:space="preserve">主系统冷却时间下降</t>
    </r>
    <r>
      <rPr>
        <sz val="11"/>
        <color rgb="FF000000"/>
        <rFont val="SimSun"/>
        <family val="0"/>
        <charset val="1"/>
      </rPr>
      <t xml:space="preserve">15%</t>
    </r>
  </si>
  <si>
    <t xml:space="preserve">脉冲炮伤害</t>
  </si>
  <si>
    <t xml:space="preserve">脉冲储能系统</t>
  </si>
  <si>
    <t xml:space="preserve">能源系统</t>
  </si>
  <si>
    <t xml:space="preserve">综合损管系统</t>
  </si>
  <si>
    <t xml:space="preserve">附加能源模块</t>
  </si>
  <si>
    <t xml:space="preserve">损管系统</t>
  </si>
  <si>
    <t xml:space="preserve">D3</t>
  </si>
  <si>
    <t xml:space="preserve">区域火控系统</t>
  </si>
  <si>
    <t xml:space="preserve">平台</t>
  </si>
  <si>
    <t xml:space="preserve">开采速度</t>
  </si>
  <si>
    <t xml:space="preserve">矿带等级</t>
  </si>
  <si>
    <t xml:space="preserve">矿带工程舰数</t>
  </si>
  <si>
    <t xml:space="preserve">仓储中转</t>
  </si>
  <si>
    <t xml:space="preserve">小型</t>
  </si>
  <si>
    <t xml:space="preserve">强化数</t>
  </si>
  <si>
    <t xml:space="preserve">技术值加成</t>
  </si>
  <si>
    <t xml:space="preserve">加成后仓储</t>
  </si>
  <si>
    <t xml:space="preserve">状态</t>
  </si>
  <si>
    <t xml:space="preserve">开采速度（秒）</t>
  </si>
  <si>
    <t xml:space="preserve">挖矿时间（秒）</t>
  </si>
  <si>
    <t xml:space="preserve">挖矿时间</t>
  </si>
  <si>
    <t xml:space="preserve">初始</t>
  </si>
  <si>
    <r>
      <rPr>
        <sz val="11"/>
        <color rgb="FF000000"/>
        <rFont val="SimSun"/>
        <family val="0"/>
        <charset val="1"/>
      </rPr>
      <t xml:space="preserve">XT-10</t>
    </r>
    <r>
      <rPr>
        <sz val="11"/>
        <color rgb="FF000000"/>
        <rFont val="AR PL SungtiL GB"/>
        <family val="2"/>
      </rPr>
      <t xml:space="preserve">级</t>
    </r>
  </si>
  <si>
    <t xml:space="preserve">强化</t>
  </si>
  <si>
    <t xml:space="preserve">增加效率</t>
  </si>
  <si>
    <r>
      <rPr>
        <sz val="11"/>
        <color rgb="FF000000"/>
        <rFont val="SimSun"/>
        <family val="0"/>
        <charset val="1"/>
      </rPr>
      <t xml:space="preserve">ST59</t>
    </r>
    <r>
      <rPr>
        <sz val="11"/>
        <color rgb="FF000000"/>
        <rFont val="AR PL SungtiL GB"/>
        <family val="2"/>
      </rPr>
      <t xml:space="preserve">级</t>
    </r>
    <r>
      <rPr>
        <sz val="11"/>
        <color rgb="FF000000"/>
        <rFont val="SimSun"/>
        <family val="0"/>
        <charset val="1"/>
      </rPr>
      <t xml:space="preserve">-</t>
    </r>
    <r>
      <rPr>
        <sz val="11"/>
        <color rgb="FF000000"/>
        <rFont val="AR PL SungtiL GB"/>
        <family val="2"/>
      </rPr>
      <t xml:space="preserve">防御战列巡洋舰</t>
    </r>
  </si>
  <si>
    <r>
      <rPr>
        <sz val="11"/>
        <color rgb="FF000000"/>
        <rFont val="AR PL SungtiL GB"/>
        <family val="2"/>
      </rPr>
      <t xml:space="preserve">乌拉诺斯之矛级</t>
    </r>
    <r>
      <rPr>
        <sz val="11"/>
        <color rgb="FF000000"/>
        <rFont val="SimSun"/>
        <family val="0"/>
        <charset val="1"/>
      </rPr>
      <t xml:space="preserve">-</t>
    </r>
    <r>
      <rPr>
        <sz val="11"/>
        <color rgb="FF000000"/>
        <rFont val="AR PL SungtiL GB"/>
        <family val="2"/>
      </rPr>
      <t xml:space="preserve">重型战列巡洋舰</t>
    </r>
  </si>
  <si>
    <r>
      <rPr>
        <sz val="11"/>
        <color rgb="FF000000"/>
        <rFont val="AR PL SungtiL GB"/>
        <family val="2"/>
      </rPr>
      <t xml:space="preserve">永恒风暴级</t>
    </r>
    <r>
      <rPr>
        <sz val="11"/>
        <color rgb="FF000000"/>
        <rFont val="SimSun"/>
        <family val="0"/>
        <charset val="1"/>
      </rPr>
      <t xml:space="preserve">-</t>
    </r>
    <r>
      <rPr>
        <sz val="11"/>
        <color rgb="FF000000"/>
        <rFont val="AR PL SungtiL GB"/>
        <family val="2"/>
      </rPr>
      <t xml:space="preserve">攻击战列巡洋舰</t>
    </r>
  </si>
  <si>
    <r>
      <rPr>
        <sz val="11"/>
        <color rgb="FF000000"/>
        <rFont val="AR PL SungtiL GB"/>
        <family val="2"/>
      </rPr>
      <t xml:space="preserve">新君士坦丁大帝级</t>
    </r>
    <r>
      <rPr>
        <sz val="11"/>
        <color rgb="FF000000"/>
        <rFont val="SimSun"/>
        <family val="0"/>
        <charset val="1"/>
      </rPr>
      <t xml:space="preserve">-</t>
    </r>
    <r>
      <rPr>
        <sz val="11"/>
        <color rgb="FF000000"/>
        <rFont val="AR PL SungtiL GB"/>
        <family val="2"/>
      </rPr>
      <t xml:space="preserve">综合战列巡洋舰</t>
    </r>
  </si>
  <si>
    <r>
      <rPr>
        <sz val="11"/>
        <color rgb="FF000000"/>
        <rFont val="AR PL SungtiL GB"/>
        <family val="2"/>
      </rPr>
      <t xml:space="preserve">不屈级</t>
    </r>
    <r>
      <rPr>
        <sz val="11"/>
        <color rgb="FF000000"/>
        <rFont val="SimSun"/>
        <family val="0"/>
        <charset val="1"/>
      </rPr>
      <t xml:space="preserve">-</t>
    </r>
    <r>
      <rPr>
        <sz val="11"/>
        <color rgb="FF000000"/>
        <rFont val="AR PL SungtiL GB"/>
        <family val="2"/>
      </rPr>
      <t xml:space="preserve">导弹战列巡洋舰</t>
    </r>
  </si>
  <si>
    <t xml:space="preserve">M</t>
  </si>
  <si>
    <r>
      <rPr>
        <sz val="11"/>
        <color rgb="FF000000"/>
        <rFont val="SimSun"/>
        <family val="0"/>
        <charset val="1"/>
      </rPr>
      <t xml:space="preserve">CV3000</t>
    </r>
    <r>
      <rPr>
        <sz val="11"/>
        <color rgb="FF000000"/>
        <rFont val="AR PL SungtiL GB"/>
        <family val="2"/>
      </rPr>
      <t xml:space="preserve">级</t>
    </r>
    <r>
      <rPr>
        <sz val="11"/>
        <color rgb="FF000000"/>
        <rFont val="SimSun"/>
        <family val="0"/>
        <charset val="1"/>
      </rPr>
      <t xml:space="preserve">-</t>
    </r>
    <r>
      <rPr>
        <sz val="11"/>
        <color rgb="FF000000"/>
        <rFont val="AR PL SungtiL GB"/>
        <family val="2"/>
      </rPr>
      <t xml:space="preserve">快速航空母舰</t>
    </r>
  </si>
  <si>
    <r>
      <rPr>
        <sz val="11"/>
        <color rgb="FF000000"/>
        <rFont val="AR PL SungtiL GB"/>
        <family val="2"/>
      </rPr>
      <t xml:space="preserve">太阳鲸</t>
    </r>
    <r>
      <rPr>
        <sz val="11"/>
        <color rgb="FF000000"/>
        <rFont val="SimSun"/>
        <family val="0"/>
        <charset val="1"/>
      </rPr>
      <t xml:space="preserve">-</t>
    </r>
    <r>
      <rPr>
        <sz val="11"/>
        <color rgb="FF000000"/>
        <rFont val="AR PL SungtiL GB"/>
        <family val="2"/>
      </rPr>
      <t xml:space="preserve">武装战略航空母舰</t>
    </r>
  </si>
  <si>
    <r>
      <rPr>
        <sz val="11"/>
        <color rgb="FF000000"/>
        <rFont val="AR PL SungtiL GB"/>
        <family val="2"/>
      </rPr>
      <t xml:space="preserve">止战级</t>
    </r>
    <r>
      <rPr>
        <sz val="11"/>
        <color rgb="FF000000"/>
        <rFont val="SimSun"/>
        <family val="0"/>
        <charset val="1"/>
      </rPr>
      <t xml:space="preserve">-</t>
    </r>
    <r>
      <rPr>
        <sz val="11"/>
        <color rgb="FF000000"/>
        <rFont val="AR PL SungtiL GB"/>
        <family val="2"/>
      </rPr>
      <t xml:space="preserve">攻坚战列舰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</si>
</sst>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_ "/>
    <numFmt numFmtId="166" formatCode="0%"/>
    <numFmt numFmtId="167" formatCode="h:mm:ss;@"/>
    <numFmt numFmtId="168" formatCode="#,##0_);[RED]\(#,##0\)"/>
    <numFmt numFmtId="169" formatCode="0_);[RED]\(0\)"/>
    <numFmt numFmtId="170" formatCode="0.00%"/>
    <numFmt numFmtId="171" formatCode="#,##0.00_ "/>
    <numFmt numFmtId="172" formatCode="#,##0.00_);[RED]\(#,##0.00\)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宋体"/>
      <family val="0"/>
      <charset val="1"/>
    </font>
    <font>
      <sz val="11"/>
      <color rgb="FF000000"/>
      <name val="宋体"/>
      <family val="0"/>
      <charset val="1"/>
    </font>
    <font>
      <sz val="11"/>
      <color rgb="FF000000"/>
      <name val="SimSun"/>
      <family val="0"/>
      <charset val="1"/>
    </font>
    <font>
      <sz val="11"/>
      <color rgb="FF000000"/>
      <name val="AR PL SungtiL GB"/>
      <family val="2"/>
    </font>
    <font>
      <sz val="10"/>
      <name val="微软雅黑"/>
      <family val="0"/>
      <charset val="1"/>
    </font>
    <font>
      <sz val="11"/>
      <name val="AR PL SungtiL GB"/>
      <family val="2"/>
    </font>
    <font>
      <sz val="11"/>
      <name val="SimSun"/>
      <family val="0"/>
      <charset val="1"/>
    </font>
    <font>
      <sz val="11"/>
      <color rgb="FFC9211E"/>
      <name val="AR PL SungtiL GB"/>
      <family val="2"/>
    </font>
    <font>
      <sz val="11"/>
      <color rgb="FFC9211E"/>
      <name val="宋体"/>
      <family val="0"/>
      <charset val="1"/>
    </font>
    <font>
      <sz val="11"/>
      <color rgb="FFC9211E"/>
      <name val="SimSun"/>
      <family val="0"/>
      <charset val="1"/>
    </font>
    <font>
      <sz val="10"/>
      <color rgb="FFC9211E"/>
      <name val="微软雅黑"/>
      <family val="0"/>
      <charset val="1"/>
    </font>
    <font>
      <sz val="10"/>
      <color rgb="FFC9211E"/>
      <name val="Arial"/>
      <family val="2"/>
    </font>
    <font>
      <sz val="11"/>
      <color rgb="FF000000"/>
      <name val="微软雅黑"/>
      <family val="0"/>
      <charset val="1"/>
    </font>
    <font>
      <sz val="10"/>
      <name val="AR PL SungtiL GB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B84D"/>
        <bgColor rgb="FFFFCC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84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X2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3" topLeftCell="AX79" activePane="bottomRight" state="frozen"/>
      <selection pane="topLeft" activeCell="A1" activeCellId="0" sqref="A1"/>
      <selection pane="topRight" activeCell="AX1" activeCellId="0" sqref="AX1"/>
      <selection pane="bottomLeft" activeCell="A79" activeCellId="0" sqref="A79"/>
      <selection pane="bottomRight" activeCell="D98" activeCellId="0" sqref="D98"/>
    </sheetView>
  </sheetViews>
  <sheetFormatPr defaultColWidth="10.73046875" defaultRowHeight="12.8" zeroHeight="false" outlineLevelRow="0" outlineLevelCol="0"/>
  <cols>
    <col collapsed="false" customWidth="true" hidden="false" outlineLevel="0" max="2" min="1" style="0" width="13.86"/>
    <col collapsed="false" customWidth="true" hidden="false" outlineLevel="0" max="3" min="3" style="0" width="21.43"/>
    <col collapsed="false" customWidth="true" hidden="false" outlineLevel="0" max="4" min="4" style="0" width="23.95"/>
    <col collapsed="false" customWidth="true" hidden="false" outlineLevel="0" max="5" min="5" style="0" width="12.6"/>
    <col collapsed="false" customWidth="true" hidden="false" outlineLevel="0" max="6" min="6" style="0" width="15.12"/>
    <col collapsed="false" customWidth="true" hidden="false" outlineLevel="0" max="7" min="7" style="0" width="23.95"/>
    <col collapsed="false" customWidth="true" hidden="false" outlineLevel="0" max="14" min="8" style="0" width="10.08"/>
    <col collapsed="false" customWidth="true" hidden="false" outlineLevel="0" max="15" min="15" style="0" width="11.34"/>
    <col collapsed="false" customWidth="true" hidden="false" outlineLevel="0" max="17" min="16" style="0" width="10.08"/>
    <col collapsed="false" customWidth="true" hidden="false" outlineLevel="0" max="18" min="18" style="0" width="15.12"/>
    <col collapsed="false" customWidth="true" hidden="false" outlineLevel="0" max="19" min="19" style="0" width="12.6"/>
    <col collapsed="false" customWidth="true" hidden="false" outlineLevel="0" max="20" min="20" style="0" width="15.12"/>
    <col collapsed="false" customWidth="true" hidden="false" outlineLevel="0" max="21" min="21" style="0" width="17.64"/>
    <col collapsed="false" customWidth="true" hidden="false" outlineLevel="0" max="22" min="22" style="0" width="11.34"/>
    <col collapsed="false" customWidth="true" hidden="false" outlineLevel="0" max="23" min="23" style="0" width="10.08"/>
    <col collapsed="false" customWidth="true" hidden="false" outlineLevel="0" max="24" min="24" style="0" width="12.6"/>
    <col collapsed="false" customWidth="true" hidden="false" outlineLevel="0" max="25" min="25" style="0" width="15.12"/>
    <col collapsed="false" customWidth="true" hidden="false" outlineLevel="0" max="26" min="26" style="0" width="12.6"/>
    <col collapsed="false" customWidth="true" hidden="false" outlineLevel="0" max="28" min="27" style="0" width="15.12"/>
    <col collapsed="false" customWidth="true" hidden="false" outlineLevel="0" max="31" min="29" style="0" width="10.08"/>
    <col collapsed="false" customWidth="true" hidden="false" outlineLevel="0" max="32" min="32" style="0" width="20.17"/>
    <col collapsed="false" customWidth="true" hidden="false" outlineLevel="0" max="33" min="33" style="0" width="11.34"/>
    <col collapsed="false" customWidth="true" hidden="false" outlineLevel="0" max="34" min="34" style="0" width="28.98"/>
    <col collapsed="false" customWidth="true" hidden="false" outlineLevel="0" max="35" min="35" style="0" width="12.6"/>
    <col collapsed="false" customWidth="true" hidden="false" outlineLevel="0" max="38" min="36" style="0" width="10.08"/>
    <col collapsed="false" customWidth="true" hidden="false" outlineLevel="0" max="39" min="39" style="0" width="16.38"/>
    <col collapsed="false" customWidth="true" hidden="false" outlineLevel="0" max="40" min="40" style="0" width="10.08"/>
    <col collapsed="false" customWidth="true" hidden="false" outlineLevel="0" max="41" min="41" style="0" width="12.6"/>
    <col collapsed="false" customWidth="true" hidden="false" outlineLevel="0" max="42" min="42" style="0" width="10.08"/>
    <col collapsed="false" customWidth="true" hidden="false" outlineLevel="0" max="45" min="43" style="0" width="12.6"/>
    <col collapsed="false" customWidth="true" hidden="false" outlineLevel="0" max="47" min="46" style="0" width="10.08"/>
    <col collapsed="false" customWidth="true" hidden="false" outlineLevel="0" max="48" min="48" style="0" width="15.12"/>
    <col collapsed="false" customWidth="true" hidden="false" outlineLevel="0" max="49" min="49" style="0" width="12.6"/>
    <col collapsed="false" customWidth="true" hidden="false" outlineLevel="0" max="50" min="50" style="0" width="17.64"/>
    <col collapsed="false" customWidth="true" hidden="false" outlineLevel="0" max="52" min="51" style="0" width="10.08"/>
    <col collapsed="false" customWidth="true" hidden="false" outlineLevel="0" max="53" min="53" style="0" width="15.12"/>
    <col collapsed="false" customWidth="true" hidden="false" outlineLevel="0" max="55" min="54" style="0" width="10.08"/>
    <col collapsed="false" customWidth="true" hidden="false" outlineLevel="0" max="56" min="56" style="0" width="17.64"/>
    <col collapsed="false" customWidth="true" hidden="false" outlineLevel="0" max="57" min="57" style="0" width="12.6"/>
    <col collapsed="false" customWidth="true" hidden="false" outlineLevel="0" max="59" min="58" style="0" width="10.08"/>
    <col collapsed="false" customWidth="true" hidden="false" outlineLevel="0" max="61" min="60" style="0" width="15.12"/>
    <col collapsed="false" customWidth="true" hidden="false" outlineLevel="0" max="62" min="62" style="0" width="10.08"/>
    <col collapsed="false" customWidth="true" hidden="false" outlineLevel="0" max="64" min="63" style="0" width="15.12"/>
    <col collapsed="false" customWidth="true" hidden="false" outlineLevel="0" max="65" min="65" style="0" width="10.08"/>
    <col collapsed="false" customWidth="true" hidden="false" outlineLevel="0" max="66" min="66" style="0" width="15.12"/>
    <col collapsed="false" customWidth="true" hidden="false" outlineLevel="0" max="70" min="67" style="0" width="10.08"/>
    <col collapsed="false" customWidth="true" hidden="false" outlineLevel="0" max="71" min="71" style="0" width="17.64"/>
    <col collapsed="false" customWidth="true" hidden="false" outlineLevel="0" max="72" min="72" style="0" width="10.08"/>
    <col collapsed="false" customWidth="true" hidden="false" outlineLevel="0" max="73" min="73" style="0" width="17.64"/>
    <col collapsed="false" customWidth="true" hidden="false" outlineLevel="0" max="74" min="74" style="0" width="21.43"/>
    <col collapsed="false" customWidth="true" hidden="false" outlineLevel="0" max="75" min="75" style="0" width="16.38"/>
    <col collapsed="false" customWidth="true" hidden="false" outlineLevel="0" max="76" min="76" style="0" width="15.12"/>
  </cols>
  <sheetData>
    <row r="1" customFormat="false" ht="12.8" hidden="false" customHeight="false" outlineLevel="0" collapsed="false">
      <c r="A1" s="1"/>
      <c r="B1" s="1"/>
      <c r="C1" s="1"/>
      <c r="D1" s="2"/>
      <c r="E1" s="1"/>
      <c r="F1" s="1"/>
      <c r="G1" s="1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1"/>
      <c r="V1" s="3"/>
      <c r="W1" s="4"/>
      <c r="X1" s="4"/>
      <c r="Y1" s="4"/>
      <c r="Z1" s="4"/>
      <c r="AA1" s="4"/>
      <c r="AB1" s="4"/>
      <c r="AC1" s="4"/>
      <c r="AD1" s="4"/>
      <c r="AE1" s="4"/>
      <c r="AF1" s="5" t="s">
        <v>0</v>
      </c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6"/>
      <c r="AU1" s="6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6"/>
      <c r="BV1" s="6"/>
      <c r="BW1" s="6"/>
      <c r="BX1" s="6"/>
    </row>
    <row r="2" customFormat="false" ht="12.8" hidden="false" customHeight="false" outlineLevel="0" collapsed="false">
      <c r="A2" s="1"/>
      <c r="B2" s="1"/>
      <c r="C2" s="1"/>
      <c r="D2" s="2"/>
      <c r="E2" s="1"/>
      <c r="F2" s="1"/>
      <c r="G2" s="1"/>
      <c r="H2" s="2"/>
      <c r="I2" s="7" t="s">
        <v>1</v>
      </c>
      <c r="J2" s="7"/>
      <c r="K2" s="7"/>
      <c r="L2" s="7"/>
      <c r="M2" s="7"/>
      <c r="N2" s="7"/>
      <c r="O2" s="8" t="s">
        <v>2</v>
      </c>
      <c r="P2" s="8"/>
      <c r="Q2" s="8"/>
      <c r="R2" s="8"/>
      <c r="S2" s="8"/>
      <c r="T2" s="8"/>
      <c r="U2" s="1"/>
      <c r="V2" s="3"/>
      <c r="W2" s="3"/>
      <c r="X2" s="9" t="s">
        <v>3</v>
      </c>
      <c r="Y2" s="9"/>
      <c r="Z2" s="9"/>
      <c r="AA2" s="10" t="s">
        <v>4</v>
      </c>
      <c r="AB2" s="10"/>
      <c r="AC2" s="11" t="s">
        <v>5</v>
      </c>
      <c r="AD2" s="11"/>
      <c r="AE2" s="11"/>
      <c r="AF2" s="12"/>
      <c r="AG2" s="12"/>
      <c r="AH2" s="13" t="s">
        <v>6</v>
      </c>
      <c r="AI2" s="12"/>
      <c r="AJ2" s="14" t="s">
        <v>7</v>
      </c>
      <c r="AK2" s="14"/>
      <c r="AL2" s="14"/>
      <c r="AM2" s="14" t="s">
        <v>8</v>
      </c>
      <c r="AN2" s="15" t="s">
        <v>9</v>
      </c>
      <c r="AO2" s="15"/>
      <c r="AP2" s="15"/>
      <c r="AQ2" s="15"/>
      <c r="AR2" s="15"/>
      <c r="AS2" s="15"/>
      <c r="AT2" s="7" t="s">
        <v>10</v>
      </c>
      <c r="AU2" s="7"/>
      <c r="AV2" s="8" t="s">
        <v>11</v>
      </c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</row>
    <row r="3" customFormat="false" ht="12.8" hidden="false" customHeight="false" outlineLevel="0" collapsed="false">
      <c r="A3" s="16" t="s">
        <v>12</v>
      </c>
      <c r="B3" s="16" t="s">
        <v>13</v>
      </c>
      <c r="C3" s="16" t="s">
        <v>14</v>
      </c>
      <c r="D3" s="17" t="s">
        <v>15</v>
      </c>
      <c r="E3" s="16" t="s">
        <v>16</v>
      </c>
      <c r="F3" s="16" t="s">
        <v>17</v>
      </c>
      <c r="G3" s="17" t="s">
        <v>18</v>
      </c>
      <c r="H3" s="16" t="s">
        <v>19</v>
      </c>
      <c r="I3" s="13" t="s">
        <v>20</v>
      </c>
      <c r="J3" s="13" t="s">
        <v>21</v>
      </c>
      <c r="K3" s="13" t="s">
        <v>22</v>
      </c>
      <c r="L3" s="13" t="s">
        <v>23</v>
      </c>
      <c r="M3" s="13" t="s">
        <v>24</v>
      </c>
      <c r="N3" s="13" t="s">
        <v>25</v>
      </c>
      <c r="O3" s="18" t="s">
        <v>26</v>
      </c>
      <c r="P3" s="18" t="s">
        <v>27</v>
      </c>
      <c r="Q3" s="18" t="s">
        <v>28</v>
      </c>
      <c r="R3" s="19" t="s">
        <v>29</v>
      </c>
      <c r="S3" s="16" t="s">
        <v>30</v>
      </c>
      <c r="T3" s="16" t="s">
        <v>31</v>
      </c>
      <c r="U3" s="17" t="s">
        <v>32</v>
      </c>
      <c r="V3" s="16" t="s">
        <v>33</v>
      </c>
      <c r="W3" s="20" t="s">
        <v>34</v>
      </c>
      <c r="X3" s="21" t="s">
        <v>35</v>
      </c>
      <c r="Y3" s="22" t="s">
        <v>36</v>
      </c>
      <c r="Z3" s="23" t="s">
        <v>37</v>
      </c>
      <c r="AA3" s="24" t="s">
        <v>38</v>
      </c>
      <c r="AB3" s="25" t="s">
        <v>39</v>
      </c>
      <c r="AC3" s="21" t="s">
        <v>20</v>
      </c>
      <c r="AD3" s="26" t="s">
        <v>21</v>
      </c>
      <c r="AE3" s="23" t="s">
        <v>22</v>
      </c>
      <c r="AF3" s="24" t="s">
        <v>40</v>
      </c>
      <c r="AG3" s="24" t="s">
        <v>41</v>
      </c>
      <c r="AH3" s="27" t="s">
        <v>42</v>
      </c>
      <c r="AI3" s="28" t="s">
        <v>43</v>
      </c>
      <c r="AJ3" s="20" t="s">
        <v>44</v>
      </c>
      <c r="AK3" s="20" t="s">
        <v>45</v>
      </c>
      <c r="AL3" s="20" t="s">
        <v>46</v>
      </c>
      <c r="AM3" s="20" t="s">
        <v>47</v>
      </c>
      <c r="AN3" s="28" t="s">
        <v>48</v>
      </c>
      <c r="AO3" s="27" t="s">
        <v>49</v>
      </c>
      <c r="AP3" s="27" t="s">
        <v>50</v>
      </c>
      <c r="AQ3" s="27" t="s">
        <v>51</v>
      </c>
      <c r="AR3" s="27" t="s">
        <v>52</v>
      </c>
      <c r="AS3" s="27" t="s">
        <v>53</v>
      </c>
      <c r="AT3" s="29" t="s">
        <v>21</v>
      </c>
      <c r="AU3" s="29" t="s">
        <v>54</v>
      </c>
      <c r="AV3" s="30" t="s">
        <v>55</v>
      </c>
      <c r="AW3" s="31" t="s">
        <v>56</v>
      </c>
      <c r="AX3" s="13" t="s">
        <v>57</v>
      </c>
      <c r="AY3" s="13" t="s">
        <v>58</v>
      </c>
      <c r="AZ3" s="31" t="s">
        <v>46</v>
      </c>
      <c r="BA3" s="31" t="s">
        <v>59</v>
      </c>
      <c r="BB3" s="31" t="s">
        <v>60</v>
      </c>
      <c r="BC3" s="31" t="s">
        <v>21</v>
      </c>
      <c r="BD3" s="31" t="s">
        <v>61</v>
      </c>
      <c r="BE3" s="31" t="s">
        <v>62</v>
      </c>
      <c r="BF3" s="31" t="s">
        <v>63</v>
      </c>
      <c r="BG3" s="31" t="s">
        <v>64</v>
      </c>
      <c r="BH3" s="31" t="s">
        <v>65</v>
      </c>
      <c r="BI3" s="31" t="s">
        <v>66</v>
      </c>
      <c r="BJ3" s="31" t="s">
        <v>67</v>
      </c>
      <c r="BK3" s="31" t="s">
        <v>68</v>
      </c>
      <c r="BL3" s="31" t="s">
        <v>69</v>
      </c>
      <c r="BM3" s="31" t="s">
        <v>70</v>
      </c>
      <c r="BN3" s="31" t="s">
        <v>71</v>
      </c>
      <c r="BO3" s="31" t="s">
        <v>22</v>
      </c>
      <c r="BP3" s="31" t="s">
        <v>72</v>
      </c>
      <c r="BQ3" s="31" t="s">
        <v>73</v>
      </c>
      <c r="BR3" s="13" t="s">
        <v>23</v>
      </c>
      <c r="BS3" s="13" t="s">
        <v>74</v>
      </c>
      <c r="BT3" s="13" t="s">
        <v>75</v>
      </c>
      <c r="BU3" s="13" t="s">
        <v>76</v>
      </c>
      <c r="BV3" s="13" t="s">
        <v>77</v>
      </c>
      <c r="BW3" s="13" t="s">
        <v>78</v>
      </c>
      <c r="BX3" s="13" t="s">
        <v>79</v>
      </c>
    </row>
    <row r="4" customFormat="false" ht="12.8" hidden="false" customHeight="false" outlineLevel="0" collapsed="false">
      <c r="A4" s="32" t="s">
        <v>80</v>
      </c>
      <c r="B4" s="33" t="s">
        <v>81</v>
      </c>
      <c r="C4" s="33" t="s">
        <v>82</v>
      </c>
      <c r="D4" s="33" t="s">
        <v>83</v>
      </c>
      <c r="E4" s="34" t="s">
        <v>84</v>
      </c>
      <c r="F4" s="35" t="s">
        <v>85</v>
      </c>
      <c r="G4" s="33"/>
      <c r="H4" s="36" t="s">
        <v>86</v>
      </c>
      <c r="I4" s="34" t="s">
        <v>87</v>
      </c>
      <c r="J4" s="34" t="s">
        <v>87</v>
      </c>
      <c r="K4" s="34" t="s">
        <v>88</v>
      </c>
      <c r="L4" s="34" t="s">
        <v>89</v>
      </c>
      <c r="M4" s="34" t="s">
        <v>87</v>
      </c>
      <c r="N4" s="34" t="s">
        <v>88</v>
      </c>
      <c r="O4" s="37" t="n">
        <v>299780</v>
      </c>
      <c r="P4" s="37" t="n">
        <v>46990</v>
      </c>
      <c r="Q4" s="37" t="n">
        <v>48130</v>
      </c>
      <c r="R4" s="38" t="n">
        <v>0.783680555556202</v>
      </c>
      <c r="S4" s="36" t="n">
        <v>45</v>
      </c>
      <c r="T4" s="36" t="n">
        <v>5</v>
      </c>
      <c r="U4" s="34" t="s">
        <v>90</v>
      </c>
      <c r="V4" s="36" t="s">
        <v>91</v>
      </c>
      <c r="W4" s="39" t="s">
        <v>84</v>
      </c>
      <c r="X4" s="37" t="n">
        <v>292890</v>
      </c>
      <c r="Y4" s="40" t="n">
        <v>120</v>
      </c>
      <c r="Z4" s="41" t="n">
        <v>0.15</v>
      </c>
      <c r="AA4" s="37" t="n">
        <v>250</v>
      </c>
      <c r="AB4" s="42" t="n">
        <f aca="false">AA4*5</f>
        <v>0</v>
      </c>
      <c r="AC4" s="43" t="n">
        <v>10031</v>
      </c>
      <c r="AD4" s="43" t="n">
        <v>510</v>
      </c>
      <c r="AE4" s="43" t="n">
        <v>959</v>
      </c>
      <c r="AF4" s="44" t="n">
        <v>15000</v>
      </c>
      <c r="AG4" s="44" t="n">
        <v>130000</v>
      </c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36"/>
      <c r="AW4" s="36"/>
      <c r="AX4" s="35" t="s">
        <v>92</v>
      </c>
      <c r="AY4" s="36" t="s">
        <v>92</v>
      </c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46"/>
      <c r="BV4" s="46"/>
      <c r="BW4" s="46"/>
      <c r="BX4" s="46"/>
    </row>
    <row r="5" customFormat="false" ht="12.8" hidden="false" customHeight="false" outlineLevel="0" collapsed="false">
      <c r="A5" s="32" t="s">
        <v>80</v>
      </c>
      <c r="B5" s="33" t="s">
        <v>93</v>
      </c>
      <c r="C5" s="47" t="s">
        <v>94</v>
      </c>
      <c r="D5" s="33" t="s">
        <v>95</v>
      </c>
      <c r="E5" s="34" t="s">
        <v>84</v>
      </c>
      <c r="F5" s="35" t="s">
        <v>85</v>
      </c>
      <c r="G5" s="47"/>
      <c r="H5" s="35" t="s">
        <v>96</v>
      </c>
      <c r="I5" s="34" t="s">
        <v>88</v>
      </c>
      <c r="J5" s="34" t="s">
        <v>88</v>
      </c>
      <c r="K5" s="34" t="s">
        <v>88</v>
      </c>
      <c r="L5" s="34" t="s">
        <v>89</v>
      </c>
      <c r="M5" s="34" t="s">
        <v>88</v>
      </c>
      <c r="N5" s="34" t="s">
        <v>89</v>
      </c>
      <c r="O5" s="37" t="n">
        <v>214010</v>
      </c>
      <c r="P5" s="37" t="n">
        <v>24600</v>
      </c>
      <c r="Q5" s="37" t="n">
        <v>35050</v>
      </c>
      <c r="R5" s="38" t="n">
        <v>0.505208333332121</v>
      </c>
      <c r="S5" s="36" t="n">
        <v>40</v>
      </c>
      <c r="T5" s="36" t="n">
        <v>5</v>
      </c>
      <c r="U5" s="34" t="s">
        <v>97</v>
      </c>
      <c r="V5" s="36" t="s">
        <v>91</v>
      </c>
      <c r="W5" s="39" t="s">
        <v>84</v>
      </c>
      <c r="X5" s="37" t="n">
        <v>254740</v>
      </c>
      <c r="Y5" s="40" t="n">
        <v>120</v>
      </c>
      <c r="Z5" s="41" t="n">
        <v>0.15</v>
      </c>
      <c r="AA5" s="37" t="n">
        <v>400</v>
      </c>
      <c r="AB5" s="42" t="n">
        <f aca="false">AA5*5</f>
        <v>0</v>
      </c>
      <c r="AC5" s="43" t="n">
        <v>7300</v>
      </c>
      <c r="AD5" s="43" t="n">
        <v>712</v>
      </c>
      <c r="AE5" s="43" t="n">
        <v>619</v>
      </c>
      <c r="AF5" s="44" t="n">
        <v>15000</v>
      </c>
      <c r="AG5" s="37" t="n">
        <v>150000</v>
      </c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35" t="s">
        <v>20</v>
      </c>
      <c r="AW5" s="36"/>
      <c r="AX5" s="35" t="s">
        <v>92</v>
      </c>
      <c r="AY5" s="35" t="s">
        <v>92</v>
      </c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46"/>
      <c r="BV5" s="46"/>
      <c r="BW5" s="46"/>
      <c r="BX5" s="46"/>
    </row>
    <row r="6" customFormat="false" ht="12.8" hidden="false" customHeight="false" outlineLevel="0" collapsed="false">
      <c r="A6" s="35" t="s">
        <v>51</v>
      </c>
      <c r="B6" s="35" t="s">
        <v>98</v>
      </c>
      <c r="C6" s="35" t="s">
        <v>99</v>
      </c>
      <c r="D6" s="35" t="s">
        <v>100</v>
      </c>
      <c r="E6" s="34" t="s">
        <v>89</v>
      </c>
      <c r="F6" s="35" t="s">
        <v>101</v>
      </c>
      <c r="G6" s="34"/>
      <c r="H6" s="34" t="s">
        <v>84</v>
      </c>
      <c r="I6" s="34" t="s">
        <v>102</v>
      </c>
      <c r="J6" s="34" t="s">
        <v>87</v>
      </c>
      <c r="K6" s="34" t="s">
        <v>89</v>
      </c>
      <c r="L6" s="34" t="s">
        <v>84</v>
      </c>
      <c r="M6" s="34" t="s">
        <v>87</v>
      </c>
      <c r="N6" s="34" t="s">
        <v>88</v>
      </c>
      <c r="O6" s="42" t="n">
        <v>7910</v>
      </c>
      <c r="P6" s="42" t="n">
        <v>560</v>
      </c>
      <c r="Q6" s="42" t="n">
        <v>110</v>
      </c>
      <c r="R6" s="49" t="n">
        <v>0.0103009259255487</v>
      </c>
      <c r="S6" s="36" t="n">
        <v>2</v>
      </c>
      <c r="T6" s="36" t="n">
        <v>10</v>
      </c>
      <c r="U6" s="34" t="s">
        <v>84</v>
      </c>
      <c r="V6" s="35" t="s">
        <v>103</v>
      </c>
      <c r="W6" s="42" t="n">
        <v>1</v>
      </c>
      <c r="X6" s="42" t="n">
        <v>5730</v>
      </c>
      <c r="Y6" s="50"/>
      <c r="Z6" s="41"/>
      <c r="AA6" s="42" t="n">
        <v>2500</v>
      </c>
      <c r="AB6" s="42" t="n">
        <f aca="false">AA6*5</f>
        <v>0</v>
      </c>
      <c r="AC6" s="43" t="n">
        <v>4980</v>
      </c>
      <c r="AD6" s="43" t="n">
        <v>1803</v>
      </c>
      <c r="AE6" s="43" t="n">
        <v>1656</v>
      </c>
      <c r="AF6" s="27" t="n">
        <v>1500</v>
      </c>
      <c r="AG6" s="39" t="s">
        <v>84</v>
      </c>
      <c r="AH6" s="48"/>
      <c r="AI6" s="48"/>
      <c r="AJ6" s="48"/>
      <c r="AK6" s="51" t="n">
        <v>-0.3</v>
      </c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36" t="s">
        <v>20</v>
      </c>
      <c r="AW6" s="36"/>
      <c r="AX6" s="36"/>
      <c r="AY6" s="36"/>
      <c r="AZ6" s="36"/>
      <c r="BA6" s="34"/>
      <c r="BB6" s="36"/>
      <c r="BC6" s="36"/>
      <c r="BD6" s="36"/>
      <c r="BE6" s="36"/>
      <c r="BF6" s="36"/>
      <c r="BG6" s="36"/>
      <c r="BH6" s="36"/>
      <c r="BI6" s="36"/>
      <c r="BJ6" s="36"/>
      <c r="BK6" s="34"/>
      <c r="BL6" s="36"/>
      <c r="BM6" s="36"/>
      <c r="BN6" s="34"/>
      <c r="BO6" s="34"/>
      <c r="BP6" s="35" t="s">
        <v>92</v>
      </c>
      <c r="BQ6" s="36"/>
      <c r="BR6" s="36"/>
      <c r="BS6" s="36"/>
      <c r="BT6" s="52"/>
      <c r="BU6" s="46"/>
      <c r="BV6" s="46"/>
      <c r="BW6" s="46"/>
      <c r="BX6" s="46"/>
    </row>
    <row r="7" customFormat="false" ht="12.8" hidden="false" customHeight="false" outlineLevel="0" collapsed="false">
      <c r="A7" s="35" t="s">
        <v>51</v>
      </c>
      <c r="B7" s="35" t="s">
        <v>98</v>
      </c>
      <c r="C7" s="35" t="s">
        <v>104</v>
      </c>
      <c r="D7" s="35" t="s">
        <v>105</v>
      </c>
      <c r="E7" s="34" t="s">
        <v>89</v>
      </c>
      <c r="F7" s="35" t="s">
        <v>106</v>
      </c>
      <c r="G7" s="34"/>
      <c r="H7" s="34" t="s">
        <v>84</v>
      </c>
      <c r="I7" s="34" t="s">
        <v>89</v>
      </c>
      <c r="J7" s="34" t="s">
        <v>88</v>
      </c>
      <c r="K7" s="34" t="s">
        <v>88</v>
      </c>
      <c r="L7" s="34" t="s">
        <v>84</v>
      </c>
      <c r="M7" s="34" t="s">
        <v>87</v>
      </c>
      <c r="N7" s="34" t="s">
        <v>88</v>
      </c>
      <c r="O7" s="43" t="n">
        <v>6470</v>
      </c>
      <c r="P7" s="43" t="n">
        <v>430</v>
      </c>
      <c r="Q7" s="43" t="n">
        <v>90</v>
      </c>
      <c r="R7" s="53" t="n">
        <v>0.00821759259270038</v>
      </c>
      <c r="S7" s="54" t="n">
        <v>2</v>
      </c>
      <c r="T7" s="55" t="n">
        <v>10</v>
      </c>
      <c r="U7" s="34" t="s">
        <v>84</v>
      </c>
      <c r="V7" s="35" t="s">
        <v>103</v>
      </c>
      <c r="W7" s="43" t="n">
        <v>1</v>
      </c>
      <c r="X7" s="42" t="n">
        <v>4950</v>
      </c>
      <c r="Y7" s="50"/>
      <c r="Z7" s="41"/>
      <c r="AA7" s="42" t="n">
        <v>2500</v>
      </c>
      <c r="AB7" s="56" t="n">
        <f aca="false">AA7*5</f>
        <v>0</v>
      </c>
      <c r="AC7" s="43" t="n">
        <v>3120</v>
      </c>
      <c r="AD7" s="43" t="n">
        <v>667</v>
      </c>
      <c r="AE7" s="43" t="n">
        <v>588</v>
      </c>
      <c r="AF7" s="27" t="n">
        <v>1500</v>
      </c>
      <c r="AG7" s="39" t="s">
        <v>84</v>
      </c>
      <c r="AH7" s="48"/>
      <c r="AI7" s="48"/>
      <c r="AJ7" s="48"/>
      <c r="AK7" s="48"/>
      <c r="AL7" s="48"/>
      <c r="AM7" s="48"/>
      <c r="AN7" s="57" t="n">
        <v>0.3</v>
      </c>
      <c r="AO7" s="48"/>
      <c r="AP7" s="48"/>
      <c r="AQ7" s="48"/>
      <c r="AR7" s="48"/>
      <c r="AS7" s="48"/>
      <c r="AT7" s="48"/>
      <c r="AU7" s="48"/>
      <c r="AV7" s="35" t="s">
        <v>107</v>
      </c>
      <c r="AW7" s="36"/>
      <c r="AX7" s="36"/>
      <c r="AY7" s="36"/>
      <c r="AZ7" s="36"/>
      <c r="BA7" s="34"/>
      <c r="BB7" s="36"/>
      <c r="BC7" s="36"/>
      <c r="BD7" s="36"/>
      <c r="BE7" s="36"/>
      <c r="BF7" s="36"/>
      <c r="BG7" s="36"/>
      <c r="BH7" s="36"/>
      <c r="BI7" s="36"/>
      <c r="BJ7" s="36"/>
      <c r="BK7" s="35" t="s">
        <v>92</v>
      </c>
      <c r="BL7" s="36"/>
      <c r="BM7" s="36"/>
      <c r="BN7" s="34"/>
      <c r="BO7" s="34"/>
      <c r="BP7" s="34"/>
      <c r="BQ7" s="36"/>
      <c r="BR7" s="36"/>
      <c r="BS7" s="36"/>
      <c r="BT7" s="52"/>
      <c r="BU7" s="34"/>
      <c r="BV7" s="34"/>
      <c r="BW7" s="34"/>
      <c r="BX7" s="34"/>
    </row>
    <row r="8" customFormat="false" ht="12.8" hidden="false" customHeight="false" outlineLevel="0" collapsed="false">
      <c r="A8" s="35" t="s">
        <v>51</v>
      </c>
      <c r="B8" s="35" t="s">
        <v>98</v>
      </c>
      <c r="C8" s="35" t="s">
        <v>104</v>
      </c>
      <c r="D8" s="35" t="s">
        <v>108</v>
      </c>
      <c r="E8" s="34" t="s">
        <v>87</v>
      </c>
      <c r="F8" s="35" t="s">
        <v>109</v>
      </c>
      <c r="G8" s="34"/>
      <c r="H8" s="34" t="s">
        <v>84</v>
      </c>
      <c r="I8" s="34" t="s">
        <v>89</v>
      </c>
      <c r="J8" s="34" t="s">
        <v>89</v>
      </c>
      <c r="K8" s="34" t="s">
        <v>84</v>
      </c>
      <c r="L8" s="34" t="s">
        <v>87</v>
      </c>
      <c r="M8" s="34" t="s">
        <v>87</v>
      </c>
      <c r="N8" s="34" t="s">
        <v>88</v>
      </c>
      <c r="O8" s="43" t="n">
        <v>4720</v>
      </c>
      <c r="P8" s="43" t="n">
        <v>410</v>
      </c>
      <c r="Q8" s="43" t="n">
        <v>140</v>
      </c>
      <c r="R8" s="53" t="n">
        <v>0.010185185186856</v>
      </c>
      <c r="S8" s="54" t="n">
        <v>2</v>
      </c>
      <c r="T8" s="55" t="n">
        <v>10</v>
      </c>
      <c r="U8" s="34" t="s">
        <v>84</v>
      </c>
      <c r="V8" s="35" t="s">
        <v>103</v>
      </c>
      <c r="W8" s="43" t="n">
        <v>1</v>
      </c>
      <c r="X8" s="42" t="n">
        <v>4500</v>
      </c>
      <c r="Y8" s="50"/>
      <c r="Z8" s="41"/>
      <c r="AA8" s="42" t="n">
        <v>2500</v>
      </c>
      <c r="AB8" s="56" t="n">
        <f aca="false">AA8*5</f>
        <v>0</v>
      </c>
      <c r="AC8" s="43" t="n">
        <v>3200</v>
      </c>
      <c r="AD8" s="43" t="n">
        <v>3200</v>
      </c>
      <c r="AE8" s="43" t="n">
        <v>64</v>
      </c>
      <c r="AF8" s="27" t="n">
        <v>1500</v>
      </c>
      <c r="AG8" s="39" t="s">
        <v>84</v>
      </c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36" t="s">
        <v>20</v>
      </c>
      <c r="AW8" s="36"/>
      <c r="AX8" s="36"/>
      <c r="AY8" s="36"/>
      <c r="AZ8" s="36"/>
      <c r="BA8" s="34"/>
      <c r="BB8" s="36"/>
      <c r="BC8" s="36"/>
      <c r="BD8" s="36"/>
      <c r="BE8" s="36"/>
      <c r="BF8" s="36"/>
      <c r="BG8" s="36"/>
      <c r="BH8" s="36"/>
      <c r="BI8" s="36"/>
      <c r="BJ8" s="36"/>
      <c r="BK8" s="34"/>
      <c r="BL8" s="36"/>
      <c r="BM8" s="36"/>
      <c r="BN8" s="34"/>
      <c r="BO8" s="34"/>
      <c r="BP8" s="34"/>
      <c r="BQ8" s="36"/>
      <c r="BR8" s="36"/>
      <c r="BS8" s="36"/>
      <c r="BT8" s="52"/>
      <c r="BU8" s="34"/>
      <c r="BV8" s="34"/>
      <c r="BW8" s="34"/>
      <c r="BX8" s="34"/>
    </row>
    <row r="9" customFormat="false" ht="12.8" hidden="false" customHeight="false" outlineLevel="0" collapsed="false">
      <c r="A9" s="35" t="s">
        <v>51</v>
      </c>
      <c r="B9" s="35" t="s">
        <v>98</v>
      </c>
      <c r="C9" s="35" t="s">
        <v>110</v>
      </c>
      <c r="D9" s="35" t="s">
        <v>111</v>
      </c>
      <c r="E9" s="34" t="s">
        <v>89</v>
      </c>
      <c r="F9" s="35" t="s">
        <v>112</v>
      </c>
      <c r="G9" s="34"/>
      <c r="H9" s="34" t="s">
        <v>84</v>
      </c>
      <c r="I9" s="34" t="s">
        <v>89</v>
      </c>
      <c r="J9" s="34" t="s">
        <v>88</v>
      </c>
      <c r="K9" s="34" t="s">
        <v>88</v>
      </c>
      <c r="L9" s="34" t="s">
        <v>84</v>
      </c>
      <c r="M9" s="34" t="s">
        <v>89</v>
      </c>
      <c r="N9" s="34" t="s">
        <v>88</v>
      </c>
      <c r="O9" s="43" t="n">
        <v>8220</v>
      </c>
      <c r="P9" s="43" t="n">
        <v>570</v>
      </c>
      <c r="Q9" s="43" t="n">
        <v>110</v>
      </c>
      <c r="R9" s="53" t="n">
        <v>0.0103009259255487</v>
      </c>
      <c r="S9" s="54" t="n">
        <v>2</v>
      </c>
      <c r="T9" s="55" t="n">
        <v>10</v>
      </c>
      <c r="U9" s="34" t="s">
        <v>84</v>
      </c>
      <c r="V9" s="35" t="s">
        <v>103</v>
      </c>
      <c r="W9" s="43" t="n">
        <v>1</v>
      </c>
      <c r="X9" s="42" t="n">
        <v>4100</v>
      </c>
      <c r="Y9" s="50"/>
      <c r="Z9" s="41"/>
      <c r="AA9" s="42" t="n">
        <v>2500</v>
      </c>
      <c r="AB9" s="56" t="n">
        <f aca="false">AA9*5</f>
        <v>0</v>
      </c>
      <c r="AC9" s="43" t="n">
        <v>3980</v>
      </c>
      <c r="AD9" s="43" t="n">
        <v>655</v>
      </c>
      <c r="AE9" s="43" t="n">
        <v>315</v>
      </c>
      <c r="AF9" s="27" t="n">
        <v>1500</v>
      </c>
      <c r="AG9" s="39" t="s">
        <v>84</v>
      </c>
      <c r="AH9" s="48"/>
      <c r="AI9" s="57" t="n">
        <v>0.35</v>
      </c>
      <c r="AJ9" s="48"/>
      <c r="AK9" s="41" t="n">
        <v>-0.2</v>
      </c>
      <c r="AL9" s="41" t="n">
        <v>-0.3</v>
      </c>
      <c r="AM9" s="41"/>
      <c r="AN9" s="48"/>
      <c r="AO9" s="48"/>
      <c r="AP9" s="48"/>
      <c r="AQ9" s="48"/>
      <c r="AR9" s="48"/>
      <c r="AS9" s="48"/>
      <c r="AT9" s="48"/>
      <c r="AU9" s="48"/>
      <c r="AV9" s="36" t="s">
        <v>20</v>
      </c>
      <c r="AW9" s="36"/>
      <c r="AX9" s="36"/>
      <c r="AY9" s="36"/>
      <c r="AZ9" s="36"/>
      <c r="BA9" s="34"/>
      <c r="BB9" s="36"/>
      <c r="BC9" s="36"/>
      <c r="BD9" s="36"/>
      <c r="BE9" s="36"/>
      <c r="BF9" s="36"/>
      <c r="BG9" s="36"/>
      <c r="BH9" s="36"/>
      <c r="BI9" s="36"/>
      <c r="BJ9" s="36"/>
      <c r="BK9" s="34"/>
      <c r="BL9" s="36"/>
      <c r="BM9" s="36"/>
      <c r="BN9" s="34"/>
      <c r="BO9" s="34"/>
      <c r="BP9" s="34"/>
      <c r="BQ9" s="36"/>
      <c r="BR9" s="36"/>
      <c r="BS9" s="36"/>
      <c r="BT9" s="52"/>
      <c r="BU9" s="34"/>
      <c r="BV9" s="35" t="s">
        <v>92</v>
      </c>
      <c r="BW9" s="34"/>
      <c r="BX9" s="34"/>
    </row>
    <row r="10" customFormat="false" ht="12.8" hidden="false" customHeight="false" outlineLevel="0" collapsed="false">
      <c r="A10" s="35" t="s">
        <v>51</v>
      </c>
      <c r="B10" s="35" t="s">
        <v>113</v>
      </c>
      <c r="C10" s="35" t="s">
        <v>114</v>
      </c>
      <c r="D10" s="35" t="s">
        <v>115</v>
      </c>
      <c r="E10" s="34" t="s">
        <v>89</v>
      </c>
      <c r="F10" s="35" t="s">
        <v>116</v>
      </c>
      <c r="G10" s="34"/>
      <c r="H10" s="34" t="s">
        <v>84</v>
      </c>
      <c r="I10" s="34" t="s">
        <v>87</v>
      </c>
      <c r="J10" s="34" t="s">
        <v>84</v>
      </c>
      <c r="K10" s="34" t="s">
        <v>87</v>
      </c>
      <c r="L10" s="34" t="s">
        <v>84</v>
      </c>
      <c r="M10" s="34" t="s">
        <v>88</v>
      </c>
      <c r="N10" s="34" t="s">
        <v>89</v>
      </c>
      <c r="O10" s="43"/>
      <c r="P10" s="43"/>
      <c r="Q10" s="43"/>
      <c r="R10" s="53"/>
      <c r="S10" s="54" t="n">
        <v>2</v>
      </c>
      <c r="T10" s="55" t="n">
        <v>10</v>
      </c>
      <c r="U10" s="34" t="s">
        <v>84</v>
      </c>
      <c r="V10" s="35" t="s">
        <v>103</v>
      </c>
      <c r="W10" s="43" t="n">
        <v>1</v>
      </c>
      <c r="X10" s="42" t="n">
        <v>4100</v>
      </c>
      <c r="Y10" s="50"/>
      <c r="Z10" s="41"/>
      <c r="AA10" s="42" t="n">
        <v>2500</v>
      </c>
      <c r="AB10" s="56" t="n">
        <f aca="false">AA10*5</f>
        <v>0</v>
      </c>
      <c r="AC10" s="43" t="n">
        <v>1858</v>
      </c>
      <c r="AD10" s="43" t="n">
        <v>0</v>
      </c>
      <c r="AE10" s="43" t="n">
        <v>483</v>
      </c>
      <c r="AF10" s="27" t="n">
        <v>1500</v>
      </c>
      <c r="AG10" s="39" t="s">
        <v>84</v>
      </c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34"/>
      <c r="AW10" s="36"/>
      <c r="AX10" s="36"/>
      <c r="AY10" s="36"/>
      <c r="AZ10" s="36"/>
      <c r="BA10" s="34"/>
      <c r="BB10" s="36"/>
      <c r="BC10" s="36"/>
      <c r="BD10" s="36"/>
      <c r="BE10" s="36"/>
      <c r="BF10" s="36"/>
      <c r="BG10" s="36"/>
      <c r="BH10" s="36"/>
      <c r="BI10" s="36"/>
      <c r="BJ10" s="36"/>
      <c r="BK10" s="34"/>
      <c r="BL10" s="36"/>
      <c r="BM10" s="36"/>
      <c r="BN10" s="34"/>
      <c r="BO10" s="34"/>
      <c r="BP10" s="34"/>
      <c r="BQ10" s="36"/>
      <c r="BR10" s="36"/>
      <c r="BS10" s="36"/>
      <c r="BT10" s="52"/>
      <c r="BU10" s="34"/>
      <c r="BV10" s="34"/>
      <c r="BW10" s="34"/>
      <c r="BX10" s="34"/>
    </row>
    <row r="11" customFormat="false" ht="12.8" hidden="false" customHeight="false" outlineLevel="0" collapsed="false">
      <c r="A11" s="35" t="s">
        <v>51</v>
      </c>
      <c r="B11" s="35" t="s">
        <v>81</v>
      </c>
      <c r="C11" s="34" t="s">
        <v>117</v>
      </c>
      <c r="D11" s="35" t="s">
        <v>118</v>
      </c>
      <c r="E11" s="34" t="s">
        <v>89</v>
      </c>
      <c r="F11" s="35" t="s">
        <v>112</v>
      </c>
      <c r="G11" s="34"/>
      <c r="H11" s="34" t="s">
        <v>84</v>
      </c>
      <c r="I11" s="34" t="s">
        <v>87</v>
      </c>
      <c r="J11" s="34" t="s">
        <v>88</v>
      </c>
      <c r="K11" s="34" t="s">
        <v>84</v>
      </c>
      <c r="L11" s="34" t="s">
        <v>84</v>
      </c>
      <c r="M11" s="34" t="s">
        <v>88</v>
      </c>
      <c r="N11" s="34" t="s">
        <v>89</v>
      </c>
      <c r="O11" s="43" t="n">
        <v>3690</v>
      </c>
      <c r="P11" s="43" t="n">
        <v>220</v>
      </c>
      <c r="Q11" s="43" t="n">
        <v>50</v>
      </c>
      <c r="R11" s="53" t="n">
        <v>0.0043981481467199</v>
      </c>
      <c r="S11" s="54" t="n">
        <v>2</v>
      </c>
      <c r="T11" s="55" t="n">
        <v>10</v>
      </c>
      <c r="U11" s="34" t="s">
        <v>84</v>
      </c>
      <c r="V11" s="35" t="s">
        <v>103</v>
      </c>
      <c r="W11" s="43" t="n">
        <v>1</v>
      </c>
      <c r="X11" s="42" t="n">
        <v>4100</v>
      </c>
      <c r="Y11" s="50"/>
      <c r="Z11" s="41"/>
      <c r="AA11" s="42" t="n">
        <v>2500</v>
      </c>
      <c r="AB11" s="56" t="n">
        <f aca="false">AA11*5</f>
        <v>0</v>
      </c>
      <c r="AC11" s="43" t="n">
        <v>2640</v>
      </c>
      <c r="AD11" s="43" t="n">
        <v>580</v>
      </c>
      <c r="AE11" s="43" t="n">
        <v>184</v>
      </c>
      <c r="AF11" s="27" t="n">
        <v>1500</v>
      </c>
      <c r="AG11" s="39" t="s">
        <v>84</v>
      </c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36" t="s">
        <v>20</v>
      </c>
      <c r="AW11" s="36"/>
      <c r="AX11" s="36"/>
      <c r="AY11" s="36"/>
      <c r="AZ11" s="36"/>
      <c r="BA11" s="34"/>
      <c r="BB11" s="36"/>
      <c r="BC11" s="36"/>
      <c r="BD11" s="36"/>
      <c r="BE11" s="36"/>
      <c r="BF11" s="36"/>
      <c r="BG11" s="36"/>
      <c r="BH11" s="36"/>
      <c r="BI11" s="36"/>
      <c r="BJ11" s="36"/>
      <c r="BK11" s="34"/>
      <c r="BL11" s="36"/>
      <c r="BM11" s="36"/>
      <c r="BN11" s="34"/>
      <c r="BO11" s="34"/>
      <c r="BP11" s="34"/>
      <c r="BQ11" s="36"/>
      <c r="BR11" s="36"/>
      <c r="BS11" s="36"/>
      <c r="BT11" s="52"/>
      <c r="BU11" s="34"/>
      <c r="BV11" s="34"/>
      <c r="BW11" s="34"/>
      <c r="BX11" s="34"/>
    </row>
    <row r="12" customFormat="false" ht="12.8" hidden="false" customHeight="false" outlineLevel="0" collapsed="false">
      <c r="A12" s="35" t="s">
        <v>51</v>
      </c>
      <c r="B12" s="35" t="s">
        <v>81</v>
      </c>
      <c r="C12" s="35" t="s">
        <v>119</v>
      </c>
      <c r="D12" s="35" t="s">
        <v>120</v>
      </c>
      <c r="E12" s="34" t="s">
        <v>89</v>
      </c>
      <c r="F12" s="35" t="s">
        <v>121</v>
      </c>
      <c r="G12" s="34"/>
      <c r="H12" s="34" t="s">
        <v>84</v>
      </c>
      <c r="I12" s="34" t="s">
        <v>87</v>
      </c>
      <c r="J12" s="34" t="s">
        <v>84</v>
      </c>
      <c r="K12" s="34" t="s">
        <v>87</v>
      </c>
      <c r="L12" s="34" t="s">
        <v>84</v>
      </c>
      <c r="M12" s="34" t="s">
        <v>87</v>
      </c>
      <c r="N12" s="34" t="s">
        <v>87</v>
      </c>
      <c r="O12" s="43" t="n">
        <v>6310</v>
      </c>
      <c r="P12" s="43" t="n">
        <v>380</v>
      </c>
      <c r="Q12" s="43" t="n">
        <v>80</v>
      </c>
      <c r="R12" s="53" t="n">
        <v>0.00717592592627625</v>
      </c>
      <c r="S12" s="54" t="n">
        <v>2</v>
      </c>
      <c r="T12" s="55" t="n">
        <v>10</v>
      </c>
      <c r="U12" s="34" t="s">
        <v>84</v>
      </c>
      <c r="V12" s="35" t="s">
        <v>103</v>
      </c>
      <c r="W12" s="43" t="n">
        <v>1</v>
      </c>
      <c r="X12" s="42" t="n">
        <v>4100</v>
      </c>
      <c r="Y12" s="50" t="n">
        <v>6</v>
      </c>
      <c r="Z12" s="41"/>
      <c r="AA12" s="42" t="n">
        <v>2500</v>
      </c>
      <c r="AB12" s="56" t="n">
        <f aca="false">AA12*5</f>
        <v>0</v>
      </c>
      <c r="AC12" s="43" t="n">
        <v>2250</v>
      </c>
      <c r="AD12" s="43" t="n">
        <v>0</v>
      </c>
      <c r="AE12" s="43" t="n">
        <v>630</v>
      </c>
      <c r="AF12" s="27" t="n">
        <v>1500</v>
      </c>
      <c r="AG12" s="39" t="s">
        <v>84</v>
      </c>
      <c r="AH12" s="48" t="n">
        <v>-0.35</v>
      </c>
      <c r="AI12" s="48"/>
      <c r="AJ12" s="48"/>
      <c r="AK12" s="48"/>
      <c r="AL12" s="48"/>
      <c r="AM12" s="48"/>
      <c r="AN12" s="48"/>
      <c r="AO12" s="41"/>
      <c r="AP12" s="41"/>
      <c r="AQ12" s="41"/>
      <c r="AR12" s="41" t="n">
        <v>0.15</v>
      </c>
      <c r="AS12" s="41" t="n">
        <v>0.15</v>
      </c>
      <c r="AT12" s="41"/>
      <c r="AU12" s="41"/>
      <c r="AV12" s="35" t="s">
        <v>107</v>
      </c>
      <c r="AW12" s="36"/>
      <c r="AX12" s="36"/>
      <c r="AY12" s="36"/>
      <c r="AZ12" s="36"/>
      <c r="BA12" s="34"/>
      <c r="BB12" s="36"/>
      <c r="BC12" s="36"/>
      <c r="BD12" s="36"/>
      <c r="BE12" s="36"/>
      <c r="BF12" s="36"/>
      <c r="BG12" s="36"/>
      <c r="BH12" s="36"/>
      <c r="BI12" s="36"/>
      <c r="BJ12" s="36"/>
      <c r="BK12" s="34"/>
      <c r="BL12" s="36"/>
      <c r="BM12" s="36"/>
      <c r="BN12" s="35" t="s">
        <v>92</v>
      </c>
      <c r="BO12" s="34"/>
      <c r="BP12" s="34"/>
      <c r="BQ12" s="36"/>
      <c r="BR12" s="36"/>
      <c r="BS12" s="36"/>
      <c r="BT12" s="52"/>
      <c r="BU12" s="34"/>
      <c r="BV12" s="34"/>
      <c r="BW12" s="34"/>
      <c r="BX12" s="34"/>
    </row>
    <row r="13" customFormat="false" ht="12.8" hidden="false" customHeight="false" outlineLevel="0" collapsed="false">
      <c r="A13" s="35" t="s">
        <v>51</v>
      </c>
      <c r="B13" s="35" t="s">
        <v>93</v>
      </c>
      <c r="C13" s="34" t="s">
        <v>122</v>
      </c>
      <c r="D13" s="35" t="s">
        <v>123</v>
      </c>
      <c r="E13" s="34" t="s">
        <v>89</v>
      </c>
      <c r="F13" s="35" t="s">
        <v>101</v>
      </c>
      <c r="G13" s="34"/>
      <c r="H13" s="34" t="s">
        <v>84</v>
      </c>
      <c r="I13" s="34" t="s">
        <v>87</v>
      </c>
      <c r="J13" s="34" t="s">
        <v>87</v>
      </c>
      <c r="K13" s="34" t="s">
        <v>88</v>
      </c>
      <c r="L13" s="34" t="s">
        <v>84</v>
      </c>
      <c r="M13" s="34" t="s">
        <v>88</v>
      </c>
      <c r="N13" s="34" t="s">
        <v>89</v>
      </c>
      <c r="O13" s="43" t="n">
        <v>4270</v>
      </c>
      <c r="P13" s="43" t="n">
        <v>270</v>
      </c>
      <c r="Q13" s="43" t="n">
        <v>60</v>
      </c>
      <c r="R13" s="53" t="n">
        <v>0.00532407407445135</v>
      </c>
      <c r="S13" s="54" t="n">
        <v>2</v>
      </c>
      <c r="T13" s="55" t="n">
        <v>15</v>
      </c>
      <c r="U13" s="34" t="s">
        <v>84</v>
      </c>
      <c r="V13" s="35" t="s">
        <v>103</v>
      </c>
      <c r="W13" s="43" t="n">
        <v>1</v>
      </c>
      <c r="X13" s="42" t="n">
        <v>4100</v>
      </c>
      <c r="Y13" s="50"/>
      <c r="Z13" s="41"/>
      <c r="AA13" s="42" t="n">
        <v>2500</v>
      </c>
      <c r="AB13" s="56" t="n">
        <f aca="false">AA13*5</f>
        <v>0</v>
      </c>
      <c r="AC13" s="43" t="n">
        <v>2520</v>
      </c>
      <c r="AD13" s="43" t="n">
        <v>237</v>
      </c>
      <c r="AE13" s="43" t="n">
        <v>418</v>
      </c>
      <c r="AF13" s="27" t="n">
        <v>1500</v>
      </c>
      <c r="AG13" s="39" t="s">
        <v>84</v>
      </c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35" t="s">
        <v>107</v>
      </c>
      <c r="AW13" s="36"/>
      <c r="AX13" s="36"/>
      <c r="AY13" s="36"/>
      <c r="AZ13" s="36"/>
      <c r="BA13" s="34"/>
      <c r="BB13" s="36"/>
      <c r="BC13" s="36"/>
      <c r="BD13" s="36"/>
      <c r="BE13" s="36"/>
      <c r="BF13" s="36"/>
      <c r="BG13" s="36"/>
      <c r="BH13" s="36"/>
      <c r="BI13" s="36"/>
      <c r="BJ13" s="36"/>
      <c r="BK13" s="34"/>
      <c r="BL13" s="36"/>
      <c r="BM13" s="36"/>
      <c r="BN13" s="34"/>
      <c r="BO13" s="34"/>
      <c r="BP13" s="34"/>
      <c r="BQ13" s="36"/>
      <c r="BR13" s="36"/>
      <c r="BS13" s="36"/>
      <c r="BT13" s="52"/>
      <c r="BU13" s="34"/>
      <c r="BV13" s="34"/>
      <c r="BW13" s="35" t="s">
        <v>92</v>
      </c>
      <c r="BX13" s="34"/>
    </row>
    <row r="14" customFormat="false" ht="12.8" hidden="false" customHeight="false" outlineLevel="0" collapsed="false">
      <c r="A14" s="35" t="s">
        <v>51</v>
      </c>
      <c r="B14" s="35" t="s">
        <v>93</v>
      </c>
      <c r="C14" s="34" t="s">
        <v>124</v>
      </c>
      <c r="D14" s="35" t="s">
        <v>125</v>
      </c>
      <c r="E14" s="34" t="s">
        <v>89</v>
      </c>
      <c r="F14" s="35" t="s">
        <v>126</v>
      </c>
      <c r="G14" s="34"/>
      <c r="H14" s="34" t="s">
        <v>84</v>
      </c>
      <c r="I14" s="34" t="s">
        <v>89</v>
      </c>
      <c r="J14" s="34" t="s">
        <v>87</v>
      </c>
      <c r="K14" s="34" t="s">
        <v>88</v>
      </c>
      <c r="L14" s="34" t="s">
        <v>84</v>
      </c>
      <c r="M14" s="34" t="s">
        <v>87</v>
      </c>
      <c r="N14" s="34" t="s">
        <v>87</v>
      </c>
      <c r="O14" s="43" t="n">
        <v>5320</v>
      </c>
      <c r="P14" s="43" t="n">
        <v>410</v>
      </c>
      <c r="Q14" s="43" t="n">
        <v>70</v>
      </c>
      <c r="R14" s="53" t="n">
        <v>0.00694444444525288</v>
      </c>
      <c r="S14" s="54" t="n">
        <v>2</v>
      </c>
      <c r="T14" s="55" t="n">
        <v>15</v>
      </c>
      <c r="U14" s="34" t="s">
        <v>84</v>
      </c>
      <c r="V14" s="35" t="s">
        <v>103</v>
      </c>
      <c r="W14" s="43" t="n">
        <v>1</v>
      </c>
      <c r="X14" s="42" t="n">
        <v>6470</v>
      </c>
      <c r="Y14" s="50"/>
      <c r="Z14" s="41"/>
      <c r="AA14" s="42" t="n">
        <v>2500</v>
      </c>
      <c r="AB14" s="56" t="n">
        <f aca="false">AA14*5</f>
        <v>0</v>
      </c>
      <c r="AC14" s="43" t="n">
        <v>3200</v>
      </c>
      <c r="AD14" s="43" t="n">
        <v>1600</v>
      </c>
      <c r="AE14" s="43" t="n">
        <v>240</v>
      </c>
      <c r="AF14" s="27" t="n">
        <v>1500</v>
      </c>
      <c r="AG14" s="39" t="s">
        <v>84</v>
      </c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35" t="s">
        <v>107</v>
      </c>
      <c r="AW14" s="36"/>
      <c r="AX14" s="36"/>
      <c r="AY14" s="36"/>
      <c r="AZ14" s="36"/>
      <c r="BA14" s="34"/>
      <c r="BB14" s="36"/>
      <c r="BC14" s="36"/>
      <c r="BD14" s="36"/>
      <c r="BE14" s="36"/>
      <c r="BF14" s="36"/>
      <c r="BG14" s="36"/>
      <c r="BH14" s="36"/>
      <c r="BI14" s="36"/>
      <c r="BJ14" s="36"/>
      <c r="BK14" s="34"/>
      <c r="BL14" s="36"/>
      <c r="BM14" s="36"/>
      <c r="BN14" s="34"/>
      <c r="BO14" s="34"/>
      <c r="BP14" s="34"/>
      <c r="BQ14" s="36"/>
      <c r="BR14" s="36"/>
      <c r="BS14" s="36"/>
      <c r="BT14" s="52"/>
      <c r="BU14" s="34"/>
      <c r="BV14" s="34"/>
      <c r="BW14" s="35" t="s">
        <v>92</v>
      </c>
      <c r="BX14" s="34"/>
    </row>
    <row r="15" customFormat="false" ht="12.8" hidden="false" customHeight="false" outlineLevel="0" collapsed="false">
      <c r="A15" s="35" t="s">
        <v>51</v>
      </c>
      <c r="B15" s="35" t="s">
        <v>93</v>
      </c>
      <c r="C15" s="34" t="s">
        <v>124</v>
      </c>
      <c r="D15" s="35" t="s">
        <v>127</v>
      </c>
      <c r="E15" s="34" t="s">
        <v>87</v>
      </c>
      <c r="F15" s="35" t="s">
        <v>128</v>
      </c>
      <c r="G15" s="34"/>
      <c r="H15" s="34" t="s">
        <v>84</v>
      </c>
      <c r="I15" s="34" t="s">
        <v>87</v>
      </c>
      <c r="J15" s="34" t="s">
        <v>87</v>
      </c>
      <c r="K15" s="34" t="s">
        <v>88</v>
      </c>
      <c r="L15" s="34" t="s">
        <v>84</v>
      </c>
      <c r="M15" s="34" t="s">
        <v>87</v>
      </c>
      <c r="N15" s="34" t="s">
        <v>87</v>
      </c>
      <c r="O15" s="43" t="n">
        <v>4590</v>
      </c>
      <c r="P15" s="43" t="n">
        <v>320</v>
      </c>
      <c r="Q15" s="43" t="n">
        <v>60</v>
      </c>
      <c r="R15" s="53" t="n">
        <v>0.00567129629780538</v>
      </c>
      <c r="S15" s="54" t="n">
        <v>2</v>
      </c>
      <c r="T15" s="55" t="n">
        <v>15</v>
      </c>
      <c r="U15" s="34" t="s">
        <v>84</v>
      </c>
      <c r="V15" s="35" t="s">
        <v>103</v>
      </c>
      <c r="W15" s="43" t="n">
        <v>1</v>
      </c>
      <c r="X15" s="42" t="n">
        <v>6470</v>
      </c>
      <c r="Y15" s="50"/>
      <c r="Z15" s="41"/>
      <c r="AA15" s="42" t="n">
        <v>2500</v>
      </c>
      <c r="AB15" s="56" t="n">
        <f aca="false">AA15*5</f>
        <v>0</v>
      </c>
      <c r="AC15" s="43" t="n">
        <v>3050</v>
      </c>
      <c r="AD15" s="43" t="n">
        <v>1600</v>
      </c>
      <c r="AE15" s="43" t="n">
        <v>247</v>
      </c>
      <c r="AF15" s="27" t="n">
        <v>1500</v>
      </c>
      <c r="AG15" s="39" t="s">
        <v>84</v>
      </c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35" t="s">
        <v>107</v>
      </c>
      <c r="AW15" s="36"/>
      <c r="AX15" s="36"/>
      <c r="AY15" s="36"/>
      <c r="AZ15" s="36"/>
      <c r="BA15" s="34"/>
      <c r="BB15" s="36"/>
      <c r="BC15" s="36"/>
      <c r="BD15" s="36"/>
      <c r="BE15" s="36"/>
      <c r="BF15" s="36"/>
      <c r="BG15" s="36"/>
      <c r="BH15" s="36"/>
      <c r="BI15" s="36"/>
      <c r="BJ15" s="36"/>
      <c r="BK15" s="34"/>
      <c r="BL15" s="36"/>
      <c r="BM15" s="36"/>
      <c r="BN15" s="34"/>
      <c r="BO15" s="34"/>
      <c r="BP15" s="34"/>
      <c r="BQ15" s="36"/>
      <c r="BR15" s="36"/>
      <c r="BS15" s="36"/>
      <c r="BT15" s="52"/>
      <c r="BU15" s="34"/>
      <c r="BV15" s="34"/>
      <c r="BW15" s="35" t="s">
        <v>92</v>
      </c>
      <c r="BX15" s="34"/>
    </row>
    <row r="16" customFormat="false" ht="12.8" hidden="false" customHeight="false" outlineLevel="0" collapsed="false">
      <c r="A16" s="35" t="s">
        <v>51</v>
      </c>
      <c r="B16" s="35" t="s">
        <v>93</v>
      </c>
      <c r="C16" s="34" t="s">
        <v>129</v>
      </c>
      <c r="D16" s="35" t="s">
        <v>108</v>
      </c>
      <c r="E16" s="34" t="s">
        <v>89</v>
      </c>
      <c r="F16" s="35" t="s">
        <v>130</v>
      </c>
      <c r="G16" s="35" t="s">
        <v>131</v>
      </c>
      <c r="H16" s="34" t="s">
        <v>84</v>
      </c>
      <c r="I16" s="34" t="s">
        <v>88</v>
      </c>
      <c r="J16" s="34" t="s">
        <v>89</v>
      </c>
      <c r="K16" s="34" t="s">
        <v>88</v>
      </c>
      <c r="L16" s="34" t="s">
        <v>84</v>
      </c>
      <c r="M16" s="34" t="s">
        <v>87</v>
      </c>
      <c r="N16" s="34" t="s">
        <v>89</v>
      </c>
      <c r="O16" s="43" t="n">
        <v>4800</v>
      </c>
      <c r="P16" s="43" t="n">
        <v>280</v>
      </c>
      <c r="Q16" s="43" t="n">
        <v>60</v>
      </c>
      <c r="R16" s="53" t="n">
        <v>0.00358796296131914</v>
      </c>
      <c r="S16" s="54" t="n">
        <v>2</v>
      </c>
      <c r="T16" s="55" t="n">
        <v>15</v>
      </c>
      <c r="U16" s="34" t="s">
        <v>84</v>
      </c>
      <c r="V16" s="35" t="s">
        <v>103</v>
      </c>
      <c r="W16" s="43" t="n">
        <v>1</v>
      </c>
      <c r="X16" s="42" t="n">
        <v>6470</v>
      </c>
      <c r="Y16" s="50"/>
      <c r="Z16" s="41"/>
      <c r="AA16" s="42" t="n">
        <v>2500</v>
      </c>
      <c r="AB16" s="56" t="n">
        <f aca="false">AA16*5</f>
        <v>0</v>
      </c>
      <c r="AC16" s="43" t="n">
        <v>2400</v>
      </c>
      <c r="AD16" s="43" t="n">
        <v>3192</v>
      </c>
      <c r="AE16" s="43" t="n">
        <v>48</v>
      </c>
      <c r="AF16" s="27" t="n">
        <v>1500</v>
      </c>
      <c r="AG16" s="39" t="s">
        <v>84</v>
      </c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34"/>
      <c r="AW16" s="36"/>
      <c r="AX16" s="36"/>
      <c r="AY16" s="36"/>
      <c r="AZ16" s="36"/>
      <c r="BA16" s="34"/>
      <c r="BB16" s="36"/>
      <c r="BC16" s="36"/>
      <c r="BD16" s="36"/>
      <c r="BE16" s="36"/>
      <c r="BF16" s="36"/>
      <c r="BG16" s="36"/>
      <c r="BH16" s="36"/>
      <c r="BI16" s="36"/>
      <c r="BJ16" s="36"/>
      <c r="BK16" s="34"/>
      <c r="BL16" s="36"/>
      <c r="BM16" s="36"/>
      <c r="BN16" s="34"/>
      <c r="BO16" s="34"/>
      <c r="BP16" s="34"/>
      <c r="BQ16" s="36"/>
      <c r="BR16" s="36"/>
      <c r="BS16" s="36"/>
      <c r="BT16" s="52"/>
      <c r="BU16" s="34"/>
      <c r="BV16" s="34"/>
      <c r="BW16" s="35" t="s">
        <v>92</v>
      </c>
      <c r="BX16" s="34"/>
    </row>
    <row r="17" customFormat="false" ht="12.8" hidden="false" customHeight="false" outlineLevel="0" collapsed="false">
      <c r="A17" s="36" t="s">
        <v>52</v>
      </c>
      <c r="B17" s="36" t="s">
        <v>98</v>
      </c>
      <c r="C17" s="36" t="s">
        <v>132</v>
      </c>
      <c r="D17" s="36" t="s">
        <v>133</v>
      </c>
      <c r="E17" s="58" t="s">
        <v>89</v>
      </c>
      <c r="F17" s="36" t="s">
        <v>134</v>
      </c>
      <c r="G17" s="58"/>
      <c r="H17" s="36" t="s">
        <v>135</v>
      </c>
      <c r="I17" s="58" t="s">
        <v>88</v>
      </c>
      <c r="J17" s="58" t="s">
        <v>88</v>
      </c>
      <c r="K17" s="58" t="s">
        <v>88</v>
      </c>
      <c r="L17" s="34" t="s">
        <v>84</v>
      </c>
      <c r="M17" s="58" t="s">
        <v>87</v>
      </c>
      <c r="N17" s="58" t="s">
        <v>89</v>
      </c>
      <c r="O17" s="43" t="n">
        <v>7810</v>
      </c>
      <c r="P17" s="43" t="n">
        <v>660</v>
      </c>
      <c r="Q17" s="43" t="n">
        <v>170</v>
      </c>
      <c r="R17" s="53" t="n">
        <v>0.0142361111102218</v>
      </c>
      <c r="S17" s="54" t="n">
        <v>4</v>
      </c>
      <c r="T17" s="55" t="n">
        <v>10</v>
      </c>
      <c r="U17" s="34" t="s">
        <v>84</v>
      </c>
      <c r="V17" s="36" t="s">
        <v>91</v>
      </c>
      <c r="W17" s="59" t="s">
        <v>84</v>
      </c>
      <c r="X17" s="42" t="n">
        <v>7640</v>
      </c>
      <c r="Y17" s="50" t="n">
        <v>5</v>
      </c>
      <c r="Z17" s="48"/>
      <c r="AA17" s="42" t="n">
        <v>1100</v>
      </c>
      <c r="AB17" s="56" t="n">
        <f aca="false">AA17*5</f>
        <v>0</v>
      </c>
      <c r="AC17" s="43" t="n">
        <v>1575</v>
      </c>
      <c r="AD17" s="43" t="n">
        <v>1500</v>
      </c>
      <c r="AE17" s="43" t="n">
        <v>315</v>
      </c>
      <c r="AF17" s="43" t="n">
        <v>3500</v>
      </c>
      <c r="AG17" s="42" t="n">
        <v>1800</v>
      </c>
      <c r="AH17" s="48"/>
      <c r="AI17" s="48" t="n">
        <v>0.35</v>
      </c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36" t="s">
        <v>107</v>
      </c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36" t="s">
        <v>92</v>
      </c>
      <c r="BM17" s="58"/>
      <c r="BN17" s="58"/>
      <c r="BO17" s="58"/>
      <c r="BP17" s="58"/>
      <c r="BQ17" s="58"/>
      <c r="BR17" s="58"/>
      <c r="BS17" s="58"/>
      <c r="BT17" s="52"/>
      <c r="BU17" s="34"/>
      <c r="BV17" s="34"/>
      <c r="BW17" s="34"/>
      <c r="BX17" s="34"/>
    </row>
    <row r="18" customFormat="false" ht="12.8" hidden="false" customHeight="false" outlineLevel="0" collapsed="false">
      <c r="A18" s="36" t="s">
        <v>52</v>
      </c>
      <c r="B18" s="36" t="s">
        <v>98</v>
      </c>
      <c r="C18" s="36" t="s">
        <v>132</v>
      </c>
      <c r="D18" s="36" t="s">
        <v>136</v>
      </c>
      <c r="E18" s="58" t="s">
        <v>87</v>
      </c>
      <c r="F18" s="36" t="s">
        <v>137</v>
      </c>
      <c r="G18" s="58"/>
      <c r="H18" s="58"/>
      <c r="I18" s="58" t="s">
        <v>87</v>
      </c>
      <c r="J18" s="58" t="s">
        <v>88</v>
      </c>
      <c r="K18" s="58" t="s">
        <v>88</v>
      </c>
      <c r="L18" s="34" t="s">
        <v>84</v>
      </c>
      <c r="M18" s="58" t="s">
        <v>88</v>
      </c>
      <c r="N18" s="58" t="s">
        <v>89</v>
      </c>
      <c r="O18" s="43"/>
      <c r="P18" s="43"/>
      <c r="Q18" s="43"/>
      <c r="R18" s="53"/>
      <c r="S18" s="54" t="n">
        <v>5</v>
      </c>
      <c r="T18" s="55" t="n">
        <v>10</v>
      </c>
      <c r="U18" s="34" t="s">
        <v>84</v>
      </c>
      <c r="V18" s="36" t="s">
        <v>91</v>
      </c>
      <c r="W18" s="59" t="s">
        <v>84</v>
      </c>
      <c r="X18" s="42" t="n">
        <v>9000</v>
      </c>
      <c r="Y18" s="50" t="n">
        <v>5</v>
      </c>
      <c r="Z18" s="48"/>
      <c r="AA18" s="42" t="n">
        <v>950</v>
      </c>
      <c r="AB18" s="56" t="n">
        <f aca="false">AA18*5</f>
        <v>0</v>
      </c>
      <c r="AC18" s="43" t="n">
        <v>0</v>
      </c>
      <c r="AD18" s="43" t="n">
        <v>0</v>
      </c>
      <c r="AE18" s="43" t="n">
        <v>0</v>
      </c>
      <c r="AF18" s="43" t="n">
        <v>3500</v>
      </c>
      <c r="AG18" s="42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2"/>
      <c r="BU18" s="34"/>
      <c r="BV18" s="34"/>
      <c r="BW18" s="34"/>
      <c r="BX18" s="34"/>
    </row>
    <row r="19" customFormat="false" ht="12.8" hidden="false" customHeight="false" outlineLevel="0" collapsed="false">
      <c r="A19" s="36" t="s">
        <v>52</v>
      </c>
      <c r="B19" s="36" t="s">
        <v>98</v>
      </c>
      <c r="C19" s="36" t="s">
        <v>132</v>
      </c>
      <c r="D19" s="36" t="s">
        <v>138</v>
      </c>
      <c r="E19" s="58" t="s">
        <v>88</v>
      </c>
      <c r="F19" s="35" t="s">
        <v>139</v>
      </c>
      <c r="G19" s="58"/>
      <c r="H19" s="36" t="s">
        <v>135</v>
      </c>
      <c r="I19" s="58" t="s">
        <v>88</v>
      </c>
      <c r="J19" s="58" t="s">
        <v>88</v>
      </c>
      <c r="K19" s="58" t="s">
        <v>88</v>
      </c>
      <c r="L19" s="34" t="s">
        <v>84</v>
      </c>
      <c r="M19" s="34" t="s">
        <v>102</v>
      </c>
      <c r="N19" s="58" t="s">
        <v>87</v>
      </c>
      <c r="O19" s="43" t="n">
        <v>8930</v>
      </c>
      <c r="P19" s="43" t="n">
        <v>660</v>
      </c>
      <c r="Q19" s="43" t="n">
        <v>260</v>
      </c>
      <c r="R19" s="53" t="n">
        <v>0.0179398148138716</v>
      </c>
      <c r="S19" s="54" t="n">
        <v>5</v>
      </c>
      <c r="T19" s="55" t="n">
        <v>10</v>
      </c>
      <c r="U19" s="34" t="s">
        <v>84</v>
      </c>
      <c r="V19" s="36" t="s">
        <v>91</v>
      </c>
      <c r="W19" s="59" t="s">
        <v>84</v>
      </c>
      <c r="X19" s="42" t="n">
        <v>8940</v>
      </c>
      <c r="Y19" s="50" t="n">
        <v>5</v>
      </c>
      <c r="Z19" s="48"/>
      <c r="AA19" s="42" t="n">
        <v>1100</v>
      </c>
      <c r="AB19" s="56" t="n">
        <f aca="false">AA19*5</f>
        <v>0</v>
      </c>
      <c r="AC19" s="43" t="n">
        <v>1575</v>
      </c>
      <c r="AD19" s="43" t="n">
        <v>992</v>
      </c>
      <c r="AE19" s="43" t="n">
        <v>315</v>
      </c>
      <c r="AF19" s="43" t="n">
        <v>3500</v>
      </c>
      <c r="AG19" s="42" t="n">
        <v>1200</v>
      </c>
      <c r="AH19" s="48"/>
      <c r="AI19" s="48" t="n">
        <v>0.2</v>
      </c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58"/>
      <c r="AW19" s="58"/>
      <c r="AX19" s="58"/>
      <c r="AY19" s="58"/>
      <c r="AZ19" s="58"/>
      <c r="BA19" s="58"/>
      <c r="BB19" s="58"/>
      <c r="BC19" s="35" t="s">
        <v>92</v>
      </c>
      <c r="BD19" s="58"/>
      <c r="BE19" s="58"/>
      <c r="BF19" s="58"/>
      <c r="BG19" s="58"/>
      <c r="BH19" s="58"/>
      <c r="BI19" s="58"/>
      <c r="BJ19" s="58"/>
      <c r="BK19" s="58"/>
      <c r="BL19" s="36" t="s">
        <v>92</v>
      </c>
      <c r="BM19" s="58"/>
      <c r="BN19" s="58"/>
      <c r="BO19" s="58"/>
      <c r="BP19" s="58"/>
      <c r="BQ19" s="58"/>
      <c r="BR19" s="58"/>
      <c r="BS19" s="58"/>
      <c r="BT19" s="52"/>
      <c r="BU19" s="34"/>
      <c r="BV19" s="34"/>
      <c r="BW19" s="34"/>
      <c r="BX19" s="34"/>
    </row>
    <row r="20" customFormat="false" ht="12.8" hidden="false" customHeight="false" outlineLevel="0" collapsed="false">
      <c r="A20" s="36" t="s">
        <v>52</v>
      </c>
      <c r="B20" s="35" t="s">
        <v>98</v>
      </c>
      <c r="C20" s="36" t="s">
        <v>140</v>
      </c>
      <c r="D20" s="36" t="s">
        <v>141</v>
      </c>
      <c r="E20" s="58" t="s">
        <v>89</v>
      </c>
      <c r="F20" s="36" t="s">
        <v>116</v>
      </c>
      <c r="G20" s="58"/>
      <c r="H20" s="36" t="s">
        <v>86</v>
      </c>
      <c r="I20" s="58" t="s">
        <v>89</v>
      </c>
      <c r="J20" s="58" t="s">
        <v>88</v>
      </c>
      <c r="K20" s="58" t="s">
        <v>88</v>
      </c>
      <c r="L20" s="34" t="s">
        <v>84</v>
      </c>
      <c r="M20" s="58" t="s">
        <v>88</v>
      </c>
      <c r="N20" s="58" t="s">
        <v>87</v>
      </c>
      <c r="O20" s="43" t="n">
        <v>12490</v>
      </c>
      <c r="P20" s="43" t="n">
        <v>950</v>
      </c>
      <c r="Q20" s="43" t="n">
        <v>230</v>
      </c>
      <c r="R20" s="53" t="n">
        <v>0.0197916666656965</v>
      </c>
      <c r="S20" s="54" t="n">
        <v>4</v>
      </c>
      <c r="T20" s="55" t="n">
        <v>10</v>
      </c>
      <c r="U20" s="34" t="s">
        <v>84</v>
      </c>
      <c r="V20" s="36" t="s">
        <v>91</v>
      </c>
      <c r="W20" s="59" t="s">
        <v>84</v>
      </c>
      <c r="X20" s="42" t="n">
        <v>9650</v>
      </c>
      <c r="Y20" s="50" t="n">
        <v>5</v>
      </c>
      <c r="Z20" s="48"/>
      <c r="AA20" s="42" t="n">
        <v>800</v>
      </c>
      <c r="AB20" s="56" t="n">
        <f aca="false">AA20*5</f>
        <v>0</v>
      </c>
      <c r="AC20" s="43" t="n">
        <v>3520</v>
      </c>
      <c r="AD20" s="43" t="n">
        <v>716</v>
      </c>
      <c r="AE20" s="43" t="n">
        <v>330</v>
      </c>
      <c r="AF20" s="43" t="n">
        <v>3500</v>
      </c>
      <c r="AG20" s="42" t="n">
        <v>2000</v>
      </c>
      <c r="AH20" s="48"/>
      <c r="AI20" s="48" t="n">
        <v>0.35</v>
      </c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36" t="s">
        <v>107</v>
      </c>
      <c r="AW20" s="58"/>
      <c r="AX20" s="58"/>
      <c r="AY20" s="58"/>
      <c r="AZ20" s="36" t="s">
        <v>92</v>
      </c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2"/>
      <c r="BU20" s="34"/>
      <c r="BV20" s="34"/>
      <c r="BW20" s="34"/>
      <c r="BX20" s="34"/>
    </row>
    <row r="21" s="73" customFormat="true" ht="12.8" hidden="false" customHeight="false" outlineLevel="0" collapsed="false">
      <c r="A21" s="60" t="s">
        <v>52</v>
      </c>
      <c r="B21" s="60" t="s">
        <v>98</v>
      </c>
      <c r="C21" s="60" t="s">
        <v>140</v>
      </c>
      <c r="D21" s="60" t="s">
        <v>142</v>
      </c>
      <c r="E21" s="61" t="s">
        <v>87</v>
      </c>
      <c r="F21" s="60" t="s">
        <v>143</v>
      </c>
      <c r="G21" s="60"/>
      <c r="H21" s="60" t="s">
        <v>86</v>
      </c>
      <c r="I21" s="61" t="s">
        <v>89</v>
      </c>
      <c r="J21" s="61" t="s">
        <v>88</v>
      </c>
      <c r="K21" s="61" t="s">
        <v>87</v>
      </c>
      <c r="L21" s="62" t="s">
        <v>84</v>
      </c>
      <c r="M21" s="61" t="s">
        <v>88</v>
      </c>
      <c r="N21" s="61" t="s">
        <v>88</v>
      </c>
      <c r="O21" s="63"/>
      <c r="P21" s="63"/>
      <c r="Q21" s="63"/>
      <c r="R21" s="64"/>
      <c r="S21" s="65" t="n">
        <v>4</v>
      </c>
      <c r="T21" s="66" t="n">
        <v>10</v>
      </c>
      <c r="U21" s="62" t="s">
        <v>84</v>
      </c>
      <c r="V21" s="60" t="s">
        <v>91</v>
      </c>
      <c r="W21" s="67" t="s">
        <v>84</v>
      </c>
      <c r="X21" s="68" t="n">
        <v>9650</v>
      </c>
      <c r="Y21" s="69" t="n">
        <v>5</v>
      </c>
      <c r="Z21" s="70"/>
      <c r="AA21" s="68" t="n">
        <v>800</v>
      </c>
      <c r="AB21" s="71" t="n">
        <f aca="false">AA21*5</f>
        <v>0</v>
      </c>
      <c r="AC21" s="63" t="n">
        <v>0</v>
      </c>
      <c r="AD21" s="63" t="n">
        <v>0</v>
      </c>
      <c r="AE21" s="63" t="n">
        <v>0</v>
      </c>
      <c r="AF21" s="63" t="n">
        <v>3500</v>
      </c>
      <c r="AG21" s="68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60"/>
      <c r="AW21" s="60"/>
      <c r="AX21" s="60"/>
      <c r="AY21" s="60"/>
      <c r="AZ21" s="60" t="s">
        <v>92</v>
      </c>
      <c r="BA21" s="60" t="s">
        <v>92</v>
      </c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72"/>
      <c r="BU21" s="62"/>
      <c r="BV21" s="62"/>
      <c r="BW21" s="62"/>
      <c r="BX21" s="62"/>
    </row>
    <row r="22" customFormat="false" ht="12.8" hidden="false" customHeight="false" outlineLevel="0" collapsed="false">
      <c r="A22" s="36" t="s">
        <v>52</v>
      </c>
      <c r="B22" s="36" t="s">
        <v>98</v>
      </c>
      <c r="C22" s="35" t="s">
        <v>140</v>
      </c>
      <c r="D22" s="36" t="s">
        <v>144</v>
      </c>
      <c r="E22" s="58" t="s">
        <v>88</v>
      </c>
      <c r="F22" s="36" t="s">
        <v>145</v>
      </c>
      <c r="G22" s="58"/>
      <c r="H22" s="58"/>
      <c r="I22" s="58" t="s">
        <v>89</v>
      </c>
      <c r="J22" s="58" t="s">
        <v>88</v>
      </c>
      <c r="K22" s="58" t="s">
        <v>88</v>
      </c>
      <c r="L22" s="58" t="s">
        <v>87</v>
      </c>
      <c r="M22" s="58" t="s">
        <v>89</v>
      </c>
      <c r="N22" s="58" t="s">
        <v>88</v>
      </c>
      <c r="O22" s="43"/>
      <c r="P22" s="43"/>
      <c r="Q22" s="43"/>
      <c r="R22" s="53"/>
      <c r="S22" s="54" t="n">
        <v>4</v>
      </c>
      <c r="T22" s="55" t="n">
        <v>10</v>
      </c>
      <c r="U22" s="34" t="s">
        <v>84</v>
      </c>
      <c r="V22" s="36" t="s">
        <v>91</v>
      </c>
      <c r="W22" s="59" t="s">
        <v>84</v>
      </c>
      <c r="X22" s="42" t="n">
        <v>9650</v>
      </c>
      <c r="Y22" s="50" t="n">
        <v>5</v>
      </c>
      <c r="Z22" s="48"/>
      <c r="AA22" s="42" t="n">
        <v>800</v>
      </c>
      <c r="AB22" s="56" t="n">
        <f aca="false">AA22*5</f>
        <v>0</v>
      </c>
      <c r="AC22" s="43" t="n">
        <v>0</v>
      </c>
      <c r="AD22" s="43" t="n">
        <v>0</v>
      </c>
      <c r="AE22" s="43" t="n">
        <v>0</v>
      </c>
      <c r="AF22" s="43" t="n">
        <v>3500</v>
      </c>
      <c r="AG22" s="42"/>
      <c r="AH22" s="48"/>
      <c r="AI22" s="48" t="n">
        <v>0.35</v>
      </c>
      <c r="AJ22" s="48"/>
      <c r="AK22" s="48"/>
      <c r="AL22" s="48"/>
      <c r="AM22" s="48" t="n">
        <v>-0.3</v>
      </c>
      <c r="AN22" s="48"/>
      <c r="AO22" s="48"/>
      <c r="AP22" s="48"/>
      <c r="AQ22" s="48"/>
      <c r="AR22" s="48"/>
      <c r="AS22" s="48"/>
      <c r="AT22" s="48"/>
      <c r="AU22" s="4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2"/>
      <c r="BU22" s="34"/>
      <c r="BV22" s="34"/>
      <c r="BW22" s="34"/>
      <c r="BX22" s="34"/>
    </row>
    <row r="23" customFormat="false" ht="12.8" hidden="false" customHeight="false" outlineLevel="0" collapsed="false">
      <c r="A23" s="36" t="s">
        <v>52</v>
      </c>
      <c r="B23" s="35" t="s">
        <v>113</v>
      </c>
      <c r="C23" s="35" t="s">
        <v>146</v>
      </c>
      <c r="D23" s="35" t="s">
        <v>147</v>
      </c>
      <c r="E23" s="34" t="s">
        <v>89</v>
      </c>
      <c r="F23" s="36" t="s">
        <v>148</v>
      </c>
      <c r="G23" s="34"/>
      <c r="H23" s="36" t="s">
        <v>86</v>
      </c>
      <c r="I23" s="34" t="s">
        <v>87</v>
      </c>
      <c r="J23" s="34" t="s">
        <v>88</v>
      </c>
      <c r="K23" s="34" t="s">
        <v>88</v>
      </c>
      <c r="L23" s="34" t="s">
        <v>88</v>
      </c>
      <c r="M23" s="34" t="s">
        <v>88</v>
      </c>
      <c r="N23" s="34" t="s">
        <v>87</v>
      </c>
      <c r="O23" s="43" t="n">
        <v>9210</v>
      </c>
      <c r="P23" s="43" t="n">
        <v>680</v>
      </c>
      <c r="Q23" s="43" t="n">
        <v>130</v>
      </c>
      <c r="R23" s="53" t="n">
        <v>0.0122685185197042</v>
      </c>
      <c r="S23" s="54" t="n">
        <v>5</v>
      </c>
      <c r="T23" s="55" t="n">
        <v>10</v>
      </c>
      <c r="U23" s="34" t="s">
        <v>84</v>
      </c>
      <c r="V23" s="36" t="s">
        <v>91</v>
      </c>
      <c r="W23" s="59" t="s">
        <v>84</v>
      </c>
      <c r="X23" s="42" t="n">
        <v>9650</v>
      </c>
      <c r="Y23" s="50" t="n">
        <v>5</v>
      </c>
      <c r="Z23" s="48"/>
      <c r="AA23" s="42" t="n">
        <v>1100</v>
      </c>
      <c r="AB23" s="56" t="n">
        <f aca="false">AA23*5</f>
        <v>0</v>
      </c>
      <c r="AC23" s="43" t="n">
        <v>3675</v>
      </c>
      <c r="AD23" s="43" t="n">
        <v>702</v>
      </c>
      <c r="AE23" s="43" t="n">
        <v>333</v>
      </c>
      <c r="AF23" s="43" t="n">
        <v>3500</v>
      </c>
      <c r="AG23" s="42" t="n">
        <v>2500</v>
      </c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36" t="s">
        <v>107</v>
      </c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2"/>
      <c r="BU23" s="34"/>
      <c r="BV23" s="34"/>
      <c r="BW23" s="34"/>
      <c r="BX23" s="34"/>
    </row>
    <row r="24" customFormat="false" ht="12.8" hidden="false" customHeight="false" outlineLevel="0" collapsed="false">
      <c r="A24" s="36" t="s">
        <v>52</v>
      </c>
      <c r="B24" s="35" t="s">
        <v>113</v>
      </c>
      <c r="C24" s="35" t="s">
        <v>146</v>
      </c>
      <c r="D24" s="36" t="s">
        <v>149</v>
      </c>
      <c r="E24" s="34" t="s">
        <v>87</v>
      </c>
      <c r="F24" s="36" t="s">
        <v>143</v>
      </c>
      <c r="G24" s="34"/>
      <c r="H24" s="36" t="s">
        <v>86</v>
      </c>
      <c r="I24" s="34" t="s">
        <v>89</v>
      </c>
      <c r="J24" s="34" t="s">
        <v>88</v>
      </c>
      <c r="K24" s="34" t="s">
        <v>88</v>
      </c>
      <c r="L24" s="34" t="s">
        <v>88</v>
      </c>
      <c r="M24" s="34" t="s">
        <v>87</v>
      </c>
      <c r="N24" s="34" t="s">
        <v>87</v>
      </c>
      <c r="O24" s="43" t="n">
        <v>10910</v>
      </c>
      <c r="P24" s="43" t="n">
        <v>900</v>
      </c>
      <c r="Q24" s="43" t="n">
        <v>150</v>
      </c>
      <c r="R24" s="53" t="n">
        <v>0.0149305555569299</v>
      </c>
      <c r="S24" s="54" t="n">
        <v>5</v>
      </c>
      <c r="T24" s="55" t="n">
        <v>10</v>
      </c>
      <c r="U24" s="34" t="s">
        <v>84</v>
      </c>
      <c r="V24" s="36" t="s">
        <v>91</v>
      </c>
      <c r="W24" s="59" t="s">
        <v>84</v>
      </c>
      <c r="X24" s="42" t="n">
        <v>9650</v>
      </c>
      <c r="Y24" s="50" t="n">
        <v>5</v>
      </c>
      <c r="Z24" s="48"/>
      <c r="AA24" s="42" t="n">
        <v>950</v>
      </c>
      <c r="AB24" s="56" t="n">
        <f aca="false">AA24*5</f>
        <v>0</v>
      </c>
      <c r="AC24" s="43" t="n">
        <v>5100</v>
      </c>
      <c r="AD24" s="43" t="n">
        <v>300</v>
      </c>
      <c r="AE24" s="43" t="n">
        <v>762</v>
      </c>
      <c r="AF24" s="43" t="n">
        <v>3500</v>
      </c>
      <c r="AG24" s="42" t="n">
        <v>2200</v>
      </c>
      <c r="AH24" s="48"/>
      <c r="AI24" s="48"/>
      <c r="AJ24" s="48"/>
      <c r="AK24" s="74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35" t="s">
        <v>150</v>
      </c>
      <c r="AW24" s="58"/>
      <c r="AX24" s="58"/>
      <c r="AY24" s="58"/>
      <c r="AZ24" s="36" t="s">
        <v>92</v>
      </c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2"/>
      <c r="BU24" s="34"/>
      <c r="BV24" s="34"/>
      <c r="BW24" s="34"/>
      <c r="BX24" s="34"/>
    </row>
    <row r="25" customFormat="false" ht="12.8" hidden="false" customHeight="false" outlineLevel="0" collapsed="false">
      <c r="A25" s="36" t="s">
        <v>52</v>
      </c>
      <c r="B25" s="35" t="s">
        <v>113</v>
      </c>
      <c r="C25" s="34" t="s">
        <v>151</v>
      </c>
      <c r="D25" s="35" t="s">
        <v>152</v>
      </c>
      <c r="E25" s="34" t="s">
        <v>89</v>
      </c>
      <c r="F25" s="35" t="s">
        <v>153</v>
      </c>
      <c r="G25" s="58"/>
      <c r="H25" s="36" t="s">
        <v>86</v>
      </c>
      <c r="I25" s="34" t="s">
        <v>88</v>
      </c>
      <c r="J25" s="34" t="s">
        <v>88</v>
      </c>
      <c r="K25" s="34" t="s">
        <v>89</v>
      </c>
      <c r="L25" s="34" t="s">
        <v>84</v>
      </c>
      <c r="M25" s="34" t="s">
        <v>88</v>
      </c>
      <c r="N25" s="34" t="s">
        <v>89</v>
      </c>
      <c r="O25" s="43" t="n">
        <v>2270</v>
      </c>
      <c r="P25" s="43" t="n">
        <v>100</v>
      </c>
      <c r="Q25" s="43" t="n">
        <v>30</v>
      </c>
      <c r="R25" s="53" t="n">
        <v>0.00231481481387164</v>
      </c>
      <c r="S25" s="54" t="n">
        <v>4</v>
      </c>
      <c r="T25" s="55" t="n">
        <v>10</v>
      </c>
      <c r="U25" s="34" t="s">
        <v>84</v>
      </c>
      <c r="V25" s="36" t="s">
        <v>91</v>
      </c>
      <c r="W25" s="59" t="s">
        <v>84</v>
      </c>
      <c r="X25" s="42" t="n">
        <v>6470</v>
      </c>
      <c r="Y25" s="50" t="n">
        <v>5</v>
      </c>
      <c r="Z25" s="48"/>
      <c r="AA25" s="42" t="n">
        <v>1050</v>
      </c>
      <c r="AB25" s="56" t="n">
        <f aca="false">AA25*5</f>
        <v>0</v>
      </c>
      <c r="AC25" s="43" t="n">
        <v>450</v>
      </c>
      <c r="AD25" s="43" t="n">
        <v>165</v>
      </c>
      <c r="AE25" s="43" t="n">
        <v>1530</v>
      </c>
      <c r="AF25" s="43" t="n">
        <v>3500</v>
      </c>
      <c r="AG25" s="42" t="n">
        <v>2500</v>
      </c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36" t="s">
        <v>92</v>
      </c>
      <c r="BP25" s="58"/>
      <c r="BQ25" s="58"/>
      <c r="BR25" s="58"/>
      <c r="BS25" s="58"/>
      <c r="BT25" s="52"/>
      <c r="BU25" s="34"/>
      <c r="BV25" s="34"/>
      <c r="BW25" s="34"/>
      <c r="BX25" s="34"/>
    </row>
    <row r="26" customFormat="false" ht="12.8" hidden="false" customHeight="false" outlineLevel="0" collapsed="false">
      <c r="A26" s="36" t="s">
        <v>52</v>
      </c>
      <c r="B26" s="35" t="s">
        <v>113</v>
      </c>
      <c r="C26" s="34" t="s">
        <v>151</v>
      </c>
      <c r="D26" s="35" t="s">
        <v>154</v>
      </c>
      <c r="E26" s="34" t="s">
        <v>87</v>
      </c>
      <c r="F26" s="35" t="s">
        <v>126</v>
      </c>
      <c r="G26" s="58"/>
      <c r="H26" s="36" t="s">
        <v>86</v>
      </c>
      <c r="I26" s="34" t="s">
        <v>89</v>
      </c>
      <c r="J26" s="34" t="s">
        <v>87</v>
      </c>
      <c r="K26" s="34" t="s">
        <v>84</v>
      </c>
      <c r="L26" s="34" t="s">
        <v>84</v>
      </c>
      <c r="M26" s="34" t="s">
        <v>88</v>
      </c>
      <c r="N26" s="34" t="s">
        <v>89</v>
      </c>
      <c r="O26" s="75" t="n">
        <v>7380</v>
      </c>
      <c r="P26" s="75" t="n">
        <v>560</v>
      </c>
      <c r="Q26" s="75" t="n">
        <v>100</v>
      </c>
      <c r="R26" s="76" t="n">
        <v>0.00972222222117125</v>
      </c>
      <c r="S26" s="77" t="n">
        <v>4</v>
      </c>
      <c r="T26" s="78" t="n">
        <v>10</v>
      </c>
      <c r="U26" s="34" t="s">
        <v>84</v>
      </c>
      <c r="V26" s="36" t="s">
        <v>91</v>
      </c>
      <c r="W26" s="79" t="s">
        <v>84</v>
      </c>
      <c r="X26" s="42" t="n">
        <v>6470</v>
      </c>
      <c r="Y26" s="50" t="n">
        <v>5</v>
      </c>
      <c r="Z26" s="48"/>
      <c r="AA26" s="42" t="n">
        <v>1050</v>
      </c>
      <c r="AB26" s="56" t="n">
        <f aca="false">AA26*5</f>
        <v>0</v>
      </c>
      <c r="AC26" s="43" t="n">
        <v>3650</v>
      </c>
      <c r="AD26" s="43" t="n">
        <v>1265</v>
      </c>
      <c r="AE26" s="43" t="n">
        <v>18</v>
      </c>
      <c r="AF26" s="43" t="n">
        <v>3500</v>
      </c>
      <c r="AG26" s="42" t="n">
        <v>2500</v>
      </c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35" t="s">
        <v>20</v>
      </c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35" t="s">
        <v>92</v>
      </c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2"/>
      <c r="BU26" s="34"/>
      <c r="BV26" s="34"/>
      <c r="BW26" s="34"/>
      <c r="BX26" s="34"/>
    </row>
    <row r="27" customFormat="false" ht="12.8" hidden="false" customHeight="false" outlineLevel="0" collapsed="false">
      <c r="A27" s="36" t="s">
        <v>52</v>
      </c>
      <c r="B27" s="35" t="s">
        <v>113</v>
      </c>
      <c r="C27" s="35" t="s">
        <v>155</v>
      </c>
      <c r="D27" s="36" t="s">
        <v>156</v>
      </c>
      <c r="E27" s="34" t="s">
        <v>89</v>
      </c>
      <c r="F27" s="36" t="s">
        <v>148</v>
      </c>
      <c r="G27" s="46"/>
      <c r="H27" s="36" t="s">
        <v>86</v>
      </c>
      <c r="I27" s="46" t="s">
        <v>87</v>
      </c>
      <c r="J27" s="46" t="s">
        <v>88</v>
      </c>
      <c r="K27" s="46" t="s">
        <v>87</v>
      </c>
      <c r="L27" s="46" t="s">
        <v>88</v>
      </c>
      <c r="M27" s="46" t="s">
        <v>88</v>
      </c>
      <c r="N27" s="46" t="s">
        <v>87</v>
      </c>
      <c r="O27" s="42" t="n">
        <v>10080</v>
      </c>
      <c r="P27" s="42" t="n">
        <v>740</v>
      </c>
      <c r="Q27" s="42" t="n">
        <v>140</v>
      </c>
      <c r="R27" s="49" t="n">
        <v>0.0133101851861284</v>
      </c>
      <c r="S27" s="80" t="n">
        <v>5</v>
      </c>
      <c r="T27" s="58" t="n">
        <v>10</v>
      </c>
      <c r="U27" s="34" t="s">
        <v>84</v>
      </c>
      <c r="V27" s="36" t="s">
        <v>91</v>
      </c>
      <c r="W27" s="39" t="s">
        <v>84</v>
      </c>
      <c r="X27" s="81" t="n">
        <v>11150</v>
      </c>
      <c r="Y27" s="82" t="n">
        <v>5</v>
      </c>
      <c r="Z27" s="48"/>
      <c r="AA27" s="83" t="n">
        <v>1050</v>
      </c>
      <c r="AB27" s="56" t="n">
        <f aca="false">AA27*5</f>
        <v>0</v>
      </c>
      <c r="AC27" s="43" t="n">
        <v>3600</v>
      </c>
      <c r="AD27" s="43" t="n">
        <v>316</v>
      </c>
      <c r="AE27" s="43" t="n">
        <v>1677</v>
      </c>
      <c r="AF27" s="43" t="n">
        <v>3500</v>
      </c>
      <c r="AG27" s="42" t="n">
        <v>2500</v>
      </c>
      <c r="AH27" s="48"/>
      <c r="AI27" s="48"/>
      <c r="AJ27" s="84"/>
      <c r="AK27" s="84"/>
      <c r="AL27" s="84"/>
      <c r="AM27" s="84"/>
      <c r="AN27" s="48"/>
      <c r="AO27" s="48"/>
      <c r="AP27" s="48"/>
      <c r="AQ27" s="48"/>
      <c r="AR27" s="48"/>
      <c r="AS27" s="48"/>
      <c r="AT27" s="84"/>
      <c r="AU27" s="84"/>
      <c r="AV27" s="85" t="s">
        <v>157</v>
      </c>
      <c r="AW27" s="58"/>
      <c r="AX27" s="58"/>
      <c r="AY27" s="58"/>
      <c r="AZ27" s="58"/>
      <c r="BA27" s="85"/>
      <c r="BB27" s="58"/>
      <c r="BC27" s="58"/>
      <c r="BD27" s="58"/>
      <c r="BE27" s="58"/>
      <c r="BF27" s="58"/>
      <c r="BG27" s="58"/>
      <c r="BH27" s="58"/>
      <c r="BI27" s="58"/>
      <c r="BJ27" s="58"/>
      <c r="BK27" s="85"/>
      <c r="BL27" s="58"/>
      <c r="BM27" s="58"/>
      <c r="BN27" s="85"/>
      <c r="BO27" s="85"/>
      <c r="BP27" s="85"/>
      <c r="BQ27" s="58"/>
      <c r="BR27" s="58"/>
      <c r="BS27" s="58"/>
      <c r="BT27" s="52"/>
      <c r="BU27" s="46"/>
      <c r="BV27" s="46"/>
      <c r="BW27" s="46"/>
      <c r="BX27" s="46"/>
    </row>
    <row r="28" customFormat="false" ht="12.8" hidden="false" customHeight="false" outlineLevel="0" collapsed="false">
      <c r="A28" s="36" t="s">
        <v>52</v>
      </c>
      <c r="B28" s="35" t="s">
        <v>158</v>
      </c>
      <c r="C28" s="36" t="s">
        <v>159</v>
      </c>
      <c r="D28" s="36" t="s">
        <v>160</v>
      </c>
      <c r="E28" s="58" t="s">
        <v>89</v>
      </c>
      <c r="F28" s="36" t="s">
        <v>116</v>
      </c>
      <c r="G28" s="85"/>
      <c r="H28" s="36" t="s">
        <v>96</v>
      </c>
      <c r="I28" s="86" t="s">
        <v>89</v>
      </c>
      <c r="J28" s="86" t="s">
        <v>88</v>
      </c>
      <c r="K28" s="86" t="s">
        <v>87</v>
      </c>
      <c r="L28" s="46" t="s">
        <v>84</v>
      </c>
      <c r="M28" s="86" t="s">
        <v>89</v>
      </c>
      <c r="N28" s="86" t="s">
        <v>88</v>
      </c>
      <c r="O28" s="75" t="n">
        <v>15820</v>
      </c>
      <c r="P28" s="75" t="n">
        <v>910</v>
      </c>
      <c r="Q28" s="75" t="n">
        <v>170</v>
      </c>
      <c r="R28" s="76" t="n">
        <v>0.0158564814810234</v>
      </c>
      <c r="S28" s="80" t="n">
        <v>5</v>
      </c>
      <c r="T28" s="55" t="n">
        <v>10</v>
      </c>
      <c r="U28" s="34" t="s">
        <v>84</v>
      </c>
      <c r="V28" s="36" t="s">
        <v>91</v>
      </c>
      <c r="W28" s="79" t="s">
        <v>84</v>
      </c>
      <c r="X28" s="81" t="n">
        <v>13710</v>
      </c>
      <c r="Y28" s="82" t="n">
        <v>5</v>
      </c>
      <c r="Z28" s="48"/>
      <c r="AA28" s="83" t="n">
        <v>900</v>
      </c>
      <c r="AB28" s="56" t="n">
        <f aca="false">AA28*5</f>
        <v>0</v>
      </c>
      <c r="AC28" s="43" t="n">
        <v>4071</v>
      </c>
      <c r="AD28" s="43" t="n">
        <v>1194</v>
      </c>
      <c r="AE28" s="43" t="n">
        <v>951</v>
      </c>
      <c r="AF28" s="43" t="n">
        <v>3500</v>
      </c>
      <c r="AG28" s="42" t="n">
        <v>2000</v>
      </c>
      <c r="AH28" s="84"/>
      <c r="AI28" s="48"/>
      <c r="AJ28" s="84"/>
      <c r="AK28" s="84"/>
      <c r="AL28" s="84"/>
      <c r="AM28" s="84"/>
      <c r="AN28" s="48"/>
      <c r="AO28" s="84"/>
      <c r="AP28" s="84"/>
      <c r="AQ28" s="84"/>
      <c r="AR28" s="84"/>
      <c r="AS28" s="84"/>
      <c r="AT28" s="84"/>
      <c r="AU28" s="84"/>
      <c r="AV28" s="85" t="s">
        <v>150</v>
      </c>
      <c r="AW28" s="58"/>
      <c r="AX28" s="58"/>
      <c r="AY28" s="58"/>
      <c r="AZ28" s="36" t="s">
        <v>92</v>
      </c>
      <c r="BA28" s="86"/>
      <c r="BB28" s="58"/>
      <c r="BC28" s="58"/>
      <c r="BD28" s="58"/>
      <c r="BE28" s="58"/>
      <c r="BF28" s="58"/>
      <c r="BG28" s="58"/>
      <c r="BH28" s="58"/>
      <c r="BI28" s="58"/>
      <c r="BJ28" s="58"/>
      <c r="BK28" s="86"/>
      <c r="BL28" s="58"/>
      <c r="BM28" s="58"/>
      <c r="BN28" s="86"/>
      <c r="BO28" s="86"/>
      <c r="BP28" s="86"/>
      <c r="BQ28" s="58"/>
      <c r="BR28" s="58"/>
      <c r="BS28" s="58"/>
      <c r="BT28" s="52"/>
      <c r="BU28" s="46"/>
      <c r="BV28" s="46"/>
      <c r="BW28" s="46"/>
      <c r="BX28" s="46"/>
    </row>
    <row r="29" customFormat="false" ht="12.8" hidden="false" customHeight="false" outlineLevel="0" collapsed="false">
      <c r="A29" s="87" t="s">
        <v>52</v>
      </c>
      <c r="B29" s="88" t="s">
        <v>158</v>
      </c>
      <c r="C29" s="88" t="s">
        <v>159</v>
      </c>
      <c r="D29" s="88" t="s">
        <v>161</v>
      </c>
      <c r="E29" s="78" t="s">
        <v>87</v>
      </c>
      <c r="F29" s="88" t="s">
        <v>126</v>
      </c>
      <c r="G29" s="58"/>
      <c r="H29" s="58"/>
      <c r="I29" s="58" t="s">
        <v>87</v>
      </c>
      <c r="J29" s="58" t="s">
        <v>88</v>
      </c>
      <c r="K29" s="58" t="s">
        <v>88</v>
      </c>
      <c r="L29" s="34" t="s">
        <v>84</v>
      </c>
      <c r="M29" s="58" t="s">
        <v>89</v>
      </c>
      <c r="N29" s="58" t="s">
        <v>88</v>
      </c>
      <c r="O29" s="42"/>
      <c r="P29" s="42"/>
      <c r="Q29" s="42"/>
      <c r="R29" s="49"/>
      <c r="S29" s="58" t="n">
        <v>5</v>
      </c>
      <c r="T29" s="58" t="n">
        <v>10</v>
      </c>
      <c r="U29" s="34" t="s">
        <v>84</v>
      </c>
      <c r="V29" s="36" t="s">
        <v>91</v>
      </c>
      <c r="W29" s="39" t="s">
        <v>84</v>
      </c>
      <c r="X29" s="42" t="n">
        <v>13710</v>
      </c>
      <c r="Y29" s="50" t="n">
        <v>5</v>
      </c>
      <c r="Z29" s="48"/>
      <c r="AA29" s="81" t="n">
        <v>900</v>
      </c>
      <c r="AB29" s="56" t="n">
        <f aca="false">AA29*5</f>
        <v>0</v>
      </c>
      <c r="AC29" s="43" t="n">
        <v>0</v>
      </c>
      <c r="AD29" s="43" t="n">
        <v>0</v>
      </c>
      <c r="AE29" s="43" t="n">
        <v>0</v>
      </c>
      <c r="AF29" s="43" t="n">
        <v>3500</v>
      </c>
      <c r="AG29" s="42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2"/>
      <c r="BU29" s="34"/>
      <c r="BV29" s="34"/>
      <c r="BW29" s="34"/>
      <c r="BX29" s="34"/>
    </row>
    <row r="30" customFormat="false" ht="12.8" hidden="false" customHeight="false" outlineLevel="0" collapsed="false">
      <c r="A30" s="36" t="s">
        <v>52</v>
      </c>
      <c r="B30" s="36" t="s">
        <v>158</v>
      </c>
      <c r="C30" s="36" t="s">
        <v>159</v>
      </c>
      <c r="D30" s="36" t="s">
        <v>162</v>
      </c>
      <c r="E30" s="58" t="s">
        <v>88</v>
      </c>
      <c r="F30" s="36" t="s">
        <v>163</v>
      </c>
      <c r="G30" s="58"/>
      <c r="H30" s="58"/>
      <c r="I30" s="58" t="s">
        <v>88</v>
      </c>
      <c r="J30" s="58" t="s">
        <v>89</v>
      </c>
      <c r="K30" s="34" t="s">
        <v>84</v>
      </c>
      <c r="L30" s="34" t="s">
        <v>84</v>
      </c>
      <c r="M30" s="58" t="s">
        <v>89</v>
      </c>
      <c r="N30" s="58" t="s">
        <v>88</v>
      </c>
      <c r="O30" s="42"/>
      <c r="P30" s="42"/>
      <c r="Q30" s="42"/>
      <c r="R30" s="49"/>
      <c r="S30" s="58" t="n">
        <v>5</v>
      </c>
      <c r="T30" s="58" t="n">
        <v>10</v>
      </c>
      <c r="U30" s="34" t="s">
        <v>84</v>
      </c>
      <c r="V30" s="36" t="s">
        <v>91</v>
      </c>
      <c r="W30" s="39" t="s">
        <v>84</v>
      </c>
      <c r="X30" s="42" t="n">
        <v>13710</v>
      </c>
      <c r="Y30" s="50" t="n">
        <v>5</v>
      </c>
      <c r="Z30" s="48"/>
      <c r="AA30" s="42" t="n">
        <v>900</v>
      </c>
      <c r="AB30" s="42" t="n">
        <f aca="false">AA30*5</f>
        <v>0</v>
      </c>
      <c r="AC30" s="43" t="n">
        <v>0</v>
      </c>
      <c r="AD30" s="43" t="n">
        <v>0</v>
      </c>
      <c r="AE30" s="43" t="n">
        <v>0</v>
      </c>
      <c r="AF30" s="43" t="n">
        <v>3500</v>
      </c>
      <c r="AG30" s="42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2"/>
      <c r="BU30" s="46"/>
      <c r="BV30" s="46"/>
      <c r="BW30" s="46"/>
      <c r="BX30" s="46"/>
    </row>
    <row r="31" customFormat="false" ht="12.8" hidden="false" customHeight="false" outlineLevel="0" collapsed="false">
      <c r="A31" s="36" t="s">
        <v>52</v>
      </c>
      <c r="B31" s="36" t="s">
        <v>158</v>
      </c>
      <c r="C31" s="36" t="s">
        <v>164</v>
      </c>
      <c r="D31" s="36" t="s">
        <v>161</v>
      </c>
      <c r="E31" s="58" t="s">
        <v>89</v>
      </c>
      <c r="F31" s="36" t="s">
        <v>165</v>
      </c>
      <c r="G31" s="58"/>
      <c r="H31" s="35" t="s">
        <v>86</v>
      </c>
      <c r="I31" s="58" t="s">
        <v>87</v>
      </c>
      <c r="J31" s="58" t="s">
        <v>87</v>
      </c>
      <c r="K31" s="58" t="s">
        <v>88</v>
      </c>
      <c r="L31" s="34" t="s">
        <v>84</v>
      </c>
      <c r="M31" s="58" t="s">
        <v>88</v>
      </c>
      <c r="N31" s="58" t="s">
        <v>89</v>
      </c>
      <c r="O31" s="42" t="n">
        <v>8470</v>
      </c>
      <c r="P31" s="42" t="n">
        <v>700</v>
      </c>
      <c r="Q31" s="42" t="n">
        <v>120</v>
      </c>
      <c r="R31" s="49" t="n">
        <v>0.0118055555540195</v>
      </c>
      <c r="S31" s="58" t="n">
        <v>4</v>
      </c>
      <c r="T31" s="58" t="n">
        <v>10</v>
      </c>
      <c r="U31" s="34" t="s">
        <v>84</v>
      </c>
      <c r="V31" s="36" t="s">
        <v>91</v>
      </c>
      <c r="W31" s="39" t="s">
        <v>84</v>
      </c>
      <c r="X31" s="42" t="n">
        <v>11310</v>
      </c>
      <c r="Y31" s="50" t="n">
        <v>5</v>
      </c>
      <c r="Z31" s="48"/>
      <c r="AA31" s="42" t="n">
        <v>1000</v>
      </c>
      <c r="AB31" s="42" t="n">
        <f aca="false">AA31*5</f>
        <v>0</v>
      </c>
      <c r="AC31" s="43" t="n">
        <v>2635</v>
      </c>
      <c r="AD31" s="43" t="n">
        <v>1439</v>
      </c>
      <c r="AE31" s="43" t="n">
        <v>328</v>
      </c>
      <c r="AF31" s="43" t="n">
        <v>3500</v>
      </c>
      <c r="AG31" s="42" t="n">
        <v>1800</v>
      </c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36" t="s">
        <v>107</v>
      </c>
      <c r="AW31" s="58"/>
      <c r="AX31" s="58"/>
      <c r="AY31" s="58"/>
      <c r="AZ31" s="58"/>
      <c r="BA31" s="58"/>
      <c r="BB31" s="36" t="s">
        <v>92</v>
      </c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2"/>
      <c r="BU31" s="46"/>
      <c r="BV31" s="46"/>
      <c r="BW31" s="46"/>
      <c r="BX31" s="46"/>
    </row>
    <row r="32" customFormat="false" ht="12.8" hidden="false" customHeight="false" outlineLevel="0" collapsed="false">
      <c r="A32" s="36" t="s">
        <v>52</v>
      </c>
      <c r="B32" s="36" t="s">
        <v>158</v>
      </c>
      <c r="C32" s="36" t="s">
        <v>164</v>
      </c>
      <c r="D32" s="36" t="s">
        <v>166</v>
      </c>
      <c r="E32" s="58" t="s">
        <v>87</v>
      </c>
      <c r="F32" s="36" t="s">
        <v>109</v>
      </c>
      <c r="G32" s="58"/>
      <c r="H32" s="58"/>
      <c r="I32" s="58" t="s">
        <v>88</v>
      </c>
      <c r="J32" s="58" t="s">
        <v>89</v>
      </c>
      <c r="K32" s="58" t="s">
        <v>88</v>
      </c>
      <c r="L32" s="58" t="s">
        <v>87</v>
      </c>
      <c r="M32" s="58" t="s">
        <v>88</v>
      </c>
      <c r="N32" s="58" t="s">
        <v>87</v>
      </c>
      <c r="O32" s="42"/>
      <c r="P32" s="42"/>
      <c r="Q32" s="42"/>
      <c r="R32" s="49"/>
      <c r="S32" s="58" t="n">
        <v>4</v>
      </c>
      <c r="T32" s="58" t="n">
        <v>10</v>
      </c>
      <c r="U32" s="34" t="s">
        <v>84</v>
      </c>
      <c r="V32" s="36" t="s">
        <v>91</v>
      </c>
      <c r="W32" s="39" t="s">
        <v>84</v>
      </c>
      <c r="X32" s="42" t="n">
        <v>11310</v>
      </c>
      <c r="Y32" s="50" t="n">
        <v>5</v>
      </c>
      <c r="Z32" s="48"/>
      <c r="AA32" s="42" t="n">
        <v>1000</v>
      </c>
      <c r="AB32" s="42" t="n">
        <f aca="false">AA32*5</f>
        <v>0</v>
      </c>
      <c r="AC32" s="43" t="n">
        <v>0</v>
      </c>
      <c r="AD32" s="43" t="n">
        <v>0</v>
      </c>
      <c r="AE32" s="43" t="n">
        <v>0</v>
      </c>
      <c r="AF32" s="43" t="n">
        <v>3500</v>
      </c>
      <c r="AG32" s="42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2"/>
      <c r="BU32" s="46"/>
      <c r="BV32" s="46"/>
      <c r="BW32" s="46"/>
      <c r="BX32" s="46"/>
    </row>
    <row r="33" customFormat="false" ht="12.8" hidden="false" customHeight="false" outlineLevel="0" collapsed="false">
      <c r="A33" s="36" t="s">
        <v>52</v>
      </c>
      <c r="B33" s="36" t="s">
        <v>158</v>
      </c>
      <c r="C33" s="36" t="s">
        <v>164</v>
      </c>
      <c r="D33" s="36" t="s">
        <v>167</v>
      </c>
      <c r="E33" s="58" t="s">
        <v>88</v>
      </c>
      <c r="F33" s="36" t="s">
        <v>163</v>
      </c>
      <c r="G33" s="58"/>
      <c r="H33" s="35" t="s">
        <v>86</v>
      </c>
      <c r="I33" s="58" t="s">
        <v>88</v>
      </c>
      <c r="J33" s="58" t="s">
        <v>87</v>
      </c>
      <c r="K33" s="58" t="s">
        <v>88</v>
      </c>
      <c r="L33" s="58" t="s">
        <v>89</v>
      </c>
      <c r="M33" s="58" t="s">
        <v>88</v>
      </c>
      <c r="N33" s="58" t="s">
        <v>88</v>
      </c>
      <c r="O33" s="42" t="n">
        <v>9510</v>
      </c>
      <c r="P33" s="42" t="n">
        <v>1070</v>
      </c>
      <c r="Q33" s="42" t="n">
        <v>300</v>
      </c>
      <c r="R33" s="49" t="n">
        <v>0.0233796296306537</v>
      </c>
      <c r="S33" s="58" t="n">
        <v>4</v>
      </c>
      <c r="T33" s="58" t="n">
        <v>10</v>
      </c>
      <c r="U33" s="34" t="s">
        <v>84</v>
      </c>
      <c r="V33" s="36" t="s">
        <v>91</v>
      </c>
      <c r="W33" s="39" t="s">
        <v>84</v>
      </c>
      <c r="X33" s="42" t="n">
        <v>11310</v>
      </c>
      <c r="Y33" s="50" t="n">
        <v>5</v>
      </c>
      <c r="Z33" s="48"/>
      <c r="AA33" s="42" t="n">
        <v>1000</v>
      </c>
      <c r="AB33" s="42" t="n">
        <f aca="false">AA33*5</f>
        <v>0</v>
      </c>
      <c r="AC33" s="43" t="n">
        <v>2030</v>
      </c>
      <c r="AD33" s="43" t="n">
        <v>1497</v>
      </c>
      <c r="AE33" s="43" t="n">
        <v>120</v>
      </c>
      <c r="AF33" s="43" t="n">
        <v>3500</v>
      </c>
      <c r="AG33" s="42" t="n">
        <v>2000</v>
      </c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58"/>
      <c r="AW33" s="58"/>
      <c r="AX33" s="58"/>
      <c r="AY33" s="58"/>
      <c r="AZ33" s="58"/>
      <c r="BA33" s="58"/>
      <c r="BB33" s="35" t="s">
        <v>92</v>
      </c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2"/>
      <c r="BU33" s="46"/>
      <c r="BV33" s="46"/>
      <c r="BW33" s="46"/>
      <c r="BX33" s="46"/>
    </row>
    <row r="34" customFormat="false" ht="12.8" hidden="false" customHeight="false" outlineLevel="0" collapsed="false">
      <c r="A34" s="36" t="s">
        <v>52</v>
      </c>
      <c r="B34" s="36" t="s">
        <v>158</v>
      </c>
      <c r="C34" s="36" t="s">
        <v>168</v>
      </c>
      <c r="D34" s="36" t="s">
        <v>169</v>
      </c>
      <c r="E34" s="58" t="s">
        <v>89</v>
      </c>
      <c r="F34" s="36" t="s">
        <v>170</v>
      </c>
      <c r="G34" s="58"/>
      <c r="H34" s="36" t="s">
        <v>96</v>
      </c>
      <c r="I34" s="58" t="s">
        <v>88</v>
      </c>
      <c r="J34" s="34" t="s">
        <v>84</v>
      </c>
      <c r="K34" s="58" t="s">
        <v>89</v>
      </c>
      <c r="L34" s="34" t="s">
        <v>84</v>
      </c>
      <c r="M34" s="58" t="s">
        <v>87</v>
      </c>
      <c r="N34" s="58" t="s">
        <v>87</v>
      </c>
      <c r="O34" s="42" t="n">
        <v>10280</v>
      </c>
      <c r="P34" s="42" t="n">
        <v>630</v>
      </c>
      <c r="Q34" s="42" t="n">
        <v>130</v>
      </c>
      <c r="R34" s="49" t="n">
        <v>0.0118055555540195</v>
      </c>
      <c r="S34" s="58" t="n">
        <v>4</v>
      </c>
      <c r="T34" s="58" t="n">
        <v>10</v>
      </c>
      <c r="U34" s="34" t="s">
        <v>84</v>
      </c>
      <c r="V34" s="36" t="s">
        <v>91</v>
      </c>
      <c r="W34" s="39" t="s">
        <v>84</v>
      </c>
      <c r="X34" s="42" t="n">
        <v>8270</v>
      </c>
      <c r="Y34" s="50" t="n">
        <v>5</v>
      </c>
      <c r="Z34" s="48"/>
      <c r="AA34" s="42" t="n">
        <v>900</v>
      </c>
      <c r="AB34" s="42" t="n">
        <f aca="false">AA34*5</f>
        <v>0</v>
      </c>
      <c r="AC34" s="43" t="n">
        <v>1028</v>
      </c>
      <c r="AD34" s="43" t="n">
        <v>0</v>
      </c>
      <c r="AE34" s="43" t="n">
        <v>1532</v>
      </c>
      <c r="AF34" s="43" t="n">
        <v>3500</v>
      </c>
      <c r="AG34" s="42" t="n">
        <v>1700</v>
      </c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58"/>
      <c r="AW34" s="36" t="s">
        <v>92</v>
      </c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36" t="s">
        <v>92</v>
      </c>
      <c r="BP34" s="58"/>
      <c r="BQ34" s="58"/>
      <c r="BR34" s="58"/>
      <c r="BS34" s="58"/>
      <c r="BT34" s="52"/>
      <c r="BU34" s="46"/>
      <c r="BV34" s="46"/>
      <c r="BW34" s="46"/>
      <c r="BX34" s="46"/>
    </row>
    <row r="35" customFormat="false" ht="12.8" hidden="false" customHeight="false" outlineLevel="0" collapsed="false">
      <c r="A35" s="36" t="s">
        <v>52</v>
      </c>
      <c r="B35" s="36" t="s">
        <v>158</v>
      </c>
      <c r="C35" s="36" t="s">
        <v>168</v>
      </c>
      <c r="D35" s="36" t="s">
        <v>162</v>
      </c>
      <c r="E35" s="58" t="s">
        <v>87</v>
      </c>
      <c r="F35" s="36" t="s">
        <v>163</v>
      </c>
      <c r="G35" s="58"/>
      <c r="H35" s="35" t="s">
        <v>86</v>
      </c>
      <c r="I35" s="58" t="s">
        <v>88</v>
      </c>
      <c r="J35" s="58" t="s">
        <v>87</v>
      </c>
      <c r="K35" s="34" t="s">
        <v>84</v>
      </c>
      <c r="L35" s="58" t="s">
        <v>87</v>
      </c>
      <c r="M35" s="58" t="s">
        <v>87</v>
      </c>
      <c r="N35" s="58" t="s">
        <v>87</v>
      </c>
      <c r="O35" s="42" t="n">
        <v>9430</v>
      </c>
      <c r="P35" s="42" t="n">
        <v>590</v>
      </c>
      <c r="Q35" s="42" t="n">
        <v>190</v>
      </c>
      <c r="R35" s="49" t="n">
        <v>0.0144675925912452</v>
      </c>
      <c r="S35" s="58" t="n">
        <v>4</v>
      </c>
      <c r="T35" s="58" t="n">
        <v>10</v>
      </c>
      <c r="U35" s="34" t="s">
        <v>84</v>
      </c>
      <c r="V35" s="36" t="s">
        <v>91</v>
      </c>
      <c r="W35" s="39" t="s">
        <v>84</v>
      </c>
      <c r="X35" s="42" t="n">
        <v>8270</v>
      </c>
      <c r="Y35" s="50" t="n">
        <v>5</v>
      </c>
      <c r="Z35" s="48"/>
      <c r="AA35" s="42" t="n">
        <v>900</v>
      </c>
      <c r="AB35" s="42" t="n">
        <f aca="false">AA35*5</f>
        <v>0</v>
      </c>
      <c r="AC35" s="43" t="n">
        <v>857</v>
      </c>
      <c r="AD35" s="43" t="n">
        <v>3737</v>
      </c>
      <c r="AE35" s="43" t="n">
        <v>0</v>
      </c>
      <c r="AF35" s="43" t="n">
        <v>3500</v>
      </c>
      <c r="AG35" s="42" t="n">
        <v>1800</v>
      </c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58"/>
      <c r="AW35" s="36" t="s">
        <v>92</v>
      </c>
      <c r="AX35" s="58"/>
      <c r="AY35" s="58"/>
      <c r="AZ35" s="58"/>
      <c r="BA35" s="58"/>
      <c r="BB35" s="58"/>
      <c r="BC35" s="36" t="s">
        <v>92</v>
      </c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2"/>
      <c r="BU35" s="46"/>
      <c r="BV35" s="46"/>
      <c r="BW35" s="46"/>
      <c r="BX35" s="46"/>
    </row>
    <row r="36" s="73" customFormat="true" ht="12.8" hidden="false" customHeight="false" outlineLevel="0" collapsed="false">
      <c r="A36" s="60" t="s">
        <v>52</v>
      </c>
      <c r="B36" s="60" t="s">
        <v>81</v>
      </c>
      <c r="C36" s="60" t="s">
        <v>171</v>
      </c>
      <c r="D36" s="60" t="s">
        <v>172</v>
      </c>
      <c r="E36" s="61" t="s">
        <v>89</v>
      </c>
      <c r="F36" s="60" t="s">
        <v>139</v>
      </c>
      <c r="G36" s="60"/>
      <c r="H36" s="60" t="s">
        <v>96</v>
      </c>
      <c r="I36" s="61" t="s">
        <v>102</v>
      </c>
      <c r="J36" s="61" t="s">
        <v>88</v>
      </c>
      <c r="K36" s="61" t="s">
        <v>87</v>
      </c>
      <c r="L36" s="62" t="s">
        <v>84</v>
      </c>
      <c r="M36" s="61" t="s">
        <v>88</v>
      </c>
      <c r="N36" s="61" t="s">
        <v>88</v>
      </c>
      <c r="O36" s="68" t="n">
        <v>11890</v>
      </c>
      <c r="P36" s="68" t="n">
        <v>800</v>
      </c>
      <c r="Q36" s="68" t="n">
        <v>240</v>
      </c>
      <c r="R36" s="89" t="n">
        <v>0.0188657407416031</v>
      </c>
      <c r="S36" s="60" t="n">
        <v>6</v>
      </c>
      <c r="T36" s="60" t="n">
        <v>10</v>
      </c>
      <c r="U36" s="62" t="s">
        <v>84</v>
      </c>
      <c r="V36" s="60" t="s">
        <v>91</v>
      </c>
      <c r="W36" s="90" t="s">
        <v>84</v>
      </c>
      <c r="X36" s="68" t="n">
        <v>9650</v>
      </c>
      <c r="Y36" s="69" t="n">
        <v>5</v>
      </c>
      <c r="Z36" s="70"/>
      <c r="AA36" s="68" t="n">
        <v>800</v>
      </c>
      <c r="AB36" s="68" t="n">
        <f aca="false">AA36*5</f>
        <v>0</v>
      </c>
      <c r="AC36" s="63" t="n">
        <v>6320</v>
      </c>
      <c r="AD36" s="63" t="n">
        <v>576</v>
      </c>
      <c r="AE36" s="63" t="n">
        <v>1148</v>
      </c>
      <c r="AF36" s="63" t="n">
        <v>3500</v>
      </c>
      <c r="AG36" s="68" t="n">
        <v>1200</v>
      </c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60" t="s">
        <v>150</v>
      </c>
      <c r="AW36" s="60" t="s">
        <v>92</v>
      </c>
      <c r="AX36" s="60"/>
      <c r="AY36" s="60"/>
      <c r="AZ36" s="60"/>
      <c r="BA36" s="60" t="s">
        <v>92</v>
      </c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 t="s">
        <v>92</v>
      </c>
      <c r="BQ36" s="60"/>
      <c r="BR36" s="60"/>
      <c r="BS36" s="60"/>
      <c r="BT36" s="72"/>
      <c r="BU36" s="91"/>
      <c r="BV36" s="91"/>
      <c r="BW36" s="91"/>
      <c r="BX36" s="91"/>
    </row>
    <row r="37" customFormat="false" ht="12.8" hidden="false" customHeight="false" outlineLevel="0" collapsed="false">
      <c r="A37" s="36" t="s">
        <v>52</v>
      </c>
      <c r="B37" s="35" t="s">
        <v>81</v>
      </c>
      <c r="C37" s="36" t="s">
        <v>171</v>
      </c>
      <c r="D37" s="36" t="s">
        <v>173</v>
      </c>
      <c r="E37" s="58" t="s">
        <v>87</v>
      </c>
      <c r="F37" s="36" t="s">
        <v>163</v>
      </c>
      <c r="G37" s="58"/>
      <c r="H37" s="58"/>
      <c r="I37" s="58" t="s">
        <v>87</v>
      </c>
      <c r="J37" s="58" t="s">
        <v>102</v>
      </c>
      <c r="K37" s="34" t="s">
        <v>84</v>
      </c>
      <c r="L37" s="34" t="s">
        <v>89</v>
      </c>
      <c r="M37" s="58" t="s">
        <v>88</v>
      </c>
      <c r="N37" s="58" t="s">
        <v>88</v>
      </c>
      <c r="O37" s="42"/>
      <c r="P37" s="42"/>
      <c r="Q37" s="42"/>
      <c r="R37" s="49"/>
      <c r="S37" s="58" t="n">
        <v>6</v>
      </c>
      <c r="T37" s="58" t="n">
        <v>10</v>
      </c>
      <c r="U37" s="34" t="s">
        <v>84</v>
      </c>
      <c r="V37" s="36" t="s">
        <v>91</v>
      </c>
      <c r="W37" s="39" t="s">
        <v>84</v>
      </c>
      <c r="X37" s="42" t="n">
        <v>9650</v>
      </c>
      <c r="Y37" s="50" t="n">
        <v>5</v>
      </c>
      <c r="Z37" s="48"/>
      <c r="AA37" s="42" t="n">
        <v>800</v>
      </c>
      <c r="AB37" s="42" t="n">
        <f aca="false">AA37*5</f>
        <v>0</v>
      </c>
      <c r="AC37" s="43" t="n">
        <v>0</v>
      </c>
      <c r="AD37" s="43" t="n">
        <v>0</v>
      </c>
      <c r="AE37" s="43" t="n">
        <v>0</v>
      </c>
      <c r="AF37" s="43" t="n">
        <v>3500</v>
      </c>
      <c r="AG37" s="42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2"/>
      <c r="BU37" s="46"/>
      <c r="BV37" s="46"/>
      <c r="BW37" s="46"/>
      <c r="BX37" s="46"/>
    </row>
    <row r="38" customFormat="false" ht="12.8" hidden="false" customHeight="false" outlineLevel="0" collapsed="false">
      <c r="A38" s="36" t="s">
        <v>52</v>
      </c>
      <c r="B38" s="35" t="s">
        <v>81</v>
      </c>
      <c r="C38" s="35" t="s">
        <v>174</v>
      </c>
      <c r="D38" s="36" t="s">
        <v>175</v>
      </c>
      <c r="E38" s="58" t="s">
        <v>89</v>
      </c>
      <c r="F38" s="36" t="s">
        <v>176</v>
      </c>
      <c r="G38" s="58"/>
      <c r="H38" s="36" t="s">
        <v>86</v>
      </c>
      <c r="I38" s="58" t="s">
        <v>89</v>
      </c>
      <c r="J38" s="58" t="s">
        <v>88</v>
      </c>
      <c r="K38" s="58" t="s">
        <v>87</v>
      </c>
      <c r="L38" s="34" t="s">
        <v>84</v>
      </c>
      <c r="M38" s="58" t="s">
        <v>87</v>
      </c>
      <c r="N38" s="58" t="s">
        <v>87</v>
      </c>
      <c r="O38" s="42" t="n">
        <v>12560</v>
      </c>
      <c r="P38" s="42" t="n">
        <v>910</v>
      </c>
      <c r="Q38" s="42" t="n">
        <v>170</v>
      </c>
      <c r="R38" s="49" t="n">
        <v>0.0162037037043774</v>
      </c>
      <c r="S38" s="58" t="n">
        <v>5</v>
      </c>
      <c r="T38" s="58" t="n">
        <v>10</v>
      </c>
      <c r="U38" s="34" t="s">
        <v>84</v>
      </c>
      <c r="V38" s="36" t="s">
        <v>91</v>
      </c>
      <c r="W38" s="39" t="s">
        <v>84</v>
      </c>
      <c r="X38" s="42" t="n">
        <v>15120</v>
      </c>
      <c r="Y38" s="50" t="n">
        <v>5</v>
      </c>
      <c r="Z38" s="48"/>
      <c r="AA38" s="42" t="n">
        <v>900</v>
      </c>
      <c r="AB38" s="42" t="n">
        <f aca="false">AA38*5</f>
        <v>0</v>
      </c>
      <c r="AC38" s="43" t="n">
        <v>3920</v>
      </c>
      <c r="AD38" s="43" t="n">
        <v>504</v>
      </c>
      <c r="AE38" s="43" t="n">
        <v>658</v>
      </c>
      <c r="AF38" s="43" t="n">
        <v>3500</v>
      </c>
      <c r="AG38" s="42" t="n">
        <v>1200</v>
      </c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36" t="s">
        <v>150</v>
      </c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2"/>
      <c r="BU38" s="46"/>
      <c r="BV38" s="46"/>
      <c r="BW38" s="46"/>
      <c r="BX38" s="46"/>
    </row>
    <row r="39" customFormat="false" ht="12.8" hidden="false" customHeight="false" outlineLevel="0" collapsed="false">
      <c r="A39" s="36" t="s">
        <v>52</v>
      </c>
      <c r="B39" s="35" t="s">
        <v>81</v>
      </c>
      <c r="C39" s="36" t="s">
        <v>174</v>
      </c>
      <c r="D39" s="36" t="s">
        <v>177</v>
      </c>
      <c r="E39" s="58" t="s">
        <v>87</v>
      </c>
      <c r="F39" s="36" t="s">
        <v>178</v>
      </c>
      <c r="G39" s="58"/>
      <c r="H39" s="58"/>
      <c r="I39" s="58" t="s">
        <v>89</v>
      </c>
      <c r="J39" s="58" t="s">
        <v>87</v>
      </c>
      <c r="K39" s="58" t="s">
        <v>87</v>
      </c>
      <c r="L39" s="58" t="s">
        <v>88</v>
      </c>
      <c r="M39" s="58" t="s">
        <v>87</v>
      </c>
      <c r="N39" s="58" t="s">
        <v>88</v>
      </c>
      <c r="O39" s="42"/>
      <c r="P39" s="42"/>
      <c r="Q39" s="42"/>
      <c r="R39" s="49"/>
      <c r="S39" s="58" t="n">
        <v>5</v>
      </c>
      <c r="T39" s="58" t="n">
        <v>10</v>
      </c>
      <c r="U39" s="34" t="s">
        <v>84</v>
      </c>
      <c r="V39" s="36" t="s">
        <v>91</v>
      </c>
      <c r="W39" s="39" t="s">
        <v>84</v>
      </c>
      <c r="X39" s="42" t="n">
        <v>13710</v>
      </c>
      <c r="Y39" s="50" t="n">
        <v>5</v>
      </c>
      <c r="Z39" s="48"/>
      <c r="AA39" s="42" t="n">
        <v>900</v>
      </c>
      <c r="AB39" s="42" t="n">
        <f aca="false">AA39*5</f>
        <v>0</v>
      </c>
      <c r="AC39" s="43" t="n">
        <v>0</v>
      </c>
      <c r="AD39" s="43" t="n">
        <v>0</v>
      </c>
      <c r="AE39" s="43" t="n">
        <v>0</v>
      </c>
      <c r="AF39" s="43" t="n">
        <v>3500</v>
      </c>
      <c r="AG39" s="42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2"/>
      <c r="BU39" s="46"/>
      <c r="BV39" s="46"/>
      <c r="BW39" s="46"/>
      <c r="BX39" s="46"/>
    </row>
    <row r="40" customFormat="false" ht="12.8" hidden="false" customHeight="false" outlineLevel="0" collapsed="false">
      <c r="A40" s="36" t="s">
        <v>52</v>
      </c>
      <c r="B40" s="35" t="s">
        <v>81</v>
      </c>
      <c r="C40" s="36" t="s">
        <v>174</v>
      </c>
      <c r="D40" s="36" t="s">
        <v>179</v>
      </c>
      <c r="E40" s="58" t="s">
        <v>88</v>
      </c>
      <c r="F40" s="36" t="s">
        <v>180</v>
      </c>
      <c r="G40" s="58"/>
      <c r="H40" s="36" t="s">
        <v>135</v>
      </c>
      <c r="I40" s="58" t="s">
        <v>88</v>
      </c>
      <c r="J40" s="34" t="s">
        <v>84</v>
      </c>
      <c r="K40" s="58" t="s">
        <v>87</v>
      </c>
      <c r="L40" s="34" t="s">
        <v>84</v>
      </c>
      <c r="M40" s="58" t="s">
        <v>102</v>
      </c>
      <c r="N40" s="58" t="s">
        <v>88</v>
      </c>
      <c r="O40" s="42"/>
      <c r="P40" s="42"/>
      <c r="Q40" s="42"/>
      <c r="R40" s="49"/>
      <c r="S40" s="58" t="n">
        <v>5</v>
      </c>
      <c r="T40" s="58" t="n">
        <v>10</v>
      </c>
      <c r="U40" s="34" t="s">
        <v>84</v>
      </c>
      <c r="V40" s="36" t="s">
        <v>91</v>
      </c>
      <c r="W40" s="39" t="s">
        <v>84</v>
      </c>
      <c r="X40" s="42" t="n">
        <v>15620</v>
      </c>
      <c r="Y40" s="50" t="n">
        <v>40</v>
      </c>
      <c r="Z40" s="48"/>
      <c r="AA40" s="42" t="n">
        <v>900</v>
      </c>
      <c r="AB40" s="42" t="n">
        <f aca="false">AA40*5</f>
        <v>0</v>
      </c>
      <c r="AC40" s="43" t="n">
        <v>0</v>
      </c>
      <c r="AD40" s="43" t="n">
        <v>0</v>
      </c>
      <c r="AE40" s="43" t="n">
        <v>0</v>
      </c>
      <c r="AF40" s="43" t="n">
        <v>3500</v>
      </c>
      <c r="AG40" s="42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36" t="s">
        <v>92</v>
      </c>
      <c r="BO40" s="58"/>
      <c r="BP40" s="58"/>
      <c r="BQ40" s="58"/>
      <c r="BR40" s="58"/>
      <c r="BS40" s="58"/>
      <c r="BT40" s="52"/>
      <c r="BU40" s="46"/>
      <c r="BV40" s="46"/>
      <c r="BW40" s="46"/>
      <c r="BX40" s="46"/>
    </row>
    <row r="41" customFormat="false" ht="12.8" hidden="false" customHeight="false" outlineLevel="0" collapsed="false">
      <c r="A41" s="36" t="s">
        <v>52</v>
      </c>
      <c r="B41" s="35" t="s">
        <v>81</v>
      </c>
      <c r="C41" s="35" t="s">
        <v>181</v>
      </c>
      <c r="D41" s="35" t="s">
        <v>182</v>
      </c>
      <c r="E41" s="34" t="s">
        <v>89</v>
      </c>
      <c r="F41" s="35" t="s">
        <v>183</v>
      </c>
      <c r="G41" s="34"/>
      <c r="H41" s="36" t="s">
        <v>86</v>
      </c>
      <c r="I41" s="34" t="s">
        <v>88</v>
      </c>
      <c r="J41" s="34" t="s">
        <v>88</v>
      </c>
      <c r="K41" s="34" t="s">
        <v>88</v>
      </c>
      <c r="L41" s="34" t="s">
        <v>84</v>
      </c>
      <c r="M41" s="34" t="s">
        <v>88</v>
      </c>
      <c r="N41" s="34" t="s">
        <v>89</v>
      </c>
      <c r="O41" s="42" t="n">
        <v>8530</v>
      </c>
      <c r="P41" s="42" t="n">
        <v>480</v>
      </c>
      <c r="Q41" s="42" t="n">
        <v>110</v>
      </c>
      <c r="R41" s="49" t="n">
        <v>0.00960648148247856</v>
      </c>
      <c r="S41" s="58" t="n">
        <v>3</v>
      </c>
      <c r="T41" s="58" t="n">
        <v>10</v>
      </c>
      <c r="U41" s="34" t="s">
        <v>84</v>
      </c>
      <c r="V41" s="36" t="s">
        <v>91</v>
      </c>
      <c r="W41" s="39" t="s">
        <v>84</v>
      </c>
      <c r="X41" s="42" t="n">
        <v>11150</v>
      </c>
      <c r="Y41" s="50" t="n">
        <v>5</v>
      </c>
      <c r="Z41" s="48"/>
      <c r="AA41" s="42" t="n">
        <v>1100</v>
      </c>
      <c r="AB41" s="42" t="n">
        <f aca="false">AA41*5</f>
        <v>0</v>
      </c>
      <c r="AC41" s="43" t="n">
        <v>1350</v>
      </c>
      <c r="AD41" s="43" t="n">
        <v>356</v>
      </c>
      <c r="AE41" s="43" t="n">
        <v>229</v>
      </c>
      <c r="AF41" s="43" t="n">
        <v>3500</v>
      </c>
      <c r="AG41" s="42" t="n">
        <v>1600</v>
      </c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58"/>
      <c r="AW41" s="58"/>
      <c r="AX41" s="58"/>
      <c r="AY41" s="58"/>
      <c r="AZ41" s="58"/>
      <c r="BA41" s="58"/>
      <c r="BB41" s="58"/>
      <c r="BC41" s="58"/>
      <c r="BD41" s="35" t="s">
        <v>92</v>
      </c>
      <c r="BE41" s="58"/>
      <c r="BF41" s="58"/>
      <c r="BG41" s="35" t="s">
        <v>92</v>
      </c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2"/>
      <c r="BU41" s="46"/>
      <c r="BV41" s="46"/>
      <c r="BW41" s="46"/>
      <c r="BX41" s="46"/>
    </row>
    <row r="42" customFormat="false" ht="12.8" hidden="false" customHeight="false" outlineLevel="0" collapsed="false">
      <c r="A42" s="36" t="s">
        <v>52</v>
      </c>
      <c r="B42" s="35" t="s">
        <v>81</v>
      </c>
      <c r="C42" s="35" t="s">
        <v>181</v>
      </c>
      <c r="D42" s="35" t="s">
        <v>184</v>
      </c>
      <c r="E42" s="34" t="s">
        <v>87</v>
      </c>
      <c r="F42" s="35" t="s">
        <v>121</v>
      </c>
      <c r="G42" s="34"/>
      <c r="H42" s="58"/>
      <c r="I42" s="34" t="s">
        <v>88</v>
      </c>
      <c r="J42" s="34" t="s">
        <v>88</v>
      </c>
      <c r="K42" s="34" t="s">
        <v>88</v>
      </c>
      <c r="L42" s="34" t="s">
        <v>84</v>
      </c>
      <c r="M42" s="34" t="s">
        <v>88</v>
      </c>
      <c r="N42" s="34" t="s">
        <v>89</v>
      </c>
      <c r="O42" s="42" t="n">
        <v>8530</v>
      </c>
      <c r="P42" s="42" t="n">
        <v>480</v>
      </c>
      <c r="Q42" s="42" t="n">
        <v>110</v>
      </c>
      <c r="R42" s="49" t="n">
        <v>0.00960648148247856</v>
      </c>
      <c r="S42" s="58" t="n">
        <v>3</v>
      </c>
      <c r="T42" s="58" t="n">
        <v>10</v>
      </c>
      <c r="U42" s="34" t="s">
        <v>84</v>
      </c>
      <c r="V42" s="36" t="s">
        <v>91</v>
      </c>
      <c r="W42" s="39" t="s">
        <v>84</v>
      </c>
      <c r="X42" s="42" t="n">
        <v>11150</v>
      </c>
      <c r="Y42" s="50" t="n">
        <v>5</v>
      </c>
      <c r="Z42" s="48"/>
      <c r="AA42" s="42" t="n">
        <v>2000</v>
      </c>
      <c r="AB42" s="42" t="n">
        <f aca="false">AA42*5</f>
        <v>0</v>
      </c>
      <c r="AC42" s="43" t="n">
        <v>1350</v>
      </c>
      <c r="AD42" s="43" t="n">
        <v>356</v>
      </c>
      <c r="AE42" s="43" t="n">
        <v>229</v>
      </c>
      <c r="AF42" s="43" t="n">
        <v>3500</v>
      </c>
      <c r="AG42" s="42" t="n">
        <v>1600</v>
      </c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58"/>
      <c r="AW42" s="58"/>
      <c r="AX42" s="58"/>
      <c r="AY42" s="58"/>
      <c r="AZ42" s="58"/>
      <c r="BA42" s="58"/>
      <c r="BB42" s="58"/>
      <c r="BC42" s="58"/>
      <c r="BD42" s="34"/>
      <c r="BE42" s="58"/>
      <c r="BF42" s="58"/>
      <c r="BG42" s="34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2"/>
      <c r="BU42" s="46"/>
      <c r="BV42" s="46"/>
      <c r="BW42" s="46"/>
      <c r="BX42" s="46"/>
    </row>
    <row r="43" customFormat="false" ht="12.8" hidden="false" customHeight="false" outlineLevel="0" collapsed="false">
      <c r="A43" s="36" t="s">
        <v>52</v>
      </c>
      <c r="B43" s="35" t="s">
        <v>81</v>
      </c>
      <c r="C43" s="35" t="s">
        <v>185</v>
      </c>
      <c r="D43" s="36" t="s">
        <v>186</v>
      </c>
      <c r="E43" s="58" t="s">
        <v>89</v>
      </c>
      <c r="F43" s="36" t="s">
        <v>153</v>
      </c>
      <c r="G43" s="58"/>
      <c r="H43" s="36" t="s">
        <v>96</v>
      </c>
      <c r="I43" s="58" t="s">
        <v>88</v>
      </c>
      <c r="J43" s="58" t="s">
        <v>88</v>
      </c>
      <c r="K43" s="58" t="s">
        <v>102</v>
      </c>
      <c r="L43" s="34" t="s">
        <v>84</v>
      </c>
      <c r="M43" s="58" t="s">
        <v>87</v>
      </c>
      <c r="N43" s="58" t="s">
        <v>88</v>
      </c>
      <c r="O43" s="42" t="n">
        <v>8150</v>
      </c>
      <c r="P43" s="42" t="n">
        <v>660</v>
      </c>
      <c r="Q43" s="42" t="n">
        <v>130</v>
      </c>
      <c r="R43" s="49" t="n">
        <v>0.0121527777773736</v>
      </c>
      <c r="S43" s="58" t="n">
        <v>6</v>
      </c>
      <c r="T43" s="58" t="n">
        <v>10</v>
      </c>
      <c r="U43" s="34" t="s">
        <v>84</v>
      </c>
      <c r="V43" s="36" t="s">
        <v>91</v>
      </c>
      <c r="W43" s="39" t="s">
        <v>84</v>
      </c>
      <c r="X43" s="42" t="n">
        <v>12810</v>
      </c>
      <c r="Y43" s="50" t="n">
        <v>5</v>
      </c>
      <c r="Z43" s="48"/>
      <c r="AA43" s="42" t="n">
        <v>800</v>
      </c>
      <c r="AB43" s="42" t="n">
        <f aca="false">AA43*5</f>
        <v>0</v>
      </c>
      <c r="AC43" s="43" t="n">
        <v>600</v>
      </c>
      <c r="AD43" s="43" t="n">
        <v>384</v>
      </c>
      <c r="AE43" s="43" t="n">
        <v>1650</v>
      </c>
      <c r="AF43" s="43" t="n">
        <v>3500</v>
      </c>
      <c r="AG43" s="42" t="n">
        <v>2200</v>
      </c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58"/>
      <c r="AW43" s="36" t="s">
        <v>92</v>
      </c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36" t="s">
        <v>92</v>
      </c>
      <c r="BP43" s="58"/>
      <c r="BQ43" s="58"/>
      <c r="BR43" s="58"/>
      <c r="BS43" s="58"/>
      <c r="BT43" s="52"/>
      <c r="BU43" s="46"/>
      <c r="BV43" s="46"/>
      <c r="BW43" s="46"/>
      <c r="BX43" s="46"/>
    </row>
    <row r="44" customFormat="false" ht="12.8" hidden="false" customHeight="false" outlineLevel="0" collapsed="false">
      <c r="A44" s="36" t="s">
        <v>52</v>
      </c>
      <c r="B44" s="35" t="s">
        <v>81</v>
      </c>
      <c r="C44" s="35" t="s">
        <v>185</v>
      </c>
      <c r="D44" s="36" t="s">
        <v>187</v>
      </c>
      <c r="E44" s="58" t="s">
        <v>87</v>
      </c>
      <c r="F44" s="36" t="s">
        <v>188</v>
      </c>
      <c r="G44" s="58"/>
      <c r="H44" s="58"/>
      <c r="I44" s="58" t="s">
        <v>88</v>
      </c>
      <c r="J44" s="58" t="s">
        <v>88</v>
      </c>
      <c r="K44" s="58" t="s">
        <v>88</v>
      </c>
      <c r="L44" s="58" t="s">
        <v>89</v>
      </c>
      <c r="M44" s="58" t="s">
        <v>87</v>
      </c>
      <c r="N44" s="58" t="s">
        <v>88</v>
      </c>
      <c r="O44" s="42"/>
      <c r="P44" s="42"/>
      <c r="Q44" s="42"/>
      <c r="R44" s="49"/>
      <c r="S44" s="58" t="n">
        <v>6</v>
      </c>
      <c r="T44" s="58" t="n">
        <v>10</v>
      </c>
      <c r="U44" s="34" t="s">
        <v>84</v>
      </c>
      <c r="V44" s="36" t="s">
        <v>91</v>
      </c>
      <c r="W44" s="39" t="s">
        <v>84</v>
      </c>
      <c r="X44" s="42" t="n">
        <v>12810</v>
      </c>
      <c r="Y44" s="50" t="n">
        <v>5</v>
      </c>
      <c r="Z44" s="48"/>
      <c r="AA44" s="42" t="n">
        <v>800</v>
      </c>
      <c r="AB44" s="42" t="n">
        <f aca="false">AA44*5</f>
        <v>0</v>
      </c>
      <c r="AC44" s="43" t="n">
        <v>0</v>
      </c>
      <c r="AD44" s="43" t="n">
        <v>0</v>
      </c>
      <c r="AE44" s="43" t="n">
        <v>0</v>
      </c>
      <c r="AF44" s="43" t="n">
        <v>3500</v>
      </c>
      <c r="AG44" s="42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2"/>
      <c r="BU44" s="46"/>
      <c r="BV44" s="46"/>
      <c r="BW44" s="46"/>
      <c r="BX44" s="46"/>
    </row>
    <row r="45" customFormat="false" ht="12.8" hidden="false" customHeight="false" outlineLevel="0" collapsed="false">
      <c r="A45" s="36" t="s">
        <v>52</v>
      </c>
      <c r="B45" s="35" t="s">
        <v>81</v>
      </c>
      <c r="C45" s="35" t="s">
        <v>185</v>
      </c>
      <c r="D45" s="36" t="s">
        <v>162</v>
      </c>
      <c r="E45" s="58" t="s">
        <v>88</v>
      </c>
      <c r="F45" s="36" t="s">
        <v>163</v>
      </c>
      <c r="G45" s="58"/>
      <c r="H45" s="58"/>
      <c r="I45" s="58" t="s">
        <v>88</v>
      </c>
      <c r="J45" s="58" t="s">
        <v>89</v>
      </c>
      <c r="K45" s="58" t="s">
        <v>88</v>
      </c>
      <c r="L45" s="58" t="s">
        <v>89</v>
      </c>
      <c r="M45" s="58" t="s">
        <v>87</v>
      </c>
      <c r="N45" s="58" t="s">
        <v>88</v>
      </c>
      <c r="O45" s="42"/>
      <c r="P45" s="42"/>
      <c r="Q45" s="42"/>
      <c r="R45" s="49"/>
      <c r="S45" s="58" t="n">
        <v>6</v>
      </c>
      <c r="T45" s="58" t="n">
        <v>10</v>
      </c>
      <c r="U45" s="34" t="s">
        <v>84</v>
      </c>
      <c r="V45" s="36" t="s">
        <v>91</v>
      </c>
      <c r="W45" s="39" t="s">
        <v>84</v>
      </c>
      <c r="X45" s="42" t="n">
        <v>12810</v>
      </c>
      <c r="Y45" s="50" t="n">
        <v>5</v>
      </c>
      <c r="Z45" s="48"/>
      <c r="AA45" s="42" t="n">
        <v>800</v>
      </c>
      <c r="AB45" s="42" t="n">
        <f aca="false">AA45*5</f>
        <v>0</v>
      </c>
      <c r="AC45" s="43" t="n">
        <v>0</v>
      </c>
      <c r="AD45" s="43" t="n">
        <v>0</v>
      </c>
      <c r="AE45" s="43" t="n">
        <v>0</v>
      </c>
      <c r="AF45" s="43" t="n">
        <v>3500</v>
      </c>
      <c r="AG45" s="42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2"/>
      <c r="BU45" s="46"/>
      <c r="BV45" s="46"/>
      <c r="BW45" s="46"/>
      <c r="BX45" s="46"/>
    </row>
    <row r="46" customFormat="false" ht="12.8" hidden="false" customHeight="false" outlineLevel="0" collapsed="false">
      <c r="A46" s="36" t="s">
        <v>52</v>
      </c>
      <c r="B46" s="35" t="s">
        <v>93</v>
      </c>
      <c r="C46" s="34" t="s">
        <v>189</v>
      </c>
      <c r="D46" s="35" t="s">
        <v>190</v>
      </c>
      <c r="E46" s="58" t="s">
        <v>89</v>
      </c>
      <c r="F46" s="36" t="s">
        <v>101</v>
      </c>
      <c r="G46" s="58"/>
      <c r="H46" s="36" t="s">
        <v>86</v>
      </c>
      <c r="I46" s="58" t="s">
        <v>87</v>
      </c>
      <c r="J46" s="58" t="s">
        <v>88</v>
      </c>
      <c r="K46" s="58" t="s">
        <v>88</v>
      </c>
      <c r="L46" s="34" t="s">
        <v>84</v>
      </c>
      <c r="M46" s="58" t="s">
        <v>88</v>
      </c>
      <c r="N46" s="58" t="s">
        <v>89</v>
      </c>
      <c r="O46" s="42" t="n">
        <v>7990</v>
      </c>
      <c r="P46" s="42" t="n">
        <v>540</v>
      </c>
      <c r="Q46" s="42" t="n">
        <v>110</v>
      </c>
      <c r="R46" s="49" t="n">
        <v>0.0100694444445253</v>
      </c>
      <c r="S46" s="58" t="n">
        <v>3</v>
      </c>
      <c r="T46" s="58" t="n">
        <v>15</v>
      </c>
      <c r="U46" s="34" t="s">
        <v>84</v>
      </c>
      <c r="V46" s="36" t="s">
        <v>91</v>
      </c>
      <c r="W46" s="39" t="s">
        <v>84</v>
      </c>
      <c r="X46" s="42" t="n">
        <v>9650</v>
      </c>
      <c r="Y46" s="50" t="n">
        <v>5</v>
      </c>
      <c r="Z46" s="48"/>
      <c r="AA46" s="42" t="n">
        <v>1000</v>
      </c>
      <c r="AB46" s="42" t="n">
        <f aca="false">AA46*5</f>
        <v>0</v>
      </c>
      <c r="AC46" s="43" t="n">
        <v>1928</v>
      </c>
      <c r="AD46" s="43" t="n">
        <v>539</v>
      </c>
      <c r="AE46" s="43" t="n">
        <v>270</v>
      </c>
      <c r="AF46" s="43" t="n">
        <v>3500</v>
      </c>
      <c r="AG46" s="42" t="n">
        <v>2000</v>
      </c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36" t="s">
        <v>92</v>
      </c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2"/>
      <c r="BU46" s="46"/>
      <c r="BV46" s="46"/>
      <c r="BW46" s="46"/>
      <c r="BX46" s="46"/>
    </row>
    <row r="47" customFormat="false" ht="12.8" hidden="false" customHeight="false" outlineLevel="0" collapsed="false">
      <c r="A47" s="36" t="s">
        <v>52</v>
      </c>
      <c r="B47" s="35" t="s">
        <v>93</v>
      </c>
      <c r="C47" s="34" t="s">
        <v>189</v>
      </c>
      <c r="D47" s="35" t="s">
        <v>191</v>
      </c>
      <c r="E47" s="58" t="s">
        <v>87</v>
      </c>
      <c r="F47" s="36" t="s">
        <v>192</v>
      </c>
      <c r="G47" s="58"/>
      <c r="H47" s="36" t="s">
        <v>135</v>
      </c>
      <c r="I47" s="58" t="s">
        <v>88</v>
      </c>
      <c r="J47" s="58" t="s">
        <v>88</v>
      </c>
      <c r="K47" s="58" t="s">
        <v>88</v>
      </c>
      <c r="L47" s="34" t="s">
        <v>84</v>
      </c>
      <c r="M47" s="58" t="s">
        <v>89</v>
      </c>
      <c r="N47" s="58" t="s">
        <v>87</v>
      </c>
      <c r="O47" s="42" t="n">
        <v>10500</v>
      </c>
      <c r="P47" s="42" t="n">
        <v>670</v>
      </c>
      <c r="Q47" s="42" t="n">
        <v>140</v>
      </c>
      <c r="R47" s="49" t="n">
        <v>0.012731481481751</v>
      </c>
      <c r="S47" s="58" t="n">
        <v>3</v>
      </c>
      <c r="T47" s="58" t="n">
        <v>15</v>
      </c>
      <c r="U47" s="34" t="s">
        <v>84</v>
      </c>
      <c r="V47" s="36" t="s">
        <v>91</v>
      </c>
      <c r="W47" s="39" t="s">
        <v>84</v>
      </c>
      <c r="X47" s="42" t="n">
        <v>11150</v>
      </c>
      <c r="Y47" s="50" t="n">
        <v>15</v>
      </c>
      <c r="Z47" s="48"/>
      <c r="AA47" s="42" t="n">
        <v>1000</v>
      </c>
      <c r="AB47" s="42" t="n">
        <f aca="false">AA47*5</f>
        <v>0</v>
      </c>
      <c r="AC47" s="43" t="n">
        <v>1285</v>
      </c>
      <c r="AD47" s="43" t="n">
        <v>891</v>
      </c>
      <c r="AE47" s="43" t="n">
        <v>180</v>
      </c>
      <c r="AF47" s="43" t="n">
        <v>3500</v>
      </c>
      <c r="AG47" s="42" t="n">
        <v>1500</v>
      </c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36" t="s">
        <v>92</v>
      </c>
      <c r="BO47" s="58"/>
      <c r="BP47" s="58"/>
      <c r="BQ47" s="58"/>
      <c r="BR47" s="58"/>
      <c r="BS47" s="58"/>
      <c r="BT47" s="52"/>
      <c r="BU47" s="46"/>
      <c r="BV47" s="46"/>
      <c r="BW47" s="46"/>
      <c r="BX47" s="46"/>
    </row>
    <row r="48" customFormat="false" ht="12.8" hidden="false" customHeight="false" outlineLevel="0" collapsed="false">
      <c r="A48" s="36" t="s">
        <v>52</v>
      </c>
      <c r="B48" s="35" t="s">
        <v>93</v>
      </c>
      <c r="C48" s="34" t="s">
        <v>189</v>
      </c>
      <c r="D48" s="35" t="s">
        <v>193</v>
      </c>
      <c r="E48" s="58" t="s">
        <v>88</v>
      </c>
      <c r="F48" s="36" t="s">
        <v>194</v>
      </c>
      <c r="G48" s="58"/>
      <c r="H48" s="36" t="s">
        <v>86</v>
      </c>
      <c r="I48" s="58" t="s">
        <v>88</v>
      </c>
      <c r="J48" s="58" t="s">
        <v>87</v>
      </c>
      <c r="K48" s="58" t="s">
        <v>88</v>
      </c>
      <c r="L48" s="34" t="s">
        <v>84</v>
      </c>
      <c r="M48" s="58" t="s">
        <v>87</v>
      </c>
      <c r="N48" s="58" t="s">
        <v>89</v>
      </c>
      <c r="O48" s="42" t="n">
        <v>6250</v>
      </c>
      <c r="P48" s="42" t="n">
        <v>590</v>
      </c>
      <c r="Q48" s="42" t="n">
        <v>140</v>
      </c>
      <c r="R48" s="49" t="n">
        <v>0.0120370370386809</v>
      </c>
      <c r="S48" s="58" t="n">
        <v>3</v>
      </c>
      <c r="T48" s="58" t="n">
        <v>15</v>
      </c>
      <c r="U48" s="34" t="s">
        <v>84</v>
      </c>
      <c r="V48" s="36" t="s">
        <v>91</v>
      </c>
      <c r="W48" s="39" t="s">
        <v>84</v>
      </c>
      <c r="X48" s="42" t="n">
        <v>11150</v>
      </c>
      <c r="Y48" s="50" t="n">
        <v>5</v>
      </c>
      <c r="Z48" s="48"/>
      <c r="AA48" s="42" t="n">
        <v>1100</v>
      </c>
      <c r="AB48" s="42" t="n">
        <f aca="false">AA48*5</f>
        <v>0</v>
      </c>
      <c r="AC48" s="43" t="n">
        <v>642</v>
      </c>
      <c r="AD48" s="43" t="n">
        <v>737</v>
      </c>
      <c r="AE48" s="43" t="n">
        <v>90</v>
      </c>
      <c r="AF48" s="43" t="n">
        <v>3500</v>
      </c>
      <c r="AG48" s="42" t="n">
        <v>2200</v>
      </c>
      <c r="AH48" s="48"/>
      <c r="AI48" s="48" t="n">
        <v>0.2</v>
      </c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36" t="s">
        <v>92</v>
      </c>
      <c r="BK48" s="58"/>
      <c r="BL48" s="58"/>
      <c r="BM48" s="58"/>
      <c r="BN48" s="58"/>
      <c r="BO48" s="58"/>
      <c r="BP48" s="58"/>
      <c r="BQ48" s="58"/>
      <c r="BR48" s="58"/>
      <c r="BS48" s="58"/>
      <c r="BT48" s="52"/>
      <c r="BU48" s="46"/>
      <c r="BV48" s="46"/>
      <c r="BW48" s="46"/>
      <c r="BX48" s="46"/>
    </row>
    <row r="49" customFormat="false" ht="12.8" hidden="false" customHeight="false" outlineLevel="0" collapsed="false">
      <c r="A49" s="36" t="s">
        <v>52</v>
      </c>
      <c r="B49" s="35" t="s">
        <v>93</v>
      </c>
      <c r="C49" s="58" t="s">
        <v>195</v>
      </c>
      <c r="D49" s="36" t="s">
        <v>196</v>
      </c>
      <c r="E49" s="58" t="s">
        <v>89</v>
      </c>
      <c r="F49" s="36" t="s">
        <v>197</v>
      </c>
      <c r="G49" s="58"/>
      <c r="H49" s="36" t="s">
        <v>96</v>
      </c>
      <c r="I49" s="58" t="s">
        <v>88</v>
      </c>
      <c r="J49" s="58" t="s">
        <v>88</v>
      </c>
      <c r="K49" s="58" t="s">
        <v>88</v>
      </c>
      <c r="L49" s="58" t="s">
        <v>88</v>
      </c>
      <c r="M49" s="58" t="s">
        <v>88</v>
      </c>
      <c r="N49" s="58" t="s">
        <v>89</v>
      </c>
      <c r="O49" s="42" t="n">
        <v>6000</v>
      </c>
      <c r="P49" s="42" t="n">
        <v>350</v>
      </c>
      <c r="Q49" s="42" t="n">
        <v>50</v>
      </c>
      <c r="R49" s="49" t="n">
        <v>0.0138888888905058</v>
      </c>
      <c r="S49" s="58" t="n">
        <v>10</v>
      </c>
      <c r="T49" s="58" t="n">
        <v>20</v>
      </c>
      <c r="U49" s="34" t="s">
        <v>84</v>
      </c>
      <c r="V49" s="36" t="s">
        <v>198</v>
      </c>
      <c r="W49" s="39" t="s">
        <v>84</v>
      </c>
      <c r="X49" s="42" t="n">
        <v>4100</v>
      </c>
      <c r="Y49" s="50"/>
      <c r="Z49" s="48"/>
      <c r="AA49" s="42" t="n">
        <v>400</v>
      </c>
      <c r="AB49" s="42" t="n">
        <f aca="false">AA49*5</f>
        <v>0</v>
      </c>
      <c r="AC49" s="43" t="n">
        <v>450</v>
      </c>
      <c r="AD49" s="43" t="n">
        <v>207</v>
      </c>
      <c r="AE49" s="43" t="n">
        <v>18</v>
      </c>
      <c r="AF49" s="43" t="n">
        <v>1500</v>
      </c>
      <c r="AG49" s="42" t="n">
        <v>1500</v>
      </c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58"/>
      <c r="AW49" s="58"/>
      <c r="AX49" s="58"/>
      <c r="AY49" s="58"/>
      <c r="AZ49" s="58"/>
      <c r="BA49" s="58"/>
      <c r="BB49" s="58"/>
      <c r="BC49" s="58"/>
      <c r="BD49" s="58"/>
      <c r="BE49" s="36" t="s">
        <v>92</v>
      </c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2"/>
      <c r="BU49" s="46"/>
      <c r="BV49" s="46"/>
      <c r="BW49" s="46"/>
      <c r="BX49" s="46"/>
    </row>
    <row r="50" customFormat="false" ht="12.8" hidden="false" customHeight="false" outlineLevel="0" collapsed="false">
      <c r="A50" s="35" t="s">
        <v>199</v>
      </c>
      <c r="B50" s="35" t="s">
        <v>98</v>
      </c>
      <c r="C50" s="35" t="s">
        <v>200</v>
      </c>
      <c r="D50" s="35" t="s">
        <v>201</v>
      </c>
      <c r="E50" s="34" t="s">
        <v>89</v>
      </c>
      <c r="F50" s="35" t="s">
        <v>130</v>
      </c>
      <c r="G50" s="35" t="s">
        <v>202</v>
      </c>
      <c r="H50" s="34" t="s">
        <v>84</v>
      </c>
      <c r="I50" s="34" t="s">
        <v>87</v>
      </c>
      <c r="J50" s="34" t="s">
        <v>102</v>
      </c>
      <c r="K50" s="34" t="s">
        <v>84</v>
      </c>
      <c r="L50" s="34" t="s">
        <v>84</v>
      </c>
      <c r="M50" s="34" t="s">
        <v>87</v>
      </c>
      <c r="N50" s="34" t="s">
        <v>87</v>
      </c>
      <c r="O50" s="42" t="n">
        <v>7520</v>
      </c>
      <c r="P50" s="42" t="n">
        <v>650</v>
      </c>
      <c r="Q50" s="42" t="n">
        <v>220</v>
      </c>
      <c r="R50" s="92" t="n">
        <v>0.0107638888875954</v>
      </c>
      <c r="S50" s="58" t="n">
        <v>1</v>
      </c>
      <c r="T50" s="58" t="n">
        <v>10</v>
      </c>
      <c r="U50" s="34" t="s">
        <v>84</v>
      </c>
      <c r="V50" s="35" t="s">
        <v>103</v>
      </c>
      <c r="W50" s="42" t="n">
        <v>5</v>
      </c>
      <c r="X50" s="42" t="n">
        <v>5000</v>
      </c>
      <c r="Y50" s="50"/>
      <c r="Z50" s="41"/>
      <c r="AA50" s="42" t="n">
        <v>3000</v>
      </c>
      <c r="AB50" s="42" t="n">
        <f aca="false">AA50*5</f>
        <v>0</v>
      </c>
      <c r="AC50" s="43" t="n">
        <v>553</v>
      </c>
      <c r="AD50" s="43" t="n">
        <v>885</v>
      </c>
      <c r="AE50" s="43" t="n">
        <v>0</v>
      </c>
      <c r="AF50" s="59" t="n">
        <v>200</v>
      </c>
      <c r="AG50" s="39" t="s">
        <v>84</v>
      </c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58"/>
      <c r="AW50" s="58"/>
      <c r="AX50" s="58"/>
      <c r="AY50" s="58"/>
      <c r="AZ50" s="58"/>
      <c r="BA50" s="34"/>
      <c r="BB50" s="58"/>
      <c r="BC50" s="58"/>
      <c r="BD50" s="58"/>
      <c r="BE50" s="58"/>
      <c r="BF50" s="58"/>
      <c r="BG50" s="58"/>
      <c r="BH50" s="58"/>
      <c r="BI50" s="35" t="s">
        <v>92</v>
      </c>
      <c r="BJ50" s="58"/>
      <c r="BK50" s="34"/>
      <c r="BL50" s="58"/>
      <c r="BM50" s="58"/>
      <c r="BN50" s="34"/>
      <c r="BO50" s="34"/>
      <c r="BP50" s="34"/>
      <c r="BQ50" s="58"/>
      <c r="BR50" s="58"/>
      <c r="BS50" s="58"/>
      <c r="BT50" s="52"/>
      <c r="BU50" s="46"/>
      <c r="BV50" s="46"/>
      <c r="BW50" s="93" t="s">
        <v>92</v>
      </c>
      <c r="BX50" s="46"/>
    </row>
    <row r="51" customFormat="false" ht="12.8" hidden="false" customHeight="false" outlineLevel="0" collapsed="false">
      <c r="A51" s="35" t="s">
        <v>199</v>
      </c>
      <c r="B51" s="35" t="s">
        <v>98</v>
      </c>
      <c r="C51" s="35" t="s">
        <v>203</v>
      </c>
      <c r="D51" s="35" t="s">
        <v>204</v>
      </c>
      <c r="E51" s="34" t="s">
        <v>89</v>
      </c>
      <c r="F51" s="35" t="s">
        <v>205</v>
      </c>
      <c r="G51" s="34"/>
      <c r="H51" s="34" t="s">
        <v>84</v>
      </c>
      <c r="I51" s="34" t="s">
        <v>88</v>
      </c>
      <c r="J51" s="34" t="s">
        <v>87</v>
      </c>
      <c r="K51" s="34" t="s">
        <v>84</v>
      </c>
      <c r="L51" s="34" t="s">
        <v>84</v>
      </c>
      <c r="M51" s="34" t="s">
        <v>89</v>
      </c>
      <c r="N51" s="34" t="s">
        <v>87</v>
      </c>
      <c r="O51" s="42" t="n">
        <v>6030</v>
      </c>
      <c r="P51" s="42" t="n">
        <v>400</v>
      </c>
      <c r="Q51" s="42" t="n">
        <v>160</v>
      </c>
      <c r="R51" s="92" t="n">
        <v>0.00729166666496894</v>
      </c>
      <c r="S51" s="58" t="n">
        <v>1</v>
      </c>
      <c r="T51" s="58" t="n">
        <v>10</v>
      </c>
      <c r="U51" s="34" t="s">
        <v>84</v>
      </c>
      <c r="V51" s="35" t="s">
        <v>103</v>
      </c>
      <c r="W51" s="42" t="n">
        <v>5</v>
      </c>
      <c r="X51" s="42" t="n">
        <v>3250</v>
      </c>
      <c r="Y51" s="94"/>
      <c r="Z51" s="41"/>
      <c r="AA51" s="42" t="n">
        <v>3000</v>
      </c>
      <c r="AB51" s="42" t="n">
        <f aca="false">AA51*5</f>
        <v>0</v>
      </c>
      <c r="AC51" s="43" t="n">
        <v>300</v>
      </c>
      <c r="AD51" s="43" t="n">
        <v>288</v>
      </c>
      <c r="AE51" s="43" t="n">
        <v>0</v>
      </c>
      <c r="AF51" s="59" t="n">
        <v>200</v>
      </c>
      <c r="AG51" s="39" t="s">
        <v>84</v>
      </c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58"/>
      <c r="AW51" s="58"/>
      <c r="AX51" s="58"/>
      <c r="AY51" s="58"/>
      <c r="AZ51" s="58"/>
      <c r="BA51" s="34"/>
      <c r="BB51" s="58"/>
      <c r="BC51" s="58"/>
      <c r="BD51" s="58"/>
      <c r="BE51" s="58"/>
      <c r="BF51" s="58"/>
      <c r="BG51" s="58"/>
      <c r="BH51" s="58"/>
      <c r="BI51" s="58"/>
      <c r="BJ51" s="58"/>
      <c r="BK51" s="34"/>
      <c r="BL51" s="58"/>
      <c r="BM51" s="58"/>
      <c r="BN51" s="34"/>
      <c r="BO51" s="34"/>
      <c r="BP51" s="34"/>
      <c r="BQ51" s="58"/>
      <c r="BR51" s="58"/>
      <c r="BS51" s="58"/>
      <c r="BT51" s="52"/>
      <c r="BU51" s="46"/>
      <c r="BV51" s="46"/>
      <c r="BW51" s="46"/>
      <c r="BX51" s="93" t="s">
        <v>92</v>
      </c>
    </row>
    <row r="52" customFormat="false" ht="12.8" hidden="false" customHeight="false" outlineLevel="0" collapsed="false">
      <c r="A52" s="35" t="s">
        <v>199</v>
      </c>
      <c r="B52" s="35" t="s">
        <v>158</v>
      </c>
      <c r="C52" s="35" t="s">
        <v>206</v>
      </c>
      <c r="D52" s="35" t="s">
        <v>207</v>
      </c>
      <c r="E52" s="34" t="s">
        <v>89</v>
      </c>
      <c r="F52" s="35" t="s">
        <v>130</v>
      </c>
      <c r="G52" s="34"/>
      <c r="H52" s="34" t="s">
        <v>84</v>
      </c>
      <c r="I52" s="34" t="s">
        <v>88</v>
      </c>
      <c r="J52" s="34" t="s">
        <v>89</v>
      </c>
      <c r="K52" s="34" t="s">
        <v>84</v>
      </c>
      <c r="L52" s="34" t="s">
        <v>84</v>
      </c>
      <c r="M52" s="34" t="s">
        <v>87</v>
      </c>
      <c r="N52" s="34" t="s">
        <v>89</v>
      </c>
      <c r="O52" s="42" t="n">
        <v>4640</v>
      </c>
      <c r="P52" s="42" t="n">
        <v>310</v>
      </c>
      <c r="Q52" s="42" t="n">
        <v>120</v>
      </c>
      <c r="R52" s="49" t="n">
        <v>0.00555555555547471</v>
      </c>
      <c r="S52" s="58" t="n">
        <v>1</v>
      </c>
      <c r="T52" s="58" t="n">
        <v>10</v>
      </c>
      <c r="U52" s="34" t="s">
        <v>84</v>
      </c>
      <c r="V52" s="35" t="s">
        <v>103</v>
      </c>
      <c r="W52" s="42" t="n">
        <v>5</v>
      </c>
      <c r="X52" s="42" t="n">
        <v>3250</v>
      </c>
      <c r="Y52" s="50"/>
      <c r="Z52" s="41"/>
      <c r="AA52" s="42" t="n">
        <v>3000</v>
      </c>
      <c r="AB52" s="42" t="n">
        <f aca="false">AA52*5</f>
        <v>0</v>
      </c>
      <c r="AC52" s="43" t="n">
        <v>276</v>
      </c>
      <c r="AD52" s="43" t="n">
        <v>664</v>
      </c>
      <c r="AE52" s="43" t="n">
        <v>0</v>
      </c>
      <c r="AF52" s="59" t="n">
        <v>200</v>
      </c>
      <c r="AG52" s="39" t="s">
        <v>84</v>
      </c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58"/>
      <c r="AW52" s="58"/>
      <c r="AX52" s="58"/>
      <c r="AY52" s="58"/>
      <c r="AZ52" s="58"/>
      <c r="BA52" s="34"/>
      <c r="BB52" s="58"/>
      <c r="BC52" s="58"/>
      <c r="BD52" s="58"/>
      <c r="BE52" s="58"/>
      <c r="BF52" s="58"/>
      <c r="BG52" s="58"/>
      <c r="BH52" s="58"/>
      <c r="BI52" s="58"/>
      <c r="BJ52" s="58"/>
      <c r="BK52" s="34"/>
      <c r="BL52" s="58"/>
      <c r="BM52" s="58"/>
      <c r="BN52" s="34"/>
      <c r="BO52" s="34"/>
      <c r="BP52" s="34"/>
      <c r="BQ52" s="58"/>
      <c r="BR52" s="58"/>
      <c r="BS52" s="58"/>
      <c r="BT52" s="52"/>
      <c r="BU52" s="46"/>
      <c r="BV52" s="46"/>
      <c r="BW52" s="93" t="s">
        <v>92</v>
      </c>
      <c r="BX52" s="46"/>
    </row>
    <row r="53" customFormat="false" ht="12.8" hidden="false" customHeight="false" outlineLevel="0" collapsed="false">
      <c r="A53" s="35" t="s">
        <v>199</v>
      </c>
      <c r="B53" s="35" t="s">
        <v>81</v>
      </c>
      <c r="C53" s="35" t="s">
        <v>208</v>
      </c>
      <c r="D53" s="35" t="s">
        <v>209</v>
      </c>
      <c r="E53" s="34" t="s">
        <v>89</v>
      </c>
      <c r="F53" s="35" t="s">
        <v>210</v>
      </c>
      <c r="G53" s="34"/>
      <c r="H53" s="34" t="s">
        <v>84</v>
      </c>
      <c r="I53" s="34" t="s">
        <v>88</v>
      </c>
      <c r="J53" s="34" t="s">
        <v>89</v>
      </c>
      <c r="K53" s="34" t="s">
        <v>84</v>
      </c>
      <c r="L53" s="34" t="s">
        <v>84</v>
      </c>
      <c r="M53" s="34" t="s">
        <v>88</v>
      </c>
      <c r="N53" s="34" t="s">
        <v>89</v>
      </c>
      <c r="O53" s="42" t="n">
        <v>4990</v>
      </c>
      <c r="P53" s="42" t="n">
        <v>440</v>
      </c>
      <c r="Q53" s="42" t="n">
        <v>140</v>
      </c>
      <c r="R53" s="92" t="n">
        <v>0.00706018518394558</v>
      </c>
      <c r="S53" s="58" t="n">
        <v>1</v>
      </c>
      <c r="T53" s="58" t="n">
        <v>10</v>
      </c>
      <c r="U53" s="34" t="s">
        <v>84</v>
      </c>
      <c r="V53" s="35" t="s">
        <v>103</v>
      </c>
      <c r="W53" s="42" t="n">
        <v>5</v>
      </c>
      <c r="X53" s="42" t="n">
        <v>3900</v>
      </c>
      <c r="Y53" s="50"/>
      <c r="Z53" s="41"/>
      <c r="AA53" s="42" t="n">
        <v>3000</v>
      </c>
      <c r="AB53" s="42" t="n">
        <f aca="false">AA53*5</f>
        <v>0</v>
      </c>
      <c r="AC53" s="43" t="n">
        <v>246</v>
      </c>
      <c r="AD53" s="43" t="n">
        <v>895</v>
      </c>
      <c r="AE53" s="43" t="n">
        <v>0</v>
      </c>
      <c r="AF53" s="59" t="n">
        <v>200</v>
      </c>
      <c r="AG53" s="39" t="s">
        <v>84</v>
      </c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58"/>
      <c r="AW53" s="58"/>
      <c r="AX53" s="58"/>
      <c r="AY53" s="58"/>
      <c r="AZ53" s="58"/>
      <c r="BA53" s="34"/>
      <c r="BB53" s="58"/>
      <c r="BC53" s="58"/>
      <c r="BD53" s="58"/>
      <c r="BE53" s="58"/>
      <c r="BF53" s="58"/>
      <c r="BG53" s="58"/>
      <c r="BH53" s="58"/>
      <c r="BI53" s="58"/>
      <c r="BJ53" s="58"/>
      <c r="BK53" s="34"/>
      <c r="BL53" s="58"/>
      <c r="BM53" s="58"/>
      <c r="BN53" s="34"/>
      <c r="BO53" s="34"/>
      <c r="BP53" s="34"/>
      <c r="BQ53" s="58"/>
      <c r="BR53" s="58"/>
      <c r="BS53" s="58"/>
      <c r="BT53" s="52"/>
      <c r="BU53" s="46"/>
      <c r="BV53" s="46"/>
      <c r="BW53" s="93" t="s">
        <v>92</v>
      </c>
      <c r="BX53" s="46"/>
    </row>
    <row r="54" customFormat="false" ht="12.8" hidden="false" customHeight="false" outlineLevel="0" collapsed="false">
      <c r="A54" s="35" t="s">
        <v>199</v>
      </c>
      <c r="B54" s="35" t="s">
        <v>93</v>
      </c>
      <c r="C54" s="34" t="s">
        <v>211</v>
      </c>
      <c r="D54" s="35" t="s">
        <v>212</v>
      </c>
      <c r="E54" s="34" t="s">
        <v>89</v>
      </c>
      <c r="F54" s="35" t="s">
        <v>148</v>
      </c>
      <c r="G54" s="34"/>
      <c r="H54" s="34" t="s">
        <v>84</v>
      </c>
      <c r="I54" s="34" t="s">
        <v>88</v>
      </c>
      <c r="J54" s="34" t="s">
        <v>88</v>
      </c>
      <c r="K54" s="34" t="s">
        <v>84</v>
      </c>
      <c r="L54" s="34" t="s">
        <v>84</v>
      </c>
      <c r="M54" s="34" t="s">
        <v>89</v>
      </c>
      <c r="N54" s="34" t="s">
        <v>89</v>
      </c>
      <c r="O54" s="42" t="n">
        <v>4160</v>
      </c>
      <c r="P54" s="42" t="n">
        <v>300</v>
      </c>
      <c r="Q54" s="42" t="n">
        <v>140</v>
      </c>
      <c r="R54" s="92" t="n">
        <v>0.00590277777882875</v>
      </c>
      <c r="S54" s="58" t="n">
        <v>1</v>
      </c>
      <c r="T54" s="58" t="n">
        <v>15</v>
      </c>
      <c r="U54" s="34" t="s">
        <v>84</v>
      </c>
      <c r="V54" s="35" t="s">
        <v>103</v>
      </c>
      <c r="W54" s="42" t="n">
        <v>5</v>
      </c>
      <c r="X54" s="42" t="n">
        <v>2700</v>
      </c>
      <c r="Y54" s="50"/>
      <c r="Z54" s="41"/>
      <c r="AA54" s="42" t="n">
        <v>3000</v>
      </c>
      <c r="AB54" s="42" t="n">
        <f aca="false">AA54*5</f>
        <v>0</v>
      </c>
      <c r="AC54" s="43" t="n">
        <v>234</v>
      </c>
      <c r="AD54" s="43" t="n">
        <v>234</v>
      </c>
      <c r="AE54" s="43" t="n">
        <v>0</v>
      </c>
      <c r="AF54" s="59" t="n">
        <v>200</v>
      </c>
      <c r="AG54" s="39" t="s">
        <v>84</v>
      </c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58"/>
      <c r="AW54" s="58"/>
      <c r="AX54" s="58"/>
      <c r="AY54" s="58"/>
      <c r="AZ54" s="58"/>
      <c r="BA54" s="34"/>
      <c r="BB54" s="58"/>
      <c r="BC54" s="58"/>
      <c r="BD54" s="58"/>
      <c r="BE54" s="58"/>
      <c r="BF54" s="58"/>
      <c r="BG54" s="58"/>
      <c r="BH54" s="58"/>
      <c r="BI54" s="86"/>
      <c r="BJ54" s="58"/>
      <c r="BK54" s="34"/>
      <c r="BL54" s="58"/>
      <c r="BM54" s="58"/>
      <c r="BN54" s="34"/>
      <c r="BO54" s="34"/>
      <c r="BP54" s="34"/>
      <c r="BQ54" s="58"/>
      <c r="BR54" s="58"/>
      <c r="BS54" s="58"/>
      <c r="BT54" s="52"/>
      <c r="BU54" s="46"/>
      <c r="BV54" s="46"/>
      <c r="BW54" s="46"/>
      <c r="BX54" s="93" t="s">
        <v>92</v>
      </c>
    </row>
    <row r="55" customFormat="false" ht="12.8" hidden="false" customHeight="false" outlineLevel="0" collapsed="false">
      <c r="A55" s="36" t="s">
        <v>53</v>
      </c>
      <c r="B55" s="36" t="s">
        <v>98</v>
      </c>
      <c r="C55" s="36" t="s">
        <v>213</v>
      </c>
      <c r="D55" s="36" t="s">
        <v>214</v>
      </c>
      <c r="E55" s="58" t="s">
        <v>89</v>
      </c>
      <c r="F55" s="36" t="s">
        <v>116</v>
      </c>
      <c r="G55" s="58"/>
      <c r="H55" s="36" t="s">
        <v>86</v>
      </c>
      <c r="I55" s="58" t="s">
        <v>89</v>
      </c>
      <c r="J55" s="58" t="s">
        <v>88</v>
      </c>
      <c r="K55" s="58" t="s">
        <v>87</v>
      </c>
      <c r="L55" s="34" t="s">
        <v>84</v>
      </c>
      <c r="M55" s="58" t="s">
        <v>88</v>
      </c>
      <c r="N55" s="58" t="s">
        <v>87</v>
      </c>
      <c r="O55" s="42" t="n">
        <v>26690</v>
      </c>
      <c r="P55" s="42" t="n">
        <v>2590</v>
      </c>
      <c r="Q55" s="42" t="n">
        <v>400</v>
      </c>
      <c r="R55" s="49" t="n">
        <v>0.0329861111094942</v>
      </c>
      <c r="S55" s="58" t="n">
        <v>6</v>
      </c>
      <c r="T55" s="58" t="n">
        <v>10</v>
      </c>
      <c r="U55" s="34" t="s">
        <v>84</v>
      </c>
      <c r="V55" s="36" t="s">
        <v>91</v>
      </c>
      <c r="W55" s="39" t="s">
        <v>84</v>
      </c>
      <c r="X55" s="42" t="n">
        <v>20780</v>
      </c>
      <c r="Y55" s="50" t="n">
        <v>20</v>
      </c>
      <c r="Z55" s="48" t="n">
        <v>0.02</v>
      </c>
      <c r="AA55" s="42" t="n">
        <v>700</v>
      </c>
      <c r="AB55" s="42" t="n">
        <f aca="false">AA55*5</f>
        <v>0</v>
      </c>
      <c r="AC55" s="43" t="n">
        <v>4720</v>
      </c>
      <c r="AD55" s="43" t="n">
        <v>1433</v>
      </c>
      <c r="AE55" s="43" t="n">
        <v>1367</v>
      </c>
      <c r="AF55" s="43" t="n">
        <v>5500</v>
      </c>
      <c r="AG55" s="42" t="n">
        <v>8500</v>
      </c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36" t="s">
        <v>20</v>
      </c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36" t="s">
        <v>92</v>
      </c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2"/>
      <c r="BU55" s="46"/>
      <c r="BV55" s="46"/>
      <c r="BW55" s="46"/>
      <c r="BX55" s="46"/>
    </row>
    <row r="56" customFormat="false" ht="12.8" hidden="false" customHeight="false" outlineLevel="0" collapsed="false">
      <c r="A56" s="36" t="s">
        <v>53</v>
      </c>
      <c r="B56" s="36" t="s">
        <v>98</v>
      </c>
      <c r="C56" s="36" t="s">
        <v>213</v>
      </c>
      <c r="D56" s="36" t="s">
        <v>215</v>
      </c>
      <c r="E56" s="58" t="s">
        <v>87</v>
      </c>
      <c r="F56" s="36" t="s">
        <v>165</v>
      </c>
      <c r="G56" s="58"/>
      <c r="H56" s="35" t="s">
        <v>96</v>
      </c>
      <c r="I56" s="58" t="s">
        <v>89</v>
      </c>
      <c r="J56" s="58" t="s">
        <v>88</v>
      </c>
      <c r="K56" s="58" t="s">
        <v>88</v>
      </c>
      <c r="L56" s="34" t="s">
        <v>84</v>
      </c>
      <c r="M56" s="58" t="s">
        <v>87</v>
      </c>
      <c r="N56" s="58" t="s">
        <v>87</v>
      </c>
      <c r="O56" s="42"/>
      <c r="P56" s="42"/>
      <c r="Q56" s="42"/>
      <c r="R56" s="49"/>
      <c r="S56" s="58" t="n">
        <v>6</v>
      </c>
      <c r="T56" s="58" t="n">
        <v>10</v>
      </c>
      <c r="U56" s="34" t="s">
        <v>84</v>
      </c>
      <c r="V56" s="36" t="s">
        <v>91</v>
      </c>
      <c r="W56" s="39" t="s">
        <v>84</v>
      </c>
      <c r="X56" s="42" t="n">
        <v>20780</v>
      </c>
      <c r="Y56" s="50" t="n">
        <v>20</v>
      </c>
      <c r="Z56" s="48" t="n">
        <v>0.02</v>
      </c>
      <c r="AA56" s="42" t="n">
        <v>850</v>
      </c>
      <c r="AB56" s="42" t="n">
        <f aca="false">AA56*5</f>
        <v>0</v>
      </c>
      <c r="AC56" s="43" t="n">
        <v>0</v>
      </c>
      <c r="AD56" s="43" t="n">
        <v>0</v>
      </c>
      <c r="AE56" s="43" t="n">
        <v>0</v>
      </c>
      <c r="AF56" s="43" t="n">
        <v>5500</v>
      </c>
      <c r="AG56" s="42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2"/>
      <c r="BU56" s="46"/>
      <c r="BV56" s="46"/>
      <c r="BW56" s="46"/>
      <c r="BX56" s="46"/>
    </row>
    <row r="57" customFormat="false" ht="12.8" hidden="false" customHeight="false" outlineLevel="0" collapsed="false">
      <c r="A57" s="36" t="s">
        <v>53</v>
      </c>
      <c r="B57" s="36" t="s">
        <v>98</v>
      </c>
      <c r="C57" s="36" t="s">
        <v>213</v>
      </c>
      <c r="D57" s="36" t="s">
        <v>216</v>
      </c>
      <c r="E57" s="58" t="s">
        <v>88</v>
      </c>
      <c r="F57" s="36" t="s">
        <v>163</v>
      </c>
      <c r="G57" s="58"/>
      <c r="H57" s="35" t="s">
        <v>135</v>
      </c>
      <c r="I57" s="58" t="s">
        <v>87</v>
      </c>
      <c r="J57" s="58" t="s">
        <v>89</v>
      </c>
      <c r="K57" s="58" t="s">
        <v>88</v>
      </c>
      <c r="L57" s="58" t="s">
        <v>89</v>
      </c>
      <c r="M57" s="58" t="s">
        <v>87</v>
      </c>
      <c r="N57" s="58" t="s">
        <v>88</v>
      </c>
      <c r="O57" s="42" t="n">
        <v>20010</v>
      </c>
      <c r="P57" s="42" t="n">
        <v>1850</v>
      </c>
      <c r="Q57" s="42" t="n">
        <v>1000</v>
      </c>
      <c r="R57" s="49" t="n">
        <v>0.0451388888905058</v>
      </c>
      <c r="S57" s="58" t="n">
        <v>6</v>
      </c>
      <c r="T57" s="58" t="n">
        <v>10</v>
      </c>
      <c r="U57" s="34" t="s">
        <v>84</v>
      </c>
      <c r="V57" s="36" t="s">
        <v>91</v>
      </c>
      <c r="W57" s="39" t="s">
        <v>84</v>
      </c>
      <c r="X57" s="42" t="n">
        <v>20780</v>
      </c>
      <c r="Y57" s="50" t="n">
        <v>30</v>
      </c>
      <c r="Z57" s="48" t="n">
        <v>0.05</v>
      </c>
      <c r="AA57" s="42" t="n">
        <v>850</v>
      </c>
      <c r="AB57" s="42" t="n">
        <f aca="false">AA57*5</f>
        <v>0</v>
      </c>
      <c r="AC57" s="43" t="n">
        <v>3600</v>
      </c>
      <c r="AD57" s="43" t="n">
        <v>3663</v>
      </c>
      <c r="AE57" s="43" t="n">
        <v>72</v>
      </c>
      <c r="AF57" s="43" t="n">
        <v>5500</v>
      </c>
      <c r="AG57" s="42" t="n">
        <v>9000</v>
      </c>
      <c r="AH57" s="48"/>
      <c r="AI57" s="48"/>
      <c r="AJ57" s="48"/>
      <c r="AK57" s="48"/>
      <c r="AL57" s="48"/>
      <c r="AM57" s="48"/>
      <c r="AN57" s="48"/>
      <c r="AO57" s="48"/>
      <c r="AP57" s="48" t="n">
        <v>0.3</v>
      </c>
      <c r="AQ57" s="48" t="n">
        <v>0.3</v>
      </c>
      <c r="AR57" s="48"/>
      <c r="AS57" s="48"/>
      <c r="AT57" s="48" t="n">
        <v>0.2</v>
      </c>
      <c r="AU57" s="48"/>
      <c r="AV57" s="58"/>
      <c r="AW57" s="58"/>
      <c r="AX57" s="58"/>
      <c r="AY57" s="58"/>
      <c r="AZ57" s="58"/>
      <c r="BA57" s="58"/>
      <c r="BB57" s="58"/>
      <c r="BC57" s="36" t="s">
        <v>92</v>
      </c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36" t="s">
        <v>92</v>
      </c>
      <c r="BQ57" s="58"/>
      <c r="BR57" s="58"/>
      <c r="BS57" s="58"/>
      <c r="BT57" s="52"/>
      <c r="BU57" s="46"/>
      <c r="BV57" s="46"/>
      <c r="BW57" s="46"/>
      <c r="BX57" s="46"/>
    </row>
    <row r="58" customFormat="false" ht="12.8" hidden="false" customHeight="false" outlineLevel="0" collapsed="false">
      <c r="A58" s="36" t="s">
        <v>53</v>
      </c>
      <c r="B58" s="36" t="s">
        <v>98</v>
      </c>
      <c r="C58" s="36" t="s">
        <v>217</v>
      </c>
      <c r="D58" s="36" t="s">
        <v>218</v>
      </c>
      <c r="E58" s="58" t="s">
        <v>89</v>
      </c>
      <c r="F58" s="36" t="s">
        <v>188</v>
      </c>
      <c r="G58" s="58"/>
      <c r="H58" s="36" t="s">
        <v>86</v>
      </c>
      <c r="I58" s="58" t="s">
        <v>87</v>
      </c>
      <c r="J58" s="58" t="s">
        <v>87</v>
      </c>
      <c r="K58" s="58" t="s">
        <v>88</v>
      </c>
      <c r="L58" s="58" t="s">
        <v>87</v>
      </c>
      <c r="M58" s="58" t="s">
        <v>87</v>
      </c>
      <c r="N58" s="58" t="s">
        <v>88</v>
      </c>
      <c r="O58" s="42" t="n">
        <v>25470</v>
      </c>
      <c r="P58" s="42" t="n">
        <v>2260</v>
      </c>
      <c r="Q58" s="42" t="n">
        <v>1840</v>
      </c>
      <c r="R58" s="49" t="n">
        <v>0.0657407407416031</v>
      </c>
      <c r="S58" s="58" t="n">
        <v>9</v>
      </c>
      <c r="T58" s="58" t="n">
        <v>10</v>
      </c>
      <c r="U58" s="34" t="s">
        <v>84</v>
      </c>
      <c r="V58" s="36" t="s">
        <v>91</v>
      </c>
      <c r="W58" s="39" t="s">
        <v>84</v>
      </c>
      <c r="X58" s="42" t="n">
        <v>23490</v>
      </c>
      <c r="Y58" s="50" t="n">
        <v>20</v>
      </c>
      <c r="Z58" s="48" t="n">
        <v>0.02</v>
      </c>
      <c r="AA58" s="42" t="n">
        <v>650</v>
      </c>
      <c r="AB58" s="42" t="n">
        <f aca="false">AA58*5</f>
        <v>0</v>
      </c>
      <c r="AC58" s="43" t="n">
        <v>3490</v>
      </c>
      <c r="AD58" s="43" t="n">
        <v>3316</v>
      </c>
      <c r="AE58" s="43" t="n">
        <v>349</v>
      </c>
      <c r="AF58" s="43" t="n">
        <v>5500</v>
      </c>
      <c r="AG58" s="42" t="n">
        <v>10000</v>
      </c>
      <c r="AH58" s="48"/>
      <c r="AI58" s="48"/>
      <c r="AJ58" s="48"/>
      <c r="AK58" s="48" t="n">
        <v>-0.3</v>
      </c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58"/>
      <c r="AW58" s="36" t="s">
        <v>92</v>
      </c>
      <c r="AX58" s="58"/>
      <c r="AY58" s="58"/>
      <c r="AZ58" s="58"/>
      <c r="BA58" s="58"/>
      <c r="BB58" s="58"/>
      <c r="BC58" s="36" t="s">
        <v>92</v>
      </c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2"/>
      <c r="BU58" s="46"/>
      <c r="BV58" s="46"/>
      <c r="BW58" s="46"/>
      <c r="BX58" s="46"/>
    </row>
    <row r="59" customFormat="false" ht="12.8" hidden="false" customHeight="false" outlineLevel="0" collapsed="false">
      <c r="A59" s="36" t="s">
        <v>53</v>
      </c>
      <c r="B59" s="36" t="s">
        <v>98</v>
      </c>
      <c r="C59" s="36" t="s">
        <v>217</v>
      </c>
      <c r="D59" s="36" t="s">
        <v>219</v>
      </c>
      <c r="E59" s="58" t="s">
        <v>87</v>
      </c>
      <c r="F59" s="36" t="s">
        <v>210</v>
      </c>
      <c r="G59" s="58"/>
      <c r="H59" s="58"/>
      <c r="I59" s="58" t="s">
        <v>87</v>
      </c>
      <c r="J59" s="58" t="s">
        <v>87</v>
      </c>
      <c r="K59" s="58" t="s">
        <v>88</v>
      </c>
      <c r="L59" s="58" t="s">
        <v>89</v>
      </c>
      <c r="M59" s="58" t="s">
        <v>87</v>
      </c>
      <c r="N59" s="58" t="s">
        <v>87</v>
      </c>
      <c r="O59" s="42"/>
      <c r="P59" s="42"/>
      <c r="Q59" s="42"/>
      <c r="R59" s="49"/>
      <c r="S59" s="58" t="n">
        <v>9</v>
      </c>
      <c r="T59" s="58" t="n">
        <v>10</v>
      </c>
      <c r="U59" s="34" t="s">
        <v>84</v>
      </c>
      <c r="V59" s="36" t="s">
        <v>91</v>
      </c>
      <c r="W59" s="39" t="s">
        <v>84</v>
      </c>
      <c r="X59" s="42" t="n">
        <v>23490</v>
      </c>
      <c r="Y59" s="50" t="n">
        <v>20</v>
      </c>
      <c r="Z59" s="48" t="n">
        <v>0.02</v>
      </c>
      <c r="AA59" s="42" t="n">
        <v>650</v>
      </c>
      <c r="AB59" s="42" t="n">
        <f aca="false">AA59*5</f>
        <v>0</v>
      </c>
      <c r="AC59" s="43" t="n">
        <v>0</v>
      </c>
      <c r="AD59" s="43" t="n">
        <v>0</v>
      </c>
      <c r="AE59" s="43" t="n">
        <v>0</v>
      </c>
      <c r="AF59" s="43" t="n">
        <v>5500</v>
      </c>
      <c r="AG59" s="42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2"/>
      <c r="BU59" s="46"/>
      <c r="BV59" s="46"/>
      <c r="BW59" s="46"/>
      <c r="BX59" s="46"/>
    </row>
    <row r="60" s="73" customFormat="true" ht="12.8" hidden="false" customHeight="false" outlineLevel="0" collapsed="false">
      <c r="A60" s="60" t="s">
        <v>53</v>
      </c>
      <c r="B60" s="60" t="s">
        <v>98</v>
      </c>
      <c r="C60" s="60" t="s">
        <v>217</v>
      </c>
      <c r="D60" s="60" t="s">
        <v>220</v>
      </c>
      <c r="E60" s="61" t="s">
        <v>88</v>
      </c>
      <c r="F60" s="60" t="s">
        <v>109</v>
      </c>
      <c r="G60" s="60"/>
      <c r="H60" s="60" t="s">
        <v>135</v>
      </c>
      <c r="I60" s="61" t="s">
        <v>89</v>
      </c>
      <c r="J60" s="61" t="s">
        <v>88</v>
      </c>
      <c r="K60" s="61" t="s">
        <v>88</v>
      </c>
      <c r="L60" s="62" t="s">
        <v>84</v>
      </c>
      <c r="M60" s="61" t="s">
        <v>87</v>
      </c>
      <c r="N60" s="61" t="s">
        <v>88</v>
      </c>
      <c r="O60" s="68"/>
      <c r="P60" s="68"/>
      <c r="Q60" s="68"/>
      <c r="R60" s="89"/>
      <c r="S60" s="60" t="n">
        <v>9</v>
      </c>
      <c r="T60" s="60" t="n">
        <v>10</v>
      </c>
      <c r="U60" s="62" t="s">
        <v>84</v>
      </c>
      <c r="V60" s="60" t="s">
        <v>91</v>
      </c>
      <c r="W60" s="90" t="s">
        <v>84</v>
      </c>
      <c r="X60" s="68" t="n">
        <v>23490</v>
      </c>
      <c r="Y60" s="69" t="n">
        <v>20</v>
      </c>
      <c r="Z60" s="70" t="n">
        <v>0.02</v>
      </c>
      <c r="AA60" s="68" t="n">
        <v>650</v>
      </c>
      <c r="AB60" s="68" t="n">
        <f aca="false">AA60*5</f>
        <v>0</v>
      </c>
      <c r="AC60" s="63" t="n">
        <v>0</v>
      </c>
      <c r="AD60" s="63" t="n">
        <v>0</v>
      </c>
      <c r="AE60" s="63" t="n">
        <v>0</v>
      </c>
      <c r="AF60" s="63" t="n">
        <v>5500</v>
      </c>
      <c r="AG60" s="68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60" t="s">
        <v>20</v>
      </c>
      <c r="AW60" s="60"/>
      <c r="AX60" s="60"/>
      <c r="AY60" s="60"/>
      <c r="AZ60" s="60"/>
      <c r="BA60" s="60" t="s">
        <v>92</v>
      </c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 t="s">
        <v>92</v>
      </c>
      <c r="BQ60" s="60"/>
      <c r="BR60" s="60"/>
      <c r="BS60" s="60"/>
      <c r="BT60" s="72"/>
      <c r="BU60" s="91"/>
      <c r="BV60" s="91"/>
      <c r="BW60" s="91"/>
      <c r="BX60" s="91"/>
    </row>
    <row r="61" customFormat="false" ht="12.8" hidden="false" customHeight="false" outlineLevel="0" collapsed="false">
      <c r="A61" s="36" t="s">
        <v>53</v>
      </c>
      <c r="B61" s="35" t="s">
        <v>113</v>
      </c>
      <c r="C61" s="36" t="s">
        <v>221</v>
      </c>
      <c r="D61" s="35" t="s">
        <v>222</v>
      </c>
      <c r="E61" s="34" t="s">
        <v>89</v>
      </c>
      <c r="F61" s="36" t="s">
        <v>148</v>
      </c>
      <c r="G61" s="34"/>
      <c r="H61" s="35" t="s">
        <v>96</v>
      </c>
      <c r="I61" s="34" t="s">
        <v>88</v>
      </c>
      <c r="J61" s="34" t="s">
        <v>88</v>
      </c>
      <c r="K61" s="34" t="s">
        <v>88</v>
      </c>
      <c r="L61" s="34" t="s">
        <v>89</v>
      </c>
      <c r="M61" s="34" t="s">
        <v>88</v>
      </c>
      <c r="N61" s="34" t="s">
        <v>88</v>
      </c>
      <c r="O61" s="42" t="n">
        <v>21360</v>
      </c>
      <c r="P61" s="42" t="n">
        <v>1430</v>
      </c>
      <c r="Q61" s="42" t="n">
        <v>860</v>
      </c>
      <c r="R61" s="49" t="n">
        <v>0.0384259259262762</v>
      </c>
      <c r="S61" s="58" t="n">
        <v>8</v>
      </c>
      <c r="T61" s="58" t="n">
        <v>10</v>
      </c>
      <c r="U61" s="34" t="s">
        <v>84</v>
      </c>
      <c r="V61" s="36" t="s">
        <v>91</v>
      </c>
      <c r="W61" s="39" t="s">
        <v>84</v>
      </c>
      <c r="X61" s="42" t="n">
        <v>31240</v>
      </c>
      <c r="Y61" s="50" t="n">
        <v>20</v>
      </c>
      <c r="Z61" s="48" t="n">
        <v>0.02</v>
      </c>
      <c r="AA61" s="42" t="n">
        <v>800</v>
      </c>
      <c r="AB61" s="42" t="n">
        <f aca="false">AA61*5</f>
        <v>0</v>
      </c>
      <c r="AC61" s="43" t="n">
        <v>1400</v>
      </c>
      <c r="AD61" s="43" t="n">
        <v>470</v>
      </c>
      <c r="AE61" s="43" t="n">
        <v>42</v>
      </c>
      <c r="AF61" s="43" t="n">
        <v>5500</v>
      </c>
      <c r="AG61" s="42" t="n">
        <v>12000</v>
      </c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34"/>
      <c r="AW61" s="58"/>
      <c r="AX61" s="58"/>
      <c r="AY61" s="36" t="s">
        <v>92</v>
      </c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2"/>
      <c r="BU61" s="46"/>
      <c r="BV61" s="46"/>
      <c r="BW61" s="46"/>
      <c r="BX61" s="46"/>
    </row>
    <row r="62" customFormat="false" ht="12.8" hidden="false" customHeight="false" outlineLevel="0" collapsed="false">
      <c r="A62" s="36" t="s">
        <v>53</v>
      </c>
      <c r="B62" s="35" t="s">
        <v>113</v>
      </c>
      <c r="C62" s="36" t="s">
        <v>223</v>
      </c>
      <c r="D62" s="35" t="s">
        <v>224</v>
      </c>
      <c r="E62" s="34" t="s">
        <v>89</v>
      </c>
      <c r="F62" s="36" t="s">
        <v>148</v>
      </c>
      <c r="G62" s="34"/>
      <c r="H62" s="36" t="s">
        <v>86</v>
      </c>
      <c r="I62" s="34" t="s">
        <v>89</v>
      </c>
      <c r="J62" s="34" t="s">
        <v>88</v>
      </c>
      <c r="K62" s="34" t="s">
        <v>88</v>
      </c>
      <c r="L62" s="34" t="s">
        <v>88</v>
      </c>
      <c r="M62" s="34" t="s">
        <v>89</v>
      </c>
      <c r="N62" s="34" t="s">
        <v>87</v>
      </c>
      <c r="O62" s="42" t="n">
        <v>21450</v>
      </c>
      <c r="P62" s="42" t="n">
        <v>2750</v>
      </c>
      <c r="Q62" s="42" t="n">
        <v>480</v>
      </c>
      <c r="R62" s="49" t="n">
        <v>0.0370370370364981</v>
      </c>
      <c r="S62" s="58" t="n">
        <v>10</v>
      </c>
      <c r="T62" s="58" t="n">
        <v>10</v>
      </c>
      <c r="U62" s="34" t="s">
        <v>84</v>
      </c>
      <c r="V62" s="36" t="s">
        <v>91</v>
      </c>
      <c r="W62" s="39" t="s">
        <v>84</v>
      </c>
      <c r="X62" s="42" t="n">
        <v>24920</v>
      </c>
      <c r="Y62" s="50" t="n">
        <v>30</v>
      </c>
      <c r="Z62" s="48" t="n">
        <v>0.05</v>
      </c>
      <c r="AA62" s="42" t="n">
        <v>850</v>
      </c>
      <c r="AB62" s="42" t="n">
        <f aca="false">AA62*5</f>
        <v>0</v>
      </c>
      <c r="AC62" s="43" t="n">
        <v>6673</v>
      </c>
      <c r="AD62" s="43" t="n">
        <v>760</v>
      </c>
      <c r="AE62" s="43" t="n">
        <v>752</v>
      </c>
      <c r="AF62" s="43" t="n">
        <v>5500</v>
      </c>
      <c r="AG62" s="42" t="n">
        <v>11500</v>
      </c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36" t="s">
        <v>20</v>
      </c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36" t="s">
        <v>92</v>
      </c>
      <c r="BO62" s="58"/>
      <c r="BP62" s="58"/>
      <c r="BQ62" s="58"/>
      <c r="BR62" s="58"/>
      <c r="BS62" s="58"/>
      <c r="BT62" s="52"/>
      <c r="BU62" s="46"/>
      <c r="BV62" s="46"/>
      <c r="BW62" s="46"/>
      <c r="BX62" s="46"/>
    </row>
    <row r="63" customFormat="false" ht="12.8" hidden="false" customHeight="false" outlineLevel="0" collapsed="false">
      <c r="A63" s="36" t="s">
        <v>53</v>
      </c>
      <c r="B63" s="35" t="s">
        <v>113</v>
      </c>
      <c r="C63" s="36" t="s">
        <v>223</v>
      </c>
      <c r="D63" s="35" t="s">
        <v>225</v>
      </c>
      <c r="E63" s="34" t="s">
        <v>87</v>
      </c>
      <c r="F63" s="36" t="s">
        <v>126</v>
      </c>
      <c r="G63" s="34"/>
      <c r="H63" s="36" t="s">
        <v>86</v>
      </c>
      <c r="I63" s="34" t="s">
        <v>87</v>
      </c>
      <c r="J63" s="34" t="s">
        <v>87</v>
      </c>
      <c r="K63" s="34" t="s">
        <v>88</v>
      </c>
      <c r="L63" s="34" t="s">
        <v>88</v>
      </c>
      <c r="M63" s="34" t="s">
        <v>89</v>
      </c>
      <c r="N63" s="34" t="s">
        <v>87</v>
      </c>
      <c r="O63" s="42" t="n">
        <v>21590</v>
      </c>
      <c r="P63" s="42" t="n">
        <v>2430</v>
      </c>
      <c r="Q63" s="42" t="n">
        <v>670</v>
      </c>
      <c r="R63" s="49" t="n">
        <v>0.0421296296299261</v>
      </c>
      <c r="S63" s="58" t="n">
        <v>10</v>
      </c>
      <c r="T63" s="58" t="n">
        <v>10</v>
      </c>
      <c r="U63" s="34" t="s">
        <v>84</v>
      </c>
      <c r="V63" s="36" t="s">
        <v>91</v>
      </c>
      <c r="W63" s="39" t="s">
        <v>84</v>
      </c>
      <c r="X63" s="42" t="n">
        <v>23490</v>
      </c>
      <c r="Y63" s="50" t="n">
        <v>30</v>
      </c>
      <c r="Z63" s="48" t="n">
        <v>0.05</v>
      </c>
      <c r="AA63" s="42" t="n">
        <v>850</v>
      </c>
      <c r="AB63" s="42" t="n">
        <f aca="false">AA63*5</f>
        <v>0</v>
      </c>
      <c r="AC63" s="43" t="n">
        <v>4282</v>
      </c>
      <c r="AD63" s="43" t="n">
        <v>1154</v>
      </c>
      <c r="AE63" s="43" t="n">
        <v>102</v>
      </c>
      <c r="AF63" s="43" t="n">
        <v>5500</v>
      </c>
      <c r="AG63" s="42" t="n">
        <v>11500</v>
      </c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36" t="s">
        <v>20</v>
      </c>
      <c r="AW63" s="58"/>
      <c r="AX63" s="58"/>
      <c r="AY63" s="58"/>
      <c r="AZ63" s="58"/>
      <c r="BA63" s="58"/>
      <c r="BB63" s="58"/>
      <c r="BC63" s="36" t="s">
        <v>92</v>
      </c>
      <c r="BD63" s="58"/>
      <c r="BE63" s="58"/>
      <c r="BF63" s="58"/>
      <c r="BG63" s="58"/>
      <c r="BH63" s="58"/>
      <c r="BI63" s="58"/>
      <c r="BJ63" s="58"/>
      <c r="BK63" s="58"/>
      <c r="BL63" s="58"/>
      <c r="BM63" s="35" t="s">
        <v>92</v>
      </c>
      <c r="BN63" s="58"/>
      <c r="BO63" s="58"/>
      <c r="BP63" s="58"/>
      <c r="BQ63" s="58"/>
      <c r="BR63" s="58"/>
      <c r="BS63" s="58"/>
      <c r="BT63" s="52"/>
      <c r="BU63" s="46"/>
      <c r="BV63" s="46"/>
      <c r="BW63" s="46"/>
      <c r="BX63" s="46"/>
    </row>
    <row r="64" customFormat="false" ht="12.8" hidden="false" customHeight="false" outlineLevel="0" collapsed="false">
      <c r="A64" s="36" t="s">
        <v>53</v>
      </c>
      <c r="B64" s="35" t="s">
        <v>113</v>
      </c>
      <c r="C64" s="36" t="s">
        <v>223</v>
      </c>
      <c r="D64" s="35" t="s">
        <v>226</v>
      </c>
      <c r="E64" s="34" t="s">
        <v>88</v>
      </c>
      <c r="F64" s="36" t="s">
        <v>148</v>
      </c>
      <c r="G64" s="35" t="s">
        <v>227</v>
      </c>
      <c r="H64" s="36" t="s">
        <v>86</v>
      </c>
      <c r="I64" s="34" t="s">
        <v>89</v>
      </c>
      <c r="J64" s="34" t="s">
        <v>88</v>
      </c>
      <c r="K64" s="34" t="s">
        <v>88</v>
      </c>
      <c r="L64" s="34" t="s">
        <v>88</v>
      </c>
      <c r="M64" s="34" t="s">
        <v>87</v>
      </c>
      <c r="N64" s="34" t="s">
        <v>89</v>
      </c>
      <c r="O64" s="42" t="n">
        <v>21450</v>
      </c>
      <c r="P64" s="42" t="n">
        <v>2750</v>
      </c>
      <c r="Q64" s="42" t="n">
        <v>480</v>
      </c>
      <c r="R64" s="49" t="n">
        <v>0.0370370370364981</v>
      </c>
      <c r="S64" s="58" t="n">
        <v>10</v>
      </c>
      <c r="T64" s="58" t="n">
        <v>8</v>
      </c>
      <c r="U64" s="34" t="s">
        <v>84</v>
      </c>
      <c r="V64" s="36" t="s">
        <v>91</v>
      </c>
      <c r="W64" s="39" t="s">
        <v>84</v>
      </c>
      <c r="X64" s="42" t="n">
        <v>24920</v>
      </c>
      <c r="Y64" s="50" t="n">
        <v>20</v>
      </c>
      <c r="Z64" s="48" t="n">
        <v>0.02</v>
      </c>
      <c r="AA64" s="42" t="n">
        <v>1000</v>
      </c>
      <c r="AB64" s="42" t="n">
        <f aca="false">AA64*5</f>
        <v>0</v>
      </c>
      <c r="AC64" s="43" t="n">
        <v>6673</v>
      </c>
      <c r="AD64" s="43" t="n">
        <v>760</v>
      </c>
      <c r="AE64" s="43" t="n">
        <v>752</v>
      </c>
      <c r="AF64" s="43" t="n">
        <v>5500</v>
      </c>
      <c r="AG64" s="42" t="n">
        <v>10000</v>
      </c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36" t="s">
        <v>20</v>
      </c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35" t="s">
        <v>92</v>
      </c>
      <c r="BK64" s="58"/>
      <c r="BL64" s="58"/>
      <c r="BM64" s="34"/>
      <c r="BN64" s="58"/>
      <c r="BO64" s="58"/>
      <c r="BP64" s="58"/>
      <c r="BQ64" s="58"/>
      <c r="BR64" s="58"/>
      <c r="BS64" s="58"/>
      <c r="BT64" s="52"/>
      <c r="BU64" s="46"/>
      <c r="BV64" s="46"/>
      <c r="BW64" s="46"/>
      <c r="BX64" s="46"/>
    </row>
    <row r="65" customFormat="false" ht="12.8" hidden="false" customHeight="false" outlineLevel="0" collapsed="false">
      <c r="A65" s="36" t="s">
        <v>53</v>
      </c>
      <c r="B65" s="35" t="s">
        <v>113</v>
      </c>
      <c r="C65" s="58" t="s">
        <v>228</v>
      </c>
      <c r="D65" s="35" t="s">
        <v>229</v>
      </c>
      <c r="E65" s="34" t="s">
        <v>89</v>
      </c>
      <c r="F65" s="36" t="s">
        <v>143</v>
      </c>
      <c r="G65" s="34"/>
      <c r="H65" s="34"/>
      <c r="I65" s="34"/>
      <c r="J65" s="34"/>
      <c r="K65" s="34"/>
      <c r="L65" s="58"/>
      <c r="M65" s="58"/>
      <c r="N65" s="58"/>
      <c r="O65" s="42"/>
      <c r="P65" s="42"/>
      <c r="Q65" s="42"/>
      <c r="R65" s="49"/>
      <c r="S65" s="58"/>
      <c r="T65" s="58" t="n">
        <v>10</v>
      </c>
      <c r="U65" s="34" t="s">
        <v>84</v>
      </c>
      <c r="V65" s="36" t="s">
        <v>91</v>
      </c>
      <c r="W65" s="39" t="s">
        <v>84</v>
      </c>
      <c r="X65" s="42"/>
      <c r="Y65" s="50"/>
      <c r="Z65" s="48"/>
      <c r="AA65" s="42"/>
      <c r="AB65" s="42" t="n">
        <f aca="false">AA65*5</f>
        <v>0</v>
      </c>
      <c r="AC65" s="43" t="n">
        <v>0</v>
      </c>
      <c r="AD65" s="43" t="n">
        <v>0</v>
      </c>
      <c r="AE65" s="43" t="n">
        <v>0</v>
      </c>
      <c r="AF65" s="43" t="n">
        <v>5500</v>
      </c>
      <c r="AG65" s="42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34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2"/>
      <c r="BU65" s="46"/>
      <c r="BV65" s="46"/>
      <c r="BW65" s="46"/>
      <c r="BX65" s="46"/>
    </row>
    <row r="66" customFormat="false" ht="12.8" hidden="false" customHeight="false" outlineLevel="0" collapsed="false">
      <c r="A66" s="36" t="s">
        <v>53</v>
      </c>
      <c r="B66" s="35" t="s">
        <v>113</v>
      </c>
      <c r="C66" s="36" t="s">
        <v>230</v>
      </c>
      <c r="D66" s="35" t="s">
        <v>231</v>
      </c>
      <c r="E66" s="34" t="s">
        <v>89</v>
      </c>
      <c r="F66" s="36" t="s">
        <v>148</v>
      </c>
      <c r="G66" s="34"/>
      <c r="H66" s="35" t="s">
        <v>135</v>
      </c>
      <c r="I66" s="34" t="s">
        <v>102</v>
      </c>
      <c r="J66" s="34" t="s">
        <v>88</v>
      </c>
      <c r="K66" s="34" t="s">
        <v>87</v>
      </c>
      <c r="L66" s="34" t="s">
        <v>88</v>
      </c>
      <c r="M66" s="58" t="s">
        <v>87</v>
      </c>
      <c r="N66" s="34" t="s">
        <v>88</v>
      </c>
      <c r="O66" s="42" t="n">
        <v>28080</v>
      </c>
      <c r="P66" s="42" t="n">
        <v>3220</v>
      </c>
      <c r="Q66" s="42" t="n">
        <v>660</v>
      </c>
      <c r="R66" s="49" t="n">
        <v>0.0478009259277314</v>
      </c>
      <c r="S66" s="58" t="n">
        <v>15</v>
      </c>
      <c r="T66" s="58" t="n">
        <v>8</v>
      </c>
      <c r="U66" s="34" t="s">
        <v>84</v>
      </c>
      <c r="V66" s="36" t="s">
        <v>91</v>
      </c>
      <c r="W66" s="39" t="s">
        <v>84</v>
      </c>
      <c r="X66" s="42" t="n">
        <v>40560</v>
      </c>
      <c r="Y66" s="50" t="n">
        <v>20</v>
      </c>
      <c r="Z66" s="48" t="n">
        <v>0.02</v>
      </c>
      <c r="AA66" s="42" t="n">
        <v>650</v>
      </c>
      <c r="AB66" s="42" t="n">
        <f aca="false">AA66*5</f>
        <v>0</v>
      </c>
      <c r="AC66" s="43" t="n">
        <v>10125</v>
      </c>
      <c r="AD66" s="43" t="n">
        <v>166</v>
      </c>
      <c r="AE66" s="43" t="n">
        <v>1023</v>
      </c>
      <c r="AF66" s="43" t="n">
        <v>5500</v>
      </c>
      <c r="AG66" s="42" t="n">
        <v>11000</v>
      </c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36" t="s">
        <v>157</v>
      </c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35" t="s">
        <v>92</v>
      </c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2"/>
      <c r="BU66" s="46"/>
      <c r="BV66" s="46"/>
      <c r="BW66" s="46"/>
      <c r="BX66" s="46"/>
    </row>
    <row r="67" customFormat="false" ht="12.8" hidden="false" customHeight="false" outlineLevel="0" collapsed="false">
      <c r="A67" s="36" t="s">
        <v>53</v>
      </c>
      <c r="B67" s="36" t="s">
        <v>158</v>
      </c>
      <c r="C67" s="36" t="s">
        <v>232</v>
      </c>
      <c r="D67" s="35" t="s">
        <v>233</v>
      </c>
      <c r="E67" s="58" t="s">
        <v>89</v>
      </c>
      <c r="F67" s="36" t="s">
        <v>176</v>
      </c>
      <c r="G67" s="35" t="s">
        <v>131</v>
      </c>
      <c r="H67" s="35" t="s">
        <v>86</v>
      </c>
      <c r="I67" s="34" t="s">
        <v>89</v>
      </c>
      <c r="J67" s="34" t="s">
        <v>88</v>
      </c>
      <c r="K67" s="34" t="s">
        <v>87</v>
      </c>
      <c r="L67" s="34" t="s">
        <v>84</v>
      </c>
      <c r="M67" s="58" t="s">
        <v>87</v>
      </c>
      <c r="N67" s="58" t="s">
        <v>87</v>
      </c>
      <c r="O67" s="42" t="n">
        <v>23020</v>
      </c>
      <c r="P67" s="42" t="n">
        <v>2630</v>
      </c>
      <c r="Q67" s="42" t="n">
        <v>430</v>
      </c>
      <c r="R67" s="49" t="n">
        <v>0.0343749999992724</v>
      </c>
      <c r="S67" s="58" t="n">
        <v>6</v>
      </c>
      <c r="T67" s="58" t="n">
        <v>10</v>
      </c>
      <c r="U67" s="34" t="s">
        <v>84</v>
      </c>
      <c r="V67" s="36" t="s">
        <v>91</v>
      </c>
      <c r="W67" s="39" t="s">
        <v>84</v>
      </c>
      <c r="X67" s="42" t="n">
        <v>27960</v>
      </c>
      <c r="Y67" s="50" t="n">
        <v>20</v>
      </c>
      <c r="Z67" s="48" t="n">
        <v>0.02</v>
      </c>
      <c r="AA67" s="42" t="n">
        <v>850</v>
      </c>
      <c r="AB67" s="42" t="n">
        <f aca="false">AA67*5</f>
        <v>0</v>
      </c>
      <c r="AC67" s="43" t="n">
        <v>5175</v>
      </c>
      <c r="AD67" s="43" t="n">
        <v>229</v>
      </c>
      <c r="AE67" s="43" t="n">
        <v>506</v>
      </c>
      <c r="AF67" s="43" t="n">
        <v>5500</v>
      </c>
      <c r="AG67" s="42" t="n">
        <v>8500</v>
      </c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35" t="s">
        <v>150</v>
      </c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2"/>
      <c r="BU67" s="46"/>
      <c r="BV67" s="46"/>
      <c r="BW67" s="46"/>
      <c r="BX67" s="46"/>
    </row>
    <row r="68" customFormat="false" ht="12.8" hidden="false" customHeight="false" outlineLevel="0" collapsed="false">
      <c r="A68" s="36" t="s">
        <v>53</v>
      </c>
      <c r="B68" s="36" t="s">
        <v>158</v>
      </c>
      <c r="C68" s="36" t="s">
        <v>232</v>
      </c>
      <c r="D68" s="36" t="s">
        <v>234</v>
      </c>
      <c r="E68" s="58" t="s">
        <v>87</v>
      </c>
      <c r="F68" s="36" t="s">
        <v>143</v>
      </c>
      <c r="G68" s="35" t="s">
        <v>131</v>
      </c>
      <c r="H68" s="36" t="s">
        <v>86</v>
      </c>
      <c r="I68" s="58" t="s">
        <v>89</v>
      </c>
      <c r="J68" s="58" t="s">
        <v>87</v>
      </c>
      <c r="K68" s="58" t="s">
        <v>88</v>
      </c>
      <c r="L68" s="34" t="s">
        <v>84</v>
      </c>
      <c r="M68" s="58" t="s">
        <v>87</v>
      </c>
      <c r="N68" s="58" t="s">
        <v>87</v>
      </c>
      <c r="O68" s="42"/>
      <c r="P68" s="42"/>
      <c r="Q68" s="42"/>
      <c r="R68" s="49"/>
      <c r="S68" s="58" t="n">
        <v>6</v>
      </c>
      <c r="T68" s="58" t="n">
        <v>10</v>
      </c>
      <c r="U68" s="34" t="s">
        <v>84</v>
      </c>
      <c r="V68" s="36" t="s">
        <v>91</v>
      </c>
      <c r="W68" s="39" t="s">
        <v>84</v>
      </c>
      <c r="X68" s="42" t="n">
        <v>27960</v>
      </c>
      <c r="Y68" s="50" t="n">
        <v>20</v>
      </c>
      <c r="Z68" s="48" t="n">
        <v>0.02</v>
      </c>
      <c r="AA68" s="42" t="n">
        <v>850</v>
      </c>
      <c r="AB68" s="42" t="n">
        <f aca="false">AA68*5</f>
        <v>0</v>
      </c>
      <c r="AC68" s="43" t="n">
        <v>0</v>
      </c>
      <c r="AD68" s="43" t="n">
        <v>0</v>
      </c>
      <c r="AE68" s="43" t="n">
        <v>0</v>
      </c>
      <c r="AF68" s="43" t="n">
        <v>5500</v>
      </c>
      <c r="AG68" s="42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36" t="s">
        <v>157</v>
      </c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2"/>
      <c r="BU68" s="46"/>
      <c r="BV68" s="46"/>
      <c r="BW68" s="46"/>
      <c r="BX68" s="46"/>
    </row>
    <row r="69" customFormat="false" ht="12.8" hidden="false" customHeight="false" outlineLevel="0" collapsed="false">
      <c r="A69" s="36" t="s">
        <v>53</v>
      </c>
      <c r="B69" s="36" t="s">
        <v>158</v>
      </c>
      <c r="C69" s="36" t="s">
        <v>235</v>
      </c>
      <c r="D69" s="36" t="s">
        <v>236</v>
      </c>
      <c r="E69" s="58" t="s">
        <v>89</v>
      </c>
      <c r="F69" s="36" t="s">
        <v>237</v>
      </c>
      <c r="G69" s="58"/>
      <c r="H69" s="36" t="s">
        <v>96</v>
      </c>
      <c r="I69" s="58" t="s">
        <v>88</v>
      </c>
      <c r="J69" s="58" t="s">
        <v>88</v>
      </c>
      <c r="K69" s="58" t="s">
        <v>88</v>
      </c>
      <c r="L69" s="58" t="s">
        <v>89</v>
      </c>
      <c r="M69" s="58" t="s">
        <v>87</v>
      </c>
      <c r="N69" s="58" t="s">
        <v>88</v>
      </c>
      <c r="O69" s="42" t="n">
        <v>17460</v>
      </c>
      <c r="P69" s="42" t="n">
        <v>1740</v>
      </c>
      <c r="Q69" s="42" t="n">
        <v>1230</v>
      </c>
      <c r="R69" s="49" t="n">
        <v>0.0467592592576693</v>
      </c>
      <c r="S69" s="58" t="n">
        <v>8</v>
      </c>
      <c r="T69" s="58" t="n">
        <v>10</v>
      </c>
      <c r="U69" s="34" t="s">
        <v>84</v>
      </c>
      <c r="V69" s="36" t="s">
        <v>91</v>
      </c>
      <c r="W69" s="39" t="s">
        <v>84</v>
      </c>
      <c r="X69" s="42" t="n">
        <v>29570</v>
      </c>
      <c r="Y69" s="50" t="n">
        <v>20</v>
      </c>
      <c r="Z69" s="48" t="n">
        <v>0.02</v>
      </c>
      <c r="AA69" s="42" t="n">
        <v>850</v>
      </c>
      <c r="AB69" s="42" t="n">
        <f aca="false">AA69*5</f>
        <v>0</v>
      </c>
      <c r="AC69" s="43" t="n">
        <v>1800</v>
      </c>
      <c r="AD69" s="43" t="n">
        <v>1195</v>
      </c>
      <c r="AE69" s="43" t="n">
        <v>252</v>
      </c>
      <c r="AF69" s="43" t="n">
        <v>5500</v>
      </c>
      <c r="AG69" s="42" t="n">
        <v>10000</v>
      </c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58"/>
      <c r="AW69" s="58"/>
      <c r="AX69" s="58"/>
      <c r="AY69" s="36" t="s">
        <v>92</v>
      </c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36" t="s">
        <v>92</v>
      </c>
      <c r="BQ69" s="58"/>
      <c r="BR69" s="58"/>
      <c r="BS69" s="58"/>
      <c r="BT69" s="52"/>
      <c r="BU69" s="46"/>
      <c r="BV69" s="46"/>
      <c r="BW69" s="46"/>
      <c r="BX69" s="46"/>
    </row>
    <row r="70" customFormat="false" ht="12.8" hidden="false" customHeight="false" outlineLevel="0" collapsed="false">
      <c r="A70" s="36" t="s">
        <v>53</v>
      </c>
      <c r="B70" s="36" t="s">
        <v>158</v>
      </c>
      <c r="C70" s="36" t="s">
        <v>235</v>
      </c>
      <c r="D70" s="36" t="s">
        <v>218</v>
      </c>
      <c r="E70" s="58" t="s">
        <v>87</v>
      </c>
      <c r="F70" s="36" t="s">
        <v>188</v>
      </c>
      <c r="G70" s="58"/>
      <c r="H70" s="36" t="s">
        <v>96</v>
      </c>
      <c r="I70" s="58" t="s">
        <v>88</v>
      </c>
      <c r="J70" s="58" t="s">
        <v>87</v>
      </c>
      <c r="K70" s="58" t="s">
        <v>88</v>
      </c>
      <c r="L70" s="58" t="s">
        <v>89</v>
      </c>
      <c r="M70" s="58" t="s">
        <v>87</v>
      </c>
      <c r="N70" s="58" t="s">
        <v>88</v>
      </c>
      <c r="O70" s="42" t="n">
        <v>17460</v>
      </c>
      <c r="P70" s="42" t="n">
        <v>1740</v>
      </c>
      <c r="Q70" s="42" t="n">
        <v>1230</v>
      </c>
      <c r="R70" s="49" t="n">
        <v>0.0467592592576693</v>
      </c>
      <c r="S70" s="58" t="n">
        <v>8</v>
      </c>
      <c r="T70" s="58" t="n">
        <v>10</v>
      </c>
      <c r="U70" s="34" t="s">
        <v>84</v>
      </c>
      <c r="V70" s="36" t="s">
        <v>91</v>
      </c>
      <c r="W70" s="39" t="s">
        <v>84</v>
      </c>
      <c r="X70" s="42" t="n">
        <v>29570</v>
      </c>
      <c r="Y70" s="50" t="n">
        <v>20</v>
      </c>
      <c r="Z70" s="48" t="n">
        <v>0.02</v>
      </c>
      <c r="AA70" s="42" t="n">
        <v>850</v>
      </c>
      <c r="AB70" s="42" t="n">
        <f aca="false">AA70*5</f>
        <v>0</v>
      </c>
      <c r="AC70" s="43" t="n">
        <v>1800</v>
      </c>
      <c r="AD70" s="43" t="n">
        <v>4075</v>
      </c>
      <c r="AE70" s="43" t="n">
        <v>252</v>
      </c>
      <c r="AF70" s="43" t="n">
        <v>5500</v>
      </c>
      <c r="AG70" s="42" t="n">
        <v>9000</v>
      </c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58"/>
      <c r="AW70" s="35" t="s">
        <v>92</v>
      </c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36" t="s">
        <v>92</v>
      </c>
      <c r="BR70" s="58"/>
      <c r="BS70" s="58"/>
      <c r="BT70" s="52"/>
      <c r="BU70" s="46"/>
      <c r="BV70" s="46"/>
      <c r="BW70" s="46"/>
      <c r="BX70" s="46"/>
    </row>
    <row r="71" customFormat="false" ht="12.8" hidden="false" customHeight="false" outlineLevel="0" collapsed="false">
      <c r="A71" s="36" t="s">
        <v>53</v>
      </c>
      <c r="B71" s="36" t="s">
        <v>158</v>
      </c>
      <c r="C71" s="36" t="s">
        <v>235</v>
      </c>
      <c r="D71" s="36" t="s">
        <v>222</v>
      </c>
      <c r="E71" s="58" t="s">
        <v>88</v>
      </c>
      <c r="F71" s="36" t="s">
        <v>238</v>
      </c>
      <c r="G71" s="58"/>
      <c r="H71" s="35" t="s">
        <v>96</v>
      </c>
      <c r="I71" s="58" t="s">
        <v>88</v>
      </c>
      <c r="J71" s="58" t="s">
        <v>88</v>
      </c>
      <c r="K71" s="58" t="s">
        <v>88</v>
      </c>
      <c r="L71" s="58" t="s">
        <v>89</v>
      </c>
      <c r="M71" s="58" t="s">
        <v>87</v>
      </c>
      <c r="N71" s="58" t="s">
        <v>88</v>
      </c>
      <c r="O71" s="42" t="n">
        <v>17460</v>
      </c>
      <c r="P71" s="42" t="n">
        <v>1740</v>
      </c>
      <c r="Q71" s="42" t="n">
        <v>1230</v>
      </c>
      <c r="R71" s="49" t="n">
        <v>0.0467592592576693</v>
      </c>
      <c r="S71" s="58" t="n">
        <v>8</v>
      </c>
      <c r="T71" s="58" t="n">
        <v>10</v>
      </c>
      <c r="U71" s="34" t="s">
        <v>84</v>
      </c>
      <c r="V71" s="36" t="s">
        <v>91</v>
      </c>
      <c r="W71" s="39" t="s">
        <v>84</v>
      </c>
      <c r="X71" s="42" t="n">
        <v>29570</v>
      </c>
      <c r="Y71" s="50" t="n">
        <v>20</v>
      </c>
      <c r="Z71" s="48" t="n">
        <v>0.02</v>
      </c>
      <c r="AA71" s="42" t="n">
        <v>850</v>
      </c>
      <c r="AB71" s="42" t="n">
        <f aca="false">AA71*5</f>
        <v>0</v>
      </c>
      <c r="AC71" s="43" t="n">
        <v>1800</v>
      </c>
      <c r="AD71" s="43" t="n">
        <v>1195</v>
      </c>
      <c r="AE71" s="43" t="n">
        <v>252</v>
      </c>
      <c r="AF71" s="43" t="n">
        <v>5500</v>
      </c>
      <c r="AG71" s="42" t="n">
        <v>9000</v>
      </c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58"/>
      <c r="AW71" s="35" t="s">
        <v>92</v>
      </c>
      <c r="AX71" s="58"/>
      <c r="AY71" s="58"/>
      <c r="AZ71" s="58"/>
      <c r="BA71" s="58"/>
      <c r="BB71" s="58"/>
      <c r="BC71" s="34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35" t="s">
        <v>92</v>
      </c>
      <c r="BQ71" s="58"/>
      <c r="BR71" s="58"/>
      <c r="BS71" s="58"/>
      <c r="BT71" s="52"/>
      <c r="BU71" s="46"/>
      <c r="BV71" s="46"/>
      <c r="BW71" s="46"/>
      <c r="BX71" s="46"/>
    </row>
    <row r="72" customFormat="false" ht="12.8" hidden="false" customHeight="false" outlineLevel="0" collapsed="false">
      <c r="A72" s="36" t="s">
        <v>53</v>
      </c>
      <c r="B72" s="36" t="s">
        <v>158</v>
      </c>
      <c r="C72" s="36" t="s">
        <v>239</v>
      </c>
      <c r="D72" s="36" t="s">
        <v>240</v>
      </c>
      <c r="E72" s="58" t="s">
        <v>89</v>
      </c>
      <c r="F72" s="36" t="s">
        <v>128</v>
      </c>
      <c r="G72" s="58"/>
      <c r="H72" s="35" t="s">
        <v>86</v>
      </c>
      <c r="I72" s="58" t="s">
        <v>87</v>
      </c>
      <c r="J72" s="58" t="s">
        <v>87</v>
      </c>
      <c r="K72" s="58" t="s">
        <v>88</v>
      </c>
      <c r="L72" s="58" t="s">
        <v>88</v>
      </c>
      <c r="M72" s="58" t="s">
        <v>87</v>
      </c>
      <c r="N72" s="58" t="s">
        <v>89</v>
      </c>
      <c r="O72" s="42" t="n">
        <v>22670</v>
      </c>
      <c r="P72" s="42" t="n">
        <v>2150</v>
      </c>
      <c r="Q72" s="42" t="n">
        <v>500</v>
      </c>
      <c r="R72" s="49" t="n">
        <v>0.0347222222226264</v>
      </c>
      <c r="S72" s="58" t="n">
        <v>7</v>
      </c>
      <c r="T72" s="58" t="n">
        <v>10</v>
      </c>
      <c r="U72" s="34" t="s">
        <v>84</v>
      </c>
      <c r="V72" s="36" t="s">
        <v>91</v>
      </c>
      <c r="W72" s="39" t="s">
        <v>84</v>
      </c>
      <c r="X72" s="42" t="n">
        <v>27960</v>
      </c>
      <c r="Y72" s="50" t="n">
        <v>20</v>
      </c>
      <c r="Z72" s="48" t="n">
        <v>0.02</v>
      </c>
      <c r="AA72" s="42" t="n">
        <v>900</v>
      </c>
      <c r="AB72" s="42" t="n">
        <f aca="false">AA72*5</f>
        <v>0</v>
      </c>
      <c r="AC72" s="95" t="n">
        <v>4000</v>
      </c>
      <c r="AD72" s="95" t="n">
        <v>1800</v>
      </c>
      <c r="AE72" s="95" t="n">
        <v>3200</v>
      </c>
      <c r="AF72" s="43" t="n">
        <v>5500</v>
      </c>
      <c r="AG72" s="42" t="n">
        <v>9000</v>
      </c>
      <c r="AH72" s="48"/>
      <c r="AI72" s="48" t="n">
        <v>0.25</v>
      </c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36" t="s">
        <v>92</v>
      </c>
      <c r="BH72" s="58"/>
      <c r="BI72" s="58"/>
      <c r="BJ72" s="58"/>
      <c r="BK72" s="58"/>
      <c r="BL72" s="36" t="s">
        <v>92</v>
      </c>
      <c r="BM72" s="58"/>
      <c r="BN72" s="58"/>
      <c r="BO72" s="58"/>
      <c r="BP72" s="58"/>
      <c r="BQ72" s="58"/>
      <c r="BR72" s="58"/>
      <c r="BS72" s="58"/>
      <c r="BT72" s="52"/>
      <c r="BU72" s="46"/>
      <c r="BV72" s="46"/>
      <c r="BW72" s="46"/>
      <c r="BX72" s="46"/>
    </row>
    <row r="73" customFormat="false" ht="12.8" hidden="false" customHeight="false" outlineLevel="0" collapsed="false">
      <c r="A73" s="36" t="s">
        <v>53</v>
      </c>
      <c r="B73" s="36" t="s">
        <v>158</v>
      </c>
      <c r="C73" s="36" t="s">
        <v>239</v>
      </c>
      <c r="D73" s="36" t="s">
        <v>241</v>
      </c>
      <c r="E73" s="58" t="s">
        <v>87</v>
      </c>
      <c r="F73" s="36" t="s">
        <v>137</v>
      </c>
      <c r="G73" s="58"/>
      <c r="H73" s="35" t="s">
        <v>135</v>
      </c>
      <c r="I73" s="58" t="s">
        <v>89</v>
      </c>
      <c r="J73" s="58" t="s">
        <v>88</v>
      </c>
      <c r="K73" s="58" t="s">
        <v>87</v>
      </c>
      <c r="L73" s="34" t="s">
        <v>84</v>
      </c>
      <c r="M73" s="58" t="s">
        <v>87</v>
      </c>
      <c r="N73" s="58" t="s">
        <v>87</v>
      </c>
      <c r="O73" s="42" t="n">
        <v>23980</v>
      </c>
      <c r="P73" s="42" t="n">
        <v>2830</v>
      </c>
      <c r="Q73" s="42" t="n">
        <v>350</v>
      </c>
      <c r="R73" s="92" t="n">
        <v>0.0313657407423307</v>
      </c>
      <c r="S73" s="58" t="n">
        <v>7</v>
      </c>
      <c r="T73" s="58" t="n">
        <v>10</v>
      </c>
      <c r="U73" s="34" t="s">
        <v>84</v>
      </c>
      <c r="V73" s="36" t="s">
        <v>91</v>
      </c>
      <c r="W73" s="39" t="s">
        <v>84</v>
      </c>
      <c r="X73" s="42" t="n">
        <v>27960</v>
      </c>
      <c r="Y73" s="50" t="n">
        <v>20</v>
      </c>
      <c r="Z73" s="48" t="n">
        <v>0.02</v>
      </c>
      <c r="AA73" s="42" t="n">
        <v>850</v>
      </c>
      <c r="AB73" s="42" t="n">
        <f aca="false">AA73*5</f>
        <v>0</v>
      </c>
      <c r="AC73" s="95" t="n">
        <v>5672</v>
      </c>
      <c r="AD73" s="95" t="n">
        <v>1680</v>
      </c>
      <c r="AE73" s="95" t="n">
        <v>1239</v>
      </c>
      <c r="AF73" s="43" t="n">
        <v>5500</v>
      </c>
      <c r="AG73" s="42" t="n">
        <v>8500</v>
      </c>
      <c r="AH73" s="48"/>
      <c r="AI73" s="48" t="n">
        <v>0.25</v>
      </c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36" t="s">
        <v>20</v>
      </c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36" t="s">
        <v>92</v>
      </c>
      <c r="BM73" s="58"/>
      <c r="BN73" s="58"/>
      <c r="BO73" s="58"/>
      <c r="BP73" s="58"/>
      <c r="BQ73" s="58"/>
      <c r="BR73" s="58"/>
      <c r="BS73" s="58"/>
      <c r="BT73" s="52"/>
      <c r="BU73" s="46"/>
      <c r="BV73" s="46"/>
      <c r="BW73" s="46"/>
      <c r="BX73" s="46"/>
    </row>
    <row r="74" customFormat="false" ht="12.8" hidden="false" customHeight="false" outlineLevel="0" collapsed="false">
      <c r="A74" s="36" t="s">
        <v>53</v>
      </c>
      <c r="B74" s="36" t="s">
        <v>158</v>
      </c>
      <c r="C74" s="36" t="s">
        <v>239</v>
      </c>
      <c r="D74" s="36" t="s">
        <v>242</v>
      </c>
      <c r="E74" s="58" t="s">
        <v>88</v>
      </c>
      <c r="F74" s="36" t="s">
        <v>192</v>
      </c>
      <c r="G74" s="58"/>
      <c r="H74" s="58"/>
      <c r="I74" s="58" t="s">
        <v>87</v>
      </c>
      <c r="J74" s="58" t="s">
        <v>87</v>
      </c>
      <c r="K74" s="58" t="s">
        <v>88</v>
      </c>
      <c r="L74" s="34" t="s">
        <v>84</v>
      </c>
      <c r="M74" s="58" t="s">
        <v>89</v>
      </c>
      <c r="N74" s="34" t="s">
        <v>88</v>
      </c>
      <c r="O74" s="42"/>
      <c r="P74" s="42"/>
      <c r="Q74" s="42"/>
      <c r="R74" s="49"/>
      <c r="S74" s="58" t="n">
        <v>7</v>
      </c>
      <c r="T74" s="58" t="n">
        <v>10</v>
      </c>
      <c r="U74" s="34" t="s">
        <v>84</v>
      </c>
      <c r="V74" s="36" t="s">
        <v>91</v>
      </c>
      <c r="W74" s="39" t="s">
        <v>84</v>
      </c>
      <c r="X74" s="42" t="n">
        <v>31240</v>
      </c>
      <c r="Y74" s="50" t="n">
        <v>30</v>
      </c>
      <c r="Z74" s="48"/>
      <c r="AA74" s="42" t="n">
        <v>850</v>
      </c>
      <c r="AB74" s="42" t="n">
        <f aca="false">AA74*5</f>
        <v>0</v>
      </c>
      <c r="AC74" s="43" t="n">
        <v>0</v>
      </c>
      <c r="AD74" s="43" t="n">
        <v>0</v>
      </c>
      <c r="AE74" s="43" t="n">
        <v>0</v>
      </c>
      <c r="AF74" s="43" t="n">
        <v>5500</v>
      </c>
      <c r="AG74" s="42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2"/>
      <c r="BU74" s="46"/>
      <c r="BV74" s="46"/>
      <c r="BW74" s="46"/>
      <c r="BX74" s="46"/>
    </row>
    <row r="75" customFormat="false" ht="12.8" hidden="false" customHeight="false" outlineLevel="0" collapsed="false">
      <c r="A75" s="36" t="s">
        <v>53</v>
      </c>
      <c r="B75" s="35" t="s">
        <v>81</v>
      </c>
      <c r="C75" s="36" t="s">
        <v>243</v>
      </c>
      <c r="D75" s="36" t="s">
        <v>244</v>
      </c>
      <c r="E75" s="58" t="s">
        <v>89</v>
      </c>
      <c r="F75" s="36" t="s">
        <v>112</v>
      </c>
      <c r="G75" s="58"/>
      <c r="H75" s="36" t="s">
        <v>135</v>
      </c>
      <c r="I75" s="58" t="s">
        <v>89</v>
      </c>
      <c r="J75" s="58" t="s">
        <v>87</v>
      </c>
      <c r="K75" s="58" t="s">
        <v>88</v>
      </c>
      <c r="L75" s="34" t="s">
        <v>84</v>
      </c>
      <c r="M75" s="58" t="s">
        <v>87</v>
      </c>
      <c r="N75" s="58" t="s">
        <v>87</v>
      </c>
      <c r="O75" s="42" t="n">
        <v>27440</v>
      </c>
      <c r="P75" s="42" t="n">
        <v>2690</v>
      </c>
      <c r="Q75" s="42" t="n">
        <v>610</v>
      </c>
      <c r="R75" s="49" t="n">
        <v>0.0427083333343035</v>
      </c>
      <c r="S75" s="58" t="n">
        <v>8</v>
      </c>
      <c r="T75" s="58" t="n">
        <v>10</v>
      </c>
      <c r="U75" s="34" t="s">
        <v>84</v>
      </c>
      <c r="V75" s="36" t="s">
        <v>91</v>
      </c>
      <c r="W75" s="39" t="s">
        <v>84</v>
      </c>
      <c r="X75" s="42" t="n">
        <v>32980</v>
      </c>
      <c r="Y75" s="50" t="n">
        <v>20</v>
      </c>
      <c r="Z75" s="48" t="n">
        <v>0.02</v>
      </c>
      <c r="AA75" s="42" t="n">
        <v>650</v>
      </c>
      <c r="AB75" s="42" t="n">
        <f aca="false">AA75*5</f>
        <v>0</v>
      </c>
      <c r="AC75" s="43" t="n">
        <v>6210</v>
      </c>
      <c r="AD75" s="43" t="n">
        <v>2994</v>
      </c>
      <c r="AE75" s="43" t="n">
        <v>338</v>
      </c>
      <c r="AF75" s="43" t="n">
        <v>5500</v>
      </c>
      <c r="AG75" s="42" t="n">
        <v>7000</v>
      </c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 t="n">
        <v>0.15</v>
      </c>
      <c r="AV75" s="36" t="s">
        <v>20</v>
      </c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36" t="s">
        <v>92</v>
      </c>
      <c r="BL75" s="58"/>
      <c r="BM75" s="58"/>
      <c r="BN75" s="58"/>
      <c r="BO75" s="58"/>
      <c r="BP75" s="58"/>
      <c r="BQ75" s="58"/>
      <c r="BR75" s="58"/>
      <c r="BS75" s="58"/>
      <c r="BT75" s="52"/>
      <c r="BU75" s="46"/>
      <c r="BV75" s="46"/>
      <c r="BW75" s="46"/>
      <c r="BX75" s="46"/>
    </row>
    <row r="76" customFormat="false" ht="12.8" hidden="false" customHeight="false" outlineLevel="0" collapsed="false">
      <c r="A76" s="36" t="s">
        <v>53</v>
      </c>
      <c r="B76" s="35" t="s">
        <v>81</v>
      </c>
      <c r="C76" s="36" t="s">
        <v>243</v>
      </c>
      <c r="D76" s="36" t="s">
        <v>245</v>
      </c>
      <c r="E76" s="58" t="s">
        <v>87</v>
      </c>
      <c r="F76" s="36" t="s">
        <v>170</v>
      </c>
      <c r="G76" s="58"/>
      <c r="H76" s="58"/>
      <c r="I76" s="58" t="s">
        <v>89</v>
      </c>
      <c r="J76" s="58" t="s">
        <v>88</v>
      </c>
      <c r="K76" s="58" t="s">
        <v>87</v>
      </c>
      <c r="L76" s="34" t="s">
        <v>84</v>
      </c>
      <c r="M76" s="58" t="s">
        <v>89</v>
      </c>
      <c r="N76" s="58" t="s">
        <v>87</v>
      </c>
      <c r="O76" s="42"/>
      <c r="P76" s="42"/>
      <c r="Q76" s="42"/>
      <c r="R76" s="49"/>
      <c r="S76" s="58" t="n">
        <v>8</v>
      </c>
      <c r="T76" s="58" t="n">
        <v>10</v>
      </c>
      <c r="U76" s="34" t="s">
        <v>84</v>
      </c>
      <c r="V76" s="36" t="s">
        <v>91</v>
      </c>
      <c r="W76" s="39" t="s">
        <v>84</v>
      </c>
      <c r="X76" s="42" t="n">
        <v>36640</v>
      </c>
      <c r="Y76" s="50" t="n">
        <v>30</v>
      </c>
      <c r="Z76" s="48"/>
      <c r="AA76" s="42" t="n">
        <v>650</v>
      </c>
      <c r="AB76" s="42" t="n">
        <f aca="false">AA76*5</f>
        <v>0</v>
      </c>
      <c r="AC76" s="43" t="n">
        <v>0</v>
      </c>
      <c r="AD76" s="43" t="n">
        <v>0</v>
      </c>
      <c r="AE76" s="43" t="n">
        <v>0</v>
      </c>
      <c r="AF76" s="43" t="n">
        <v>5500</v>
      </c>
      <c r="AG76" s="42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2"/>
      <c r="BU76" s="46"/>
      <c r="BV76" s="46"/>
      <c r="BW76" s="46"/>
      <c r="BX76" s="46"/>
    </row>
    <row r="77" customFormat="false" ht="12.8" hidden="false" customHeight="false" outlineLevel="0" collapsed="false">
      <c r="A77" s="36" t="s">
        <v>53</v>
      </c>
      <c r="B77" s="35" t="s">
        <v>81</v>
      </c>
      <c r="C77" s="36" t="s">
        <v>243</v>
      </c>
      <c r="D77" s="36" t="s">
        <v>225</v>
      </c>
      <c r="E77" s="58" t="s">
        <v>88</v>
      </c>
      <c r="F77" s="36" t="s">
        <v>180</v>
      </c>
      <c r="G77" s="58"/>
      <c r="H77" s="58"/>
      <c r="I77" s="58" t="s">
        <v>87</v>
      </c>
      <c r="J77" s="58" t="s">
        <v>87</v>
      </c>
      <c r="K77" s="58" t="s">
        <v>88</v>
      </c>
      <c r="L77" s="58" t="s">
        <v>89</v>
      </c>
      <c r="M77" s="58" t="s">
        <v>89</v>
      </c>
      <c r="N77" s="58" t="s">
        <v>87</v>
      </c>
      <c r="O77" s="42"/>
      <c r="P77" s="42"/>
      <c r="Q77" s="42"/>
      <c r="R77" s="49"/>
      <c r="S77" s="58" t="n">
        <v>8</v>
      </c>
      <c r="T77" s="58" t="n">
        <v>10</v>
      </c>
      <c r="U77" s="34" t="s">
        <v>84</v>
      </c>
      <c r="V77" s="36" t="s">
        <v>91</v>
      </c>
      <c r="W77" s="39" t="s">
        <v>84</v>
      </c>
      <c r="X77" s="42" t="n">
        <v>36640</v>
      </c>
      <c r="Y77" s="50" t="n">
        <v>30</v>
      </c>
      <c r="Z77" s="48"/>
      <c r="AA77" s="42" t="n">
        <v>650</v>
      </c>
      <c r="AB77" s="42" t="n">
        <f aca="false">AA77*5</f>
        <v>0</v>
      </c>
      <c r="AC77" s="43" t="n">
        <v>0</v>
      </c>
      <c r="AD77" s="43" t="n">
        <v>0</v>
      </c>
      <c r="AE77" s="43" t="n">
        <v>0</v>
      </c>
      <c r="AF77" s="43" t="n">
        <v>5500</v>
      </c>
      <c r="AG77" s="42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2"/>
      <c r="BU77" s="46"/>
      <c r="BV77" s="46"/>
      <c r="BW77" s="46"/>
      <c r="BX77" s="46"/>
    </row>
    <row r="78" customFormat="false" ht="12.8" hidden="false" customHeight="false" outlineLevel="0" collapsed="false">
      <c r="A78" s="36" t="s">
        <v>53</v>
      </c>
      <c r="B78" s="35" t="s">
        <v>81</v>
      </c>
      <c r="C78" s="35" t="s">
        <v>246</v>
      </c>
      <c r="D78" s="36" t="s">
        <v>222</v>
      </c>
      <c r="E78" s="58" t="s">
        <v>89</v>
      </c>
      <c r="F78" s="36" t="s">
        <v>188</v>
      </c>
      <c r="G78" s="58"/>
      <c r="H78" s="36" t="s">
        <v>96</v>
      </c>
      <c r="I78" s="58" t="s">
        <v>88</v>
      </c>
      <c r="J78" s="58" t="s">
        <v>87</v>
      </c>
      <c r="K78" s="58" t="s">
        <v>88</v>
      </c>
      <c r="L78" s="58" t="s">
        <v>89</v>
      </c>
      <c r="M78" s="58" t="s">
        <v>87</v>
      </c>
      <c r="N78" s="58" t="s">
        <v>88</v>
      </c>
      <c r="O78" s="42" t="n">
        <v>26270</v>
      </c>
      <c r="P78" s="42" t="n">
        <v>2530</v>
      </c>
      <c r="Q78" s="42" t="n">
        <v>1170</v>
      </c>
      <c r="R78" s="49" t="n">
        <v>0.0572916666678793</v>
      </c>
      <c r="S78" s="58" t="n">
        <v>9</v>
      </c>
      <c r="T78" s="58" t="n">
        <v>10</v>
      </c>
      <c r="U78" s="34" t="s">
        <v>84</v>
      </c>
      <c r="V78" s="36" t="s">
        <v>91</v>
      </c>
      <c r="W78" s="39" t="s">
        <v>84</v>
      </c>
      <c r="X78" s="42" t="n">
        <v>36640</v>
      </c>
      <c r="Y78" s="50" t="n">
        <v>20</v>
      </c>
      <c r="Z78" s="48" t="n">
        <v>0.02</v>
      </c>
      <c r="AA78" s="42" t="n">
        <v>700</v>
      </c>
      <c r="AB78" s="42" t="n">
        <f aca="false">AA78*5</f>
        <v>0</v>
      </c>
      <c r="AC78" s="43" t="n">
        <v>2250</v>
      </c>
      <c r="AD78" s="43" t="n">
        <v>4470</v>
      </c>
      <c r="AE78" s="43" t="n">
        <v>157</v>
      </c>
      <c r="AF78" s="43" t="n">
        <v>5500</v>
      </c>
      <c r="AG78" s="42" t="n">
        <v>10000</v>
      </c>
      <c r="AH78" s="48" t="n">
        <v>-0.2</v>
      </c>
      <c r="AI78" s="48"/>
      <c r="AJ78" s="48"/>
      <c r="AK78" s="48"/>
      <c r="AL78" s="48"/>
      <c r="AM78" s="48"/>
      <c r="AN78" s="48"/>
      <c r="AO78" s="48"/>
      <c r="AP78" s="48" t="n">
        <v>0.2</v>
      </c>
      <c r="AQ78" s="48"/>
      <c r="AR78" s="48"/>
      <c r="AS78" s="48"/>
      <c r="AT78" s="48"/>
      <c r="AU78" s="48"/>
      <c r="AV78" s="58"/>
      <c r="AW78" s="36" t="s">
        <v>92</v>
      </c>
      <c r="AX78" s="58"/>
      <c r="AY78" s="58"/>
      <c r="AZ78" s="58"/>
      <c r="BA78" s="58"/>
      <c r="BB78" s="58"/>
      <c r="BC78" s="36" t="s">
        <v>92</v>
      </c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36" t="s">
        <v>92</v>
      </c>
      <c r="BR78" s="58"/>
      <c r="BS78" s="58"/>
      <c r="BT78" s="52"/>
      <c r="BU78" s="46"/>
      <c r="BV78" s="46"/>
      <c r="BW78" s="46"/>
      <c r="BX78" s="46"/>
    </row>
    <row r="79" customFormat="false" ht="12.8" hidden="false" customHeight="false" outlineLevel="0" collapsed="false">
      <c r="A79" s="36" t="s">
        <v>53</v>
      </c>
      <c r="B79" s="35" t="s">
        <v>81</v>
      </c>
      <c r="C79" s="35" t="s">
        <v>246</v>
      </c>
      <c r="D79" s="36" t="s">
        <v>236</v>
      </c>
      <c r="E79" s="58" t="s">
        <v>87</v>
      </c>
      <c r="F79" s="36" t="s">
        <v>237</v>
      </c>
      <c r="G79" s="58"/>
      <c r="H79" s="58"/>
      <c r="I79" s="58" t="s">
        <v>88</v>
      </c>
      <c r="J79" s="58" t="s">
        <v>87</v>
      </c>
      <c r="K79" s="58" t="s">
        <v>88</v>
      </c>
      <c r="L79" s="58" t="s">
        <v>89</v>
      </c>
      <c r="M79" s="58" t="s">
        <v>87</v>
      </c>
      <c r="N79" s="58" t="s">
        <v>88</v>
      </c>
      <c r="O79" s="42"/>
      <c r="P79" s="42"/>
      <c r="Q79" s="42"/>
      <c r="R79" s="49"/>
      <c r="S79" s="58" t="n">
        <v>9</v>
      </c>
      <c r="T79" s="58" t="n">
        <v>10</v>
      </c>
      <c r="U79" s="34" t="s">
        <v>84</v>
      </c>
      <c r="V79" s="36" t="s">
        <v>91</v>
      </c>
      <c r="W79" s="39" t="s">
        <v>84</v>
      </c>
      <c r="X79" s="42" t="n">
        <v>36640</v>
      </c>
      <c r="Y79" s="50" t="n">
        <v>20</v>
      </c>
      <c r="Z79" s="48" t="n">
        <v>0.02</v>
      </c>
      <c r="AA79" s="42" t="n">
        <v>700</v>
      </c>
      <c r="AB79" s="42" t="n">
        <f aca="false">AA79*5</f>
        <v>0</v>
      </c>
      <c r="AC79" s="42" t="n">
        <v>0</v>
      </c>
      <c r="AD79" s="42" t="n">
        <v>0</v>
      </c>
      <c r="AE79" s="42" t="n">
        <v>0</v>
      </c>
      <c r="AF79" s="43" t="n">
        <v>5500</v>
      </c>
      <c r="AG79" s="42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2"/>
      <c r="BU79" s="46"/>
      <c r="BV79" s="46"/>
      <c r="BW79" s="46"/>
      <c r="BX79" s="46"/>
    </row>
    <row r="80" customFormat="false" ht="12.8" hidden="false" customHeight="false" outlineLevel="0" collapsed="false">
      <c r="A80" s="36" t="s">
        <v>53</v>
      </c>
      <c r="B80" s="35" t="s">
        <v>81</v>
      </c>
      <c r="C80" s="35" t="s">
        <v>247</v>
      </c>
      <c r="D80" s="35" t="s">
        <v>248</v>
      </c>
      <c r="E80" s="34" t="s">
        <v>89</v>
      </c>
      <c r="F80" s="35" t="s">
        <v>148</v>
      </c>
      <c r="G80" s="35" t="s">
        <v>202</v>
      </c>
      <c r="H80" s="35" t="s">
        <v>135</v>
      </c>
      <c r="I80" s="34" t="s">
        <v>89</v>
      </c>
      <c r="J80" s="34" t="s">
        <v>87</v>
      </c>
      <c r="K80" s="34" t="s">
        <v>88</v>
      </c>
      <c r="L80" s="34" t="s">
        <v>84</v>
      </c>
      <c r="M80" s="34" t="s">
        <v>89</v>
      </c>
      <c r="N80" s="34" t="s">
        <v>88</v>
      </c>
      <c r="O80" s="42" t="n">
        <v>30620</v>
      </c>
      <c r="P80" s="42" t="n">
        <v>3290</v>
      </c>
      <c r="Q80" s="42" t="n">
        <v>710</v>
      </c>
      <c r="R80" s="49" t="n">
        <v>0.0504629629613191</v>
      </c>
      <c r="S80" s="58" t="n">
        <v>8</v>
      </c>
      <c r="T80" s="58" t="n">
        <v>10</v>
      </c>
      <c r="U80" s="34" t="s">
        <v>84</v>
      </c>
      <c r="V80" s="36" t="s">
        <v>91</v>
      </c>
      <c r="W80" s="39" t="s">
        <v>84</v>
      </c>
      <c r="X80" s="42" t="n">
        <v>32980</v>
      </c>
      <c r="Y80" s="50" t="n">
        <v>30</v>
      </c>
      <c r="Z80" s="48" t="n">
        <v>0.04</v>
      </c>
      <c r="AA80" s="42" t="n">
        <v>650</v>
      </c>
      <c r="AB80" s="42" t="n">
        <f aca="false">AA80*5</f>
        <v>0</v>
      </c>
      <c r="AC80" s="42" t="n">
        <v>7450</v>
      </c>
      <c r="AD80" s="42" t="n">
        <v>2240</v>
      </c>
      <c r="AE80" s="42" t="n">
        <v>775</v>
      </c>
      <c r="AF80" s="43" t="n">
        <v>5500</v>
      </c>
      <c r="AG80" s="42" t="n">
        <v>7000</v>
      </c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36" t="s">
        <v>20</v>
      </c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2"/>
      <c r="BU80" s="46"/>
      <c r="BV80" s="46"/>
      <c r="BW80" s="46"/>
      <c r="BX80" s="46"/>
    </row>
    <row r="81" customFormat="false" ht="12.8" hidden="false" customHeight="false" outlineLevel="0" collapsed="false">
      <c r="A81" s="36" t="s">
        <v>53</v>
      </c>
      <c r="B81" s="35" t="s">
        <v>81</v>
      </c>
      <c r="C81" s="35" t="s">
        <v>247</v>
      </c>
      <c r="D81" s="35" t="s">
        <v>249</v>
      </c>
      <c r="E81" s="58" t="s">
        <v>87</v>
      </c>
      <c r="F81" s="35" t="s">
        <v>192</v>
      </c>
      <c r="G81" s="35" t="s">
        <v>202</v>
      </c>
      <c r="H81" s="34"/>
      <c r="I81" s="34"/>
      <c r="J81" s="34"/>
      <c r="K81" s="34"/>
      <c r="L81" s="34"/>
      <c r="M81" s="34"/>
      <c r="N81" s="34"/>
      <c r="O81" s="42"/>
      <c r="P81" s="42"/>
      <c r="Q81" s="42"/>
      <c r="R81" s="49"/>
      <c r="S81" s="58" t="n">
        <v>8</v>
      </c>
      <c r="T81" s="58" t="n">
        <v>10</v>
      </c>
      <c r="U81" s="34" t="s">
        <v>84</v>
      </c>
      <c r="V81" s="36" t="s">
        <v>91</v>
      </c>
      <c r="W81" s="39" t="s">
        <v>84</v>
      </c>
      <c r="X81" s="42" t="n">
        <v>36278</v>
      </c>
      <c r="Y81" s="50" t="n">
        <v>45</v>
      </c>
      <c r="Z81" s="48" t="n">
        <v>0.04</v>
      </c>
      <c r="AA81" s="42" t="n">
        <v>650</v>
      </c>
      <c r="AB81" s="42" t="n">
        <f aca="false">AA81*5</f>
        <v>0</v>
      </c>
      <c r="AC81" s="43"/>
      <c r="AD81" s="43"/>
      <c r="AE81" s="43"/>
      <c r="AF81" s="43" t="n">
        <v>5500</v>
      </c>
      <c r="AG81" s="42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2"/>
      <c r="BU81" s="46"/>
      <c r="BV81" s="46"/>
      <c r="BW81" s="46"/>
      <c r="BX81" s="46"/>
    </row>
    <row r="82" customFormat="false" ht="12.8" hidden="false" customHeight="false" outlineLevel="0" collapsed="false">
      <c r="A82" s="36" t="s">
        <v>53</v>
      </c>
      <c r="B82" s="35" t="s">
        <v>93</v>
      </c>
      <c r="C82" s="34" t="s">
        <v>250</v>
      </c>
      <c r="D82" s="35" t="s">
        <v>251</v>
      </c>
      <c r="E82" s="58" t="s">
        <v>89</v>
      </c>
      <c r="F82" s="36" t="s">
        <v>148</v>
      </c>
      <c r="G82" s="58"/>
      <c r="H82" s="36" t="s">
        <v>86</v>
      </c>
      <c r="I82" s="58" t="s">
        <v>88</v>
      </c>
      <c r="J82" s="58" t="s">
        <v>88</v>
      </c>
      <c r="K82" s="58" t="s">
        <v>88</v>
      </c>
      <c r="L82" s="34" t="s">
        <v>84</v>
      </c>
      <c r="M82" s="58" t="s">
        <v>87</v>
      </c>
      <c r="N82" s="58" t="s">
        <v>89</v>
      </c>
      <c r="O82" s="42" t="n">
        <v>21890</v>
      </c>
      <c r="P82" s="42" t="n">
        <v>1730</v>
      </c>
      <c r="Q82" s="42" t="n">
        <v>310</v>
      </c>
      <c r="R82" s="49" t="n">
        <v>0.0240740740737237</v>
      </c>
      <c r="S82" s="58" t="n">
        <v>8</v>
      </c>
      <c r="T82" s="58" t="n">
        <v>15</v>
      </c>
      <c r="U82" s="34" t="s">
        <v>84</v>
      </c>
      <c r="V82" s="36" t="s">
        <v>91</v>
      </c>
      <c r="W82" s="39" t="s">
        <v>84</v>
      </c>
      <c r="X82" s="42" t="n">
        <v>31240</v>
      </c>
      <c r="Y82" s="50" t="n">
        <v>5</v>
      </c>
      <c r="Z82" s="48"/>
      <c r="AA82" s="42" t="n">
        <v>800</v>
      </c>
      <c r="AB82" s="42" t="n">
        <f aca="false">AA82*5</f>
        <v>0</v>
      </c>
      <c r="AC82" s="43" t="n">
        <v>2400</v>
      </c>
      <c r="AD82" s="43" t="n">
        <v>1126</v>
      </c>
      <c r="AE82" s="43" t="n">
        <v>408</v>
      </c>
      <c r="AF82" s="43" t="n">
        <v>5500</v>
      </c>
      <c r="AG82" s="42" t="n">
        <v>18000</v>
      </c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36" t="s">
        <v>107</v>
      </c>
      <c r="AW82" s="58"/>
      <c r="AX82" s="58"/>
      <c r="AY82" s="58"/>
      <c r="AZ82" s="58"/>
      <c r="BA82" s="58"/>
      <c r="BB82" s="58"/>
      <c r="BC82" s="58"/>
      <c r="BD82" s="36" t="s">
        <v>92</v>
      </c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2"/>
      <c r="BU82" s="46"/>
      <c r="BV82" s="46"/>
      <c r="BW82" s="46"/>
      <c r="BX82" s="46"/>
    </row>
    <row r="83" customFormat="false" ht="12.8" hidden="false" customHeight="false" outlineLevel="0" collapsed="false">
      <c r="A83" s="36" t="s">
        <v>53</v>
      </c>
      <c r="B83" s="35" t="s">
        <v>93</v>
      </c>
      <c r="C83" s="58" t="s">
        <v>250</v>
      </c>
      <c r="D83" s="36" t="s">
        <v>252</v>
      </c>
      <c r="E83" s="58" t="s">
        <v>87</v>
      </c>
      <c r="F83" s="35" t="s">
        <v>126</v>
      </c>
      <c r="G83" s="58"/>
      <c r="H83" s="36" t="s">
        <v>96</v>
      </c>
      <c r="I83" s="58" t="s">
        <v>87</v>
      </c>
      <c r="J83" s="58" t="s">
        <v>87</v>
      </c>
      <c r="K83" s="58" t="s">
        <v>88</v>
      </c>
      <c r="L83" s="58" t="s">
        <v>87</v>
      </c>
      <c r="M83" s="58" t="s">
        <v>87</v>
      </c>
      <c r="N83" s="58" t="s">
        <v>87</v>
      </c>
      <c r="O83" s="42" t="n">
        <v>25280</v>
      </c>
      <c r="P83" s="42" t="n">
        <v>2570</v>
      </c>
      <c r="Q83" s="42" t="n">
        <v>760</v>
      </c>
      <c r="R83" s="49" t="n">
        <v>0.0467592592576693</v>
      </c>
      <c r="S83" s="58" t="n">
        <v>8</v>
      </c>
      <c r="T83" s="58" t="n">
        <v>15</v>
      </c>
      <c r="U83" s="34" t="s">
        <v>84</v>
      </c>
      <c r="V83" s="36" t="s">
        <v>91</v>
      </c>
      <c r="W83" s="39" t="s">
        <v>84</v>
      </c>
      <c r="X83" s="42" t="n">
        <v>31240</v>
      </c>
      <c r="Y83" s="50" t="n">
        <v>5</v>
      </c>
      <c r="Z83" s="48"/>
      <c r="AA83" s="42" t="n">
        <v>800</v>
      </c>
      <c r="AB83" s="42" t="n">
        <f aca="false">AA83*5</f>
        <v>0</v>
      </c>
      <c r="AC83" s="43" t="n">
        <v>3900</v>
      </c>
      <c r="AD83" s="43" t="n">
        <v>3583</v>
      </c>
      <c r="AE83" s="43" t="n">
        <v>345</v>
      </c>
      <c r="AF83" s="43" t="n">
        <v>5500</v>
      </c>
      <c r="AG83" s="42" t="n">
        <v>13000</v>
      </c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36" t="s">
        <v>20</v>
      </c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2"/>
      <c r="BU83" s="46"/>
      <c r="BV83" s="46"/>
      <c r="BW83" s="46"/>
      <c r="BX83" s="46"/>
    </row>
    <row r="84" customFormat="false" ht="12.8" hidden="false" customHeight="false" outlineLevel="0" collapsed="false">
      <c r="A84" s="36" t="s">
        <v>53</v>
      </c>
      <c r="B84" s="35" t="s">
        <v>93</v>
      </c>
      <c r="C84" s="34" t="s">
        <v>250</v>
      </c>
      <c r="D84" s="35" t="s">
        <v>253</v>
      </c>
      <c r="E84" s="34" t="s">
        <v>88</v>
      </c>
      <c r="F84" s="35" t="s">
        <v>178</v>
      </c>
      <c r="G84" s="58"/>
      <c r="H84" s="58"/>
      <c r="I84" s="58"/>
      <c r="J84" s="58"/>
      <c r="K84" s="58"/>
      <c r="L84" s="58"/>
      <c r="M84" s="58"/>
      <c r="N84" s="58"/>
      <c r="O84" s="42"/>
      <c r="P84" s="42"/>
      <c r="Q84" s="42"/>
      <c r="R84" s="49"/>
      <c r="S84" s="58" t="n">
        <v>8</v>
      </c>
      <c r="T84" s="58" t="n">
        <v>15</v>
      </c>
      <c r="U84" s="34" t="s">
        <v>84</v>
      </c>
      <c r="V84" s="36" t="s">
        <v>91</v>
      </c>
      <c r="W84" s="39" t="s">
        <v>84</v>
      </c>
      <c r="X84" s="42" t="n">
        <v>28130</v>
      </c>
      <c r="Y84" s="50" t="n">
        <v>20</v>
      </c>
      <c r="Z84" s="48" t="n">
        <v>0.02</v>
      </c>
      <c r="AA84" s="42" t="n">
        <v>800</v>
      </c>
      <c r="AB84" s="42" t="n">
        <f aca="false">AA84*5</f>
        <v>0</v>
      </c>
      <c r="AC84" s="43" t="n">
        <v>0</v>
      </c>
      <c r="AD84" s="43" t="n">
        <v>0</v>
      </c>
      <c r="AE84" s="43" t="n">
        <v>0</v>
      </c>
      <c r="AF84" s="43" t="n">
        <v>5500</v>
      </c>
      <c r="AG84" s="42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2"/>
      <c r="BU84" s="46"/>
      <c r="BV84" s="46"/>
      <c r="BW84" s="46"/>
      <c r="BX84" s="46"/>
    </row>
    <row r="85" customFormat="false" ht="12.8" hidden="false" customHeight="false" outlineLevel="0" collapsed="false">
      <c r="A85" s="36" t="s">
        <v>53</v>
      </c>
      <c r="B85" s="35" t="s">
        <v>93</v>
      </c>
      <c r="C85" s="58" t="s">
        <v>250</v>
      </c>
      <c r="D85" s="36" t="s">
        <v>254</v>
      </c>
      <c r="E85" s="58" t="s">
        <v>255</v>
      </c>
      <c r="F85" s="36" t="s">
        <v>237</v>
      </c>
      <c r="G85" s="58"/>
      <c r="H85" s="36" t="s">
        <v>96</v>
      </c>
      <c r="I85" s="58" t="s">
        <v>88</v>
      </c>
      <c r="J85" s="58" t="s">
        <v>88</v>
      </c>
      <c r="K85" s="58" t="s">
        <v>88</v>
      </c>
      <c r="L85" s="58" t="s">
        <v>89</v>
      </c>
      <c r="M85" s="58" t="s">
        <v>87</v>
      </c>
      <c r="N85" s="58" t="s">
        <v>87</v>
      </c>
      <c r="O85" s="42" t="n">
        <v>20170</v>
      </c>
      <c r="P85" s="42" t="n">
        <v>1930</v>
      </c>
      <c r="Q85" s="42" t="n">
        <v>890</v>
      </c>
      <c r="R85" s="49" t="n">
        <v>0.0437500000007276</v>
      </c>
      <c r="S85" s="58" t="n">
        <v>8</v>
      </c>
      <c r="T85" s="58" t="n">
        <v>15</v>
      </c>
      <c r="U85" s="34" t="s">
        <v>84</v>
      </c>
      <c r="V85" s="36" t="s">
        <v>91</v>
      </c>
      <c r="W85" s="39" t="s">
        <v>84</v>
      </c>
      <c r="X85" s="42" t="n">
        <v>28130</v>
      </c>
      <c r="Y85" s="50" t="n">
        <v>20</v>
      </c>
      <c r="Z85" s="48" t="n">
        <v>0.02</v>
      </c>
      <c r="AA85" s="42" t="n">
        <v>800</v>
      </c>
      <c r="AB85" s="42" t="n">
        <f aca="false">AA85*5</f>
        <v>0</v>
      </c>
      <c r="AC85" s="43" t="n">
        <v>1700</v>
      </c>
      <c r="AD85" s="43" t="n">
        <v>693</v>
      </c>
      <c r="AE85" s="43" t="n">
        <v>181</v>
      </c>
      <c r="AF85" s="43" t="n">
        <v>5500</v>
      </c>
      <c r="AG85" s="42" t="n">
        <v>11500</v>
      </c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58"/>
      <c r="AW85" s="58"/>
      <c r="AX85" s="36" t="s">
        <v>92</v>
      </c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2"/>
      <c r="BU85" s="46"/>
      <c r="BV85" s="46"/>
      <c r="BW85" s="46"/>
      <c r="BX85" s="46"/>
    </row>
    <row r="86" customFormat="false" ht="12.8" hidden="false" customHeight="false" outlineLevel="0" collapsed="false">
      <c r="A86" s="36" t="s">
        <v>53</v>
      </c>
      <c r="B86" s="35" t="s">
        <v>93</v>
      </c>
      <c r="C86" s="58" t="s">
        <v>256</v>
      </c>
      <c r="D86" s="36" t="s">
        <v>257</v>
      </c>
      <c r="E86" s="58" t="s">
        <v>89</v>
      </c>
      <c r="F86" s="36" t="s">
        <v>197</v>
      </c>
      <c r="G86" s="58"/>
      <c r="H86" s="36" t="s">
        <v>96</v>
      </c>
      <c r="I86" s="58" t="s">
        <v>88</v>
      </c>
      <c r="J86" s="58" t="s">
        <v>88</v>
      </c>
      <c r="K86" s="58" t="s">
        <v>88</v>
      </c>
      <c r="L86" s="58" t="s">
        <v>88</v>
      </c>
      <c r="M86" s="58" t="s">
        <v>88</v>
      </c>
      <c r="N86" s="58" t="s">
        <v>89</v>
      </c>
      <c r="O86" s="42" t="n">
        <v>30000</v>
      </c>
      <c r="P86" s="42" t="n">
        <v>1500</v>
      </c>
      <c r="Q86" s="42" t="n">
        <v>350</v>
      </c>
      <c r="R86" s="49" t="n">
        <v>0.0694444444452529</v>
      </c>
      <c r="S86" s="58" t="n">
        <v>20</v>
      </c>
      <c r="T86" s="58" t="n">
        <v>20</v>
      </c>
      <c r="U86" s="34" t="s">
        <v>84</v>
      </c>
      <c r="V86" s="36" t="s">
        <v>198</v>
      </c>
      <c r="W86" s="39" t="s">
        <v>84</v>
      </c>
      <c r="X86" s="42" t="n">
        <v>11150</v>
      </c>
      <c r="Y86" s="50"/>
      <c r="Z86" s="48"/>
      <c r="AA86" s="42" t="n">
        <v>300</v>
      </c>
      <c r="AB86" s="42" t="n">
        <f aca="false">AA86*5</f>
        <v>0</v>
      </c>
      <c r="AC86" s="43" t="n">
        <v>1500</v>
      </c>
      <c r="AD86" s="43" t="n">
        <v>300</v>
      </c>
      <c r="AE86" s="43" t="n">
        <v>45</v>
      </c>
      <c r="AF86" s="43" t="n">
        <v>3000</v>
      </c>
      <c r="AG86" s="42" t="n">
        <v>8000</v>
      </c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58"/>
      <c r="AW86" s="58"/>
      <c r="AX86" s="58"/>
      <c r="AY86" s="58"/>
      <c r="AZ86" s="58"/>
      <c r="BA86" s="58"/>
      <c r="BB86" s="58"/>
      <c r="BC86" s="58"/>
      <c r="BD86" s="58"/>
      <c r="BE86" s="36" t="s">
        <v>92</v>
      </c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2"/>
      <c r="BU86" s="46"/>
      <c r="BV86" s="46"/>
      <c r="BW86" s="46"/>
      <c r="BX86" s="46"/>
    </row>
    <row r="87" customFormat="false" ht="12.8" hidden="false" customHeight="false" outlineLevel="0" collapsed="false">
      <c r="A87" s="36" t="s">
        <v>258</v>
      </c>
      <c r="B87" s="36" t="s">
        <v>98</v>
      </c>
      <c r="C87" s="35" t="s">
        <v>259</v>
      </c>
      <c r="D87" s="35" t="s">
        <v>260</v>
      </c>
      <c r="E87" s="58" t="s">
        <v>89</v>
      </c>
      <c r="F87" s="35" t="s">
        <v>188</v>
      </c>
      <c r="G87" s="35" t="s">
        <v>131</v>
      </c>
      <c r="H87" s="36" t="s">
        <v>96</v>
      </c>
      <c r="I87" s="58" t="s">
        <v>88</v>
      </c>
      <c r="J87" s="58" t="s">
        <v>87</v>
      </c>
      <c r="K87" s="58" t="s">
        <v>88</v>
      </c>
      <c r="L87" s="34" t="s">
        <v>89</v>
      </c>
      <c r="M87" s="34" t="s">
        <v>88</v>
      </c>
      <c r="N87" s="34" t="s">
        <v>87</v>
      </c>
      <c r="O87" s="42" t="n">
        <v>48960</v>
      </c>
      <c r="P87" s="42" t="n">
        <v>5960</v>
      </c>
      <c r="Q87" s="42" t="n">
        <v>3150</v>
      </c>
      <c r="R87" s="49" t="n">
        <v>0.113310185184673</v>
      </c>
      <c r="S87" s="58" t="n">
        <v>18</v>
      </c>
      <c r="T87" s="58" t="n">
        <v>8</v>
      </c>
      <c r="U87" s="34" t="s">
        <v>84</v>
      </c>
      <c r="V87" s="36" t="s">
        <v>91</v>
      </c>
      <c r="W87" s="39" t="s">
        <v>84</v>
      </c>
      <c r="X87" s="42" t="n">
        <v>67730</v>
      </c>
      <c r="Y87" s="50" t="n">
        <v>50</v>
      </c>
      <c r="Z87" s="48" t="n">
        <v>0.1</v>
      </c>
      <c r="AA87" s="42" t="n">
        <v>500</v>
      </c>
      <c r="AB87" s="42" t="n">
        <f aca="false">AA87*5</f>
        <v>0</v>
      </c>
      <c r="AC87" s="43" t="n">
        <v>3866</v>
      </c>
      <c r="AD87" s="43" t="n">
        <v>1652</v>
      </c>
      <c r="AE87" s="43" t="n">
        <v>273</v>
      </c>
      <c r="AF87" s="43" t="n">
        <v>7000</v>
      </c>
      <c r="AG87" s="42" t="n">
        <v>26000</v>
      </c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58"/>
      <c r="AW87" s="58"/>
      <c r="AX87" s="58"/>
      <c r="AY87" s="35" t="s">
        <v>92</v>
      </c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2"/>
      <c r="BU87" s="46"/>
      <c r="BV87" s="46"/>
      <c r="BW87" s="46"/>
      <c r="BX87" s="46"/>
    </row>
    <row r="88" customFormat="false" ht="12.8" hidden="false" customHeight="false" outlineLevel="0" collapsed="false">
      <c r="A88" s="36" t="s">
        <v>258</v>
      </c>
      <c r="B88" s="36" t="s">
        <v>98</v>
      </c>
      <c r="C88" s="35" t="s">
        <v>259</v>
      </c>
      <c r="D88" s="35" t="s">
        <v>261</v>
      </c>
      <c r="E88" s="58" t="s">
        <v>87</v>
      </c>
      <c r="F88" s="35" t="s">
        <v>116</v>
      </c>
      <c r="G88" s="35" t="s">
        <v>131</v>
      </c>
      <c r="H88" s="58"/>
      <c r="I88" s="34" t="s">
        <v>87</v>
      </c>
      <c r="J88" s="34" t="s">
        <v>87</v>
      </c>
      <c r="K88" s="34" t="s">
        <v>88</v>
      </c>
      <c r="L88" s="34" t="s">
        <v>84</v>
      </c>
      <c r="M88" s="58" t="s">
        <v>88</v>
      </c>
      <c r="N88" s="34" t="s">
        <v>87</v>
      </c>
      <c r="O88" s="42"/>
      <c r="P88" s="42"/>
      <c r="Q88" s="42"/>
      <c r="R88" s="49"/>
      <c r="S88" s="58" t="n">
        <v>18</v>
      </c>
      <c r="T88" s="58" t="n">
        <v>8</v>
      </c>
      <c r="U88" s="34" t="s">
        <v>84</v>
      </c>
      <c r="V88" s="36" t="s">
        <v>91</v>
      </c>
      <c r="W88" s="39" t="s">
        <v>84</v>
      </c>
      <c r="X88" s="42" t="n">
        <v>67730</v>
      </c>
      <c r="Y88" s="50" t="n">
        <v>50</v>
      </c>
      <c r="Z88" s="48" t="n">
        <v>0.1</v>
      </c>
      <c r="AA88" s="42" t="n">
        <v>500</v>
      </c>
      <c r="AB88" s="42" t="n">
        <f aca="false">AA88*5</f>
        <v>0</v>
      </c>
      <c r="AC88" s="43" t="n">
        <v>0</v>
      </c>
      <c r="AD88" s="43" t="n">
        <v>0</v>
      </c>
      <c r="AE88" s="43" t="n">
        <v>0</v>
      </c>
      <c r="AF88" s="43" t="n">
        <v>7000</v>
      </c>
      <c r="AG88" s="42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2"/>
      <c r="BU88" s="46"/>
      <c r="BV88" s="46"/>
      <c r="BW88" s="46"/>
      <c r="BX88" s="46"/>
    </row>
    <row r="89" customFormat="false" ht="18.75" hidden="false" customHeight="true" outlineLevel="0" collapsed="false">
      <c r="A89" s="36" t="s">
        <v>258</v>
      </c>
      <c r="B89" s="36" t="s">
        <v>98</v>
      </c>
      <c r="C89" s="36" t="s">
        <v>262</v>
      </c>
      <c r="D89" s="35" t="s">
        <v>263</v>
      </c>
      <c r="E89" s="58" t="s">
        <v>89</v>
      </c>
      <c r="F89" s="36" t="s">
        <v>148</v>
      </c>
      <c r="G89" s="58"/>
      <c r="H89" s="36" t="s">
        <v>96</v>
      </c>
      <c r="I89" s="58" t="s">
        <v>88</v>
      </c>
      <c r="J89" s="58" t="s">
        <v>88</v>
      </c>
      <c r="K89" s="34" t="s">
        <v>84</v>
      </c>
      <c r="L89" s="58" t="s">
        <v>89</v>
      </c>
      <c r="M89" s="58" t="s">
        <v>88</v>
      </c>
      <c r="N89" s="58" t="s">
        <v>88</v>
      </c>
      <c r="O89" s="42" t="n">
        <v>55970</v>
      </c>
      <c r="P89" s="42" t="n">
        <v>5750</v>
      </c>
      <c r="Q89" s="42" t="n">
        <v>4430</v>
      </c>
      <c r="R89" s="49" t="n">
        <v>0.131944444445253</v>
      </c>
      <c r="S89" s="58" t="n">
        <v>18</v>
      </c>
      <c r="T89" s="58" t="n">
        <v>8</v>
      </c>
      <c r="U89" s="34" t="s">
        <v>84</v>
      </c>
      <c r="V89" s="36" t="s">
        <v>91</v>
      </c>
      <c r="W89" s="39" t="s">
        <v>84</v>
      </c>
      <c r="X89" s="42" t="n">
        <v>67730</v>
      </c>
      <c r="Y89" s="50" t="n">
        <v>50</v>
      </c>
      <c r="Z89" s="48" t="n">
        <v>0.1</v>
      </c>
      <c r="AA89" s="42" t="n">
        <v>500</v>
      </c>
      <c r="AB89" s="42" t="n">
        <f aca="false">AA89*5</f>
        <v>0</v>
      </c>
      <c r="AC89" s="43" t="n">
        <v>4171</v>
      </c>
      <c r="AD89" s="43" t="n">
        <v>2152</v>
      </c>
      <c r="AE89" s="43" t="n">
        <v>119</v>
      </c>
      <c r="AF89" s="43" t="n">
        <v>7000</v>
      </c>
      <c r="AG89" s="42" t="n">
        <v>26000</v>
      </c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36" t="s">
        <v>20</v>
      </c>
      <c r="AW89" s="58"/>
      <c r="AX89" s="58"/>
      <c r="AY89" s="36" t="s">
        <v>92</v>
      </c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2"/>
      <c r="BU89" s="46"/>
      <c r="BV89" s="46"/>
      <c r="BW89" s="46"/>
      <c r="BX89" s="46"/>
    </row>
    <row r="90" customFormat="false" ht="12.8" hidden="false" customHeight="false" outlineLevel="0" collapsed="false">
      <c r="A90" s="36" t="s">
        <v>258</v>
      </c>
      <c r="B90" s="36" t="s">
        <v>98</v>
      </c>
      <c r="C90" s="36" t="s">
        <v>262</v>
      </c>
      <c r="D90" s="36" t="s">
        <v>264</v>
      </c>
      <c r="E90" s="58" t="s">
        <v>87</v>
      </c>
      <c r="F90" s="36" t="s">
        <v>238</v>
      </c>
      <c r="G90" s="58"/>
      <c r="H90" s="36" t="s">
        <v>96</v>
      </c>
      <c r="I90" s="58" t="s">
        <v>88</v>
      </c>
      <c r="J90" s="58" t="s">
        <v>88</v>
      </c>
      <c r="K90" s="34" t="s">
        <v>84</v>
      </c>
      <c r="L90" s="58" t="s">
        <v>89</v>
      </c>
      <c r="M90" s="58" t="s">
        <v>88</v>
      </c>
      <c r="N90" s="58" t="s">
        <v>88</v>
      </c>
      <c r="O90" s="42"/>
      <c r="P90" s="42"/>
      <c r="Q90" s="42"/>
      <c r="R90" s="49"/>
      <c r="S90" s="58" t="n">
        <v>18</v>
      </c>
      <c r="T90" s="58" t="n">
        <v>8</v>
      </c>
      <c r="U90" s="34" t="s">
        <v>84</v>
      </c>
      <c r="V90" s="36" t="s">
        <v>91</v>
      </c>
      <c r="W90" s="39" t="s">
        <v>84</v>
      </c>
      <c r="X90" s="42" t="n">
        <v>67730</v>
      </c>
      <c r="Y90" s="50" t="n">
        <v>50</v>
      </c>
      <c r="Z90" s="48" t="n">
        <v>0.1</v>
      </c>
      <c r="AA90" s="42" t="n">
        <v>500</v>
      </c>
      <c r="AB90" s="42" t="n">
        <f aca="false">AA90*5</f>
        <v>0</v>
      </c>
      <c r="AC90" s="43" t="n">
        <v>0</v>
      </c>
      <c r="AD90" s="43" t="n">
        <v>0</v>
      </c>
      <c r="AE90" s="43" t="n">
        <v>0</v>
      </c>
      <c r="AF90" s="43" t="n">
        <v>7000</v>
      </c>
      <c r="AG90" s="42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58"/>
      <c r="AW90" s="35" t="s">
        <v>92</v>
      </c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35" t="s">
        <v>92</v>
      </c>
      <c r="BS90" s="58"/>
      <c r="BT90" s="52"/>
      <c r="BU90" s="46"/>
      <c r="BV90" s="46"/>
      <c r="BW90" s="46"/>
      <c r="BX90" s="46"/>
    </row>
    <row r="91" customFormat="false" ht="12.8" hidden="false" customHeight="false" outlineLevel="0" collapsed="false">
      <c r="A91" s="36" t="s">
        <v>258</v>
      </c>
      <c r="B91" s="36" t="s">
        <v>98</v>
      </c>
      <c r="C91" s="36" t="s">
        <v>262</v>
      </c>
      <c r="D91" s="36" t="s">
        <v>265</v>
      </c>
      <c r="E91" s="58" t="s">
        <v>88</v>
      </c>
      <c r="F91" s="6"/>
      <c r="G91" s="58"/>
      <c r="H91" s="36" t="s">
        <v>96</v>
      </c>
      <c r="I91" s="58" t="s">
        <v>88</v>
      </c>
      <c r="J91" s="58" t="s">
        <v>88</v>
      </c>
      <c r="K91" s="34" t="s">
        <v>84</v>
      </c>
      <c r="L91" s="58" t="s">
        <v>89</v>
      </c>
      <c r="M91" s="58" t="s">
        <v>88</v>
      </c>
      <c r="N91" s="58" t="s">
        <v>88</v>
      </c>
      <c r="O91" s="42"/>
      <c r="P91" s="42"/>
      <c r="Q91" s="42"/>
      <c r="R91" s="49"/>
      <c r="S91" s="58" t="n">
        <v>18</v>
      </c>
      <c r="T91" s="58" t="n">
        <v>8</v>
      </c>
      <c r="U91" s="34" t="s">
        <v>84</v>
      </c>
      <c r="V91" s="36" t="s">
        <v>91</v>
      </c>
      <c r="W91" s="39" t="s">
        <v>84</v>
      </c>
      <c r="X91" s="42" t="n">
        <v>67730</v>
      </c>
      <c r="Y91" s="50" t="n">
        <v>50</v>
      </c>
      <c r="Z91" s="48" t="n">
        <v>0.1</v>
      </c>
      <c r="AA91" s="42" t="n">
        <v>500</v>
      </c>
      <c r="AB91" s="42" t="n">
        <f aca="false">AA91*5</f>
        <v>0</v>
      </c>
      <c r="AC91" s="43" t="n">
        <v>0</v>
      </c>
      <c r="AD91" s="43" t="n">
        <v>0</v>
      </c>
      <c r="AE91" s="43" t="n">
        <v>0</v>
      </c>
      <c r="AF91" s="43" t="n">
        <v>7000</v>
      </c>
      <c r="AG91" s="42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58"/>
      <c r="AW91" s="58"/>
      <c r="AX91" s="58"/>
      <c r="AY91" s="35" t="s">
        <v>92</v>
      </c>
      <c r="AZ91" s="58"/>
      <c r="BA91" s="58"/>
      <c r="BB91" s="58"/>
      <c r="BC91" s="35" t="s">
        <v>92</v>
      </c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2"/>
      <c r="BU91" s="46"/>
      <c r="BV91" s="46"/>
      <c r="BW91" s="46"/>
      <c r="BX91" s="46"/>
    </row>
    <row r="92" s="73" customFormat="true" ht="12.8" hidden="false" customHeight="false" outlineLevel="0" collapsed="false">
      <c r="A92" s="60" t="s">
        <v>258</v>
      </c>
      <c r="B92" s="60" t="s">
        <v>113</v>
      </c>
      <c r="C92" s="60" t="s">
        <v>266</v>
      </c>
      <c r="D92" s="60" t="s">
        <v>267</v>
      </c>
      <c r="E92" s="62" t="s">
        <v>89</v>
      </c>
      <c r="F92" s="60" t="s">
        <v>163</v>
      </c>
      <c r="G92" s="60"/>
      <c r="H92" s="60" t="s">
        <v>86</v>
      </c>
      <c r="I92" s="62" t="s">
        <v>87</v>
      </c>
      <c r="J92" s="62" t="s">
        <v>87</v>
      </c>
      <c r="K92" s="62" t="s">
        <v>88</v>
      </c>
      <c r="L92" s="62" t="s">
        <v>88</v>
      </c>
      <c r="M92" s="62" t="s">
        <v>88</v>
      </c>
      <c r="N92" s="62" t="s">
        <v>87</v>
      </c>
      <c r="O92" s="68" t="n">
        <v>47020</v>
      </c>
      <c r="P92" s="68" t="n">
        <v>7670</v>
      </c>
      <c r="Q92" s="68" t="n">
        <v>2560</v>
      </c>
      <c r="R92" s="89" t="n">
        <v>0.112499999999272</v>
      </c>
      <c r="S92" s="60" t="n">
        <v>18</v>
      </c>
      <c r="T92" s="60" t="n">
        <v>8</v>
      </c>
      <c r="U92" s="62" t="s">
        <v>84</v>
      </c>
      <c r="V92" s="60" t="s">
        <v>91</v>
      </c>
      <c r="W92" s="90" t="s">
        <v>84</v>
      </c>
      <c r="X92" s="68" t="n">
        <v>48670</v>
      </c>
      <c r="Y92" s="69" t="n">
        <v>50</v>
      </c>
      <c r="Z92" s="70" t="n">
        <v>0.1</v>
      </c>
      <c r="AA92" s="68" t="n">
        <v>450</v>
      </c>
      <c r="AB92" s="68" t="n">
        <f aca="false">AA92*5</f>
        <v>0</v>
      </c>
      <c r="AC92" s="63" t="n">
        <v>10800</v>
      </c>
      <c r="AD92" s="63" t="n">
        <v>3307</v>
      </c>
      <c r="AE92" s="63" t="n">
        <v>1721</v>
      </c>
      <c r="AF92" s="63" t="n">
        <v>7000</v>
      </c>
      <c r="AG92" s="68" t="n">
        <v>27000</v>
      </c>
      <c r="AH92" s="70"/>
      <c r="AI92" s="70"/>
      <c r="AJ92" s="70"/>
      <c r="AK92" s="70"/>
      <c r="AL92" s="70"/>
      <c r="AM92" s="70"/>
      <c r="AN92" s="70"/>
      <c r="AO92" s="70"/>
      <c r="AP92" s="70" t="n">
        <v>0.15</v>
      </c>
      <c r="AQ92" s="70"/>
      <c r="AR92" s="70"/>
      <c r="AS92" s="70"/>
      <c r="AT92" s="70"/>
      <c r="AU92" s="70"/>
      <c r="AV92" s="60" t="s">
        <v>20</v>
      </c>
      <c r="AW92" s="60"/>
      <c r="AX92" s="60"/>
      <c r="AY92" s="60"/>
      <c r="AZ92" s="60"/>
      <c r="BA92" s="60" t="s">
        <v>92</v>
      </c>
      <c r="BB92" s="60"/>
      <c r="BC92" s="60" t="s">
        <v>92</v>
      </c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72"/>
      <c r="BU92" s="91"/>
      <c r="BV92" s="91"/>
      <c r="BW92" s="91"/>
      <c r="BX92" s="91"/>
    </row>
    <row r="93" customFormat="false" ht="12.8" hidden="false" customHeight="false" outlineLevel="0" collapsed="false">
      <c r="A93" s="36" t="s">
        <v>258</v>
      </c>
      <c r="B93" s="35" t="s">
        <v>113</v>
      </c>
      <c r="C93" s="34" t="s">
        <v>268</v>
      </c>
      <c r="D93" s="35" t="s">
        <v>269</v>
      </c>
      <c r="E93" s="34" t="s">
        <v>89</v>
      </c>
      <c r="F93" s="36" t="s">
        <v>270</v>
      </c>
      <c r="G93" s="58"/>
      <c r="H93" s="36" t="s">
        <v>96</v>
      </c>
      <c r="I93" s="34" t="s">
        <v>88</v>
      </c>
      <c r="J93" s="34" t="s">
        <v>84</v>
      </c>
      <c r="K93" s="34" t="s">
        <v>88</v>
      </c>
      <c r="L93" s="34" t="s">
        <v>102</v>
      </c>
      <c r="M93" s="34" t="s">
        <v>88</v>
      </c>
      <c r="N93" s="34" t="s">
        <v>89</v>
      </c>
      <c r="O93" s="42" t="n">
        <v>33720</v>
      </c>
      <c r="P93" s="42" t="n">
        <v>3670</v>
      </c>
      <c r="Q93" s="42" t="n">
        <v>2080</v>
      </c>
      <c r="R93" s="92" t="n">
        <v>0.0737268518532801</v>
      </c>
      <c r="S93" s="58" t="n">
        <v>14</v>
      </c>
      <c r="T93" s="58" t="n">
        <v>6</v>
      </c>
      <c r="U93" s="34" t="s">
        <v>84</v>
      </c>
      <c r="V93" s="36" t="s">
        <v>91</v>
      </c>
      <c r="W93" s="39" t="s">
        <v>84</v>
      </c>
      <c r="X93" s="42" t="n">
        <v>51120</v>
      </c>
      <c r="Y93" s="50" t="n">
        <v>50</v>
      </c>
      <c r="Z93" s="48" t="n">
        <v>0.1</v>
      </c>
      <c r="AA93" s="42" t="n">
        <v>600</v>
      </c>
      <c r="AB93" s="42" t="n">
        <f aca="false">AA93*5</f>
        <v>0</v>
      </c>
      <c r="AC93" s="43" t="n">
        <v>3240</v>
      </c>
      <c r="AD93" s="43" t="n">
        <v>0</v>
      </c>
      <c r="AE93" s="43" t="n">
        <v>97</v>
      </c>
      <c r="AF93" s="43" t="n">
        <v>7000</v>
      </c>
      <c r="AG93" s="42" t="n">
        <v>26500</v>
      </c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58"/>
      <c r="AW93" s="58"/>
      <c r="AX93" s="35" t="s">
        <v>92</v>
      </c>
      <c r="AY93" s="34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2"/>
      <c r="BU93" s="46"/>
      <c r="BV93" s="46"/>
      <c r="BW93" s="46"/>
      <c r="BX93" s="46"/>
    </row>
    <row r="94" customFormat="false" ht="12.8" hidden="false" customHeight="false" outlineLevel="0" collapsed="false">
      <c r="A94" s="36" t="s">
        <v>258</v>
      </c>
      <c r="B94" s="35" t="s">
        <v>113</v>
      </c>
      <c r="C94" s="34" t="s">
        <v>268</v>
      </c>
      <c r="D94" s="35" t="s">
        <v>271</v>
      </c>
      <c r="E94" s="34" t="s">
        <v>87</v>
      </c>
      <c r="F94" s="36" t="s">
        <v>188</v>
      </c>
      <c r="G94" s="58"/>
      <c r="H94" s="58"/>
      <c r="I94" s="58"/>
      <c r="J94" s="58"/>
      <c r="K94" s="58"/>
      <c r="L94" s="34"/>
      <c r="M94" s="34"/>
      <c r="N94" s="34"/>
      <c r="O94" s="42"/>
      <c r="P94" s="42"/>
      <c r="Q94" s="42"/>
      <c r="R94" s="49"/>
      <c r="S94" s="58" t="n">
        <v>14</v>
      </c>
      <c r="T94" s="58" t="n">
        <v>6</v>
      </c>
      <c r="U94" s="34" t="s">
        <v>84</v>
      </c>
      <c r="V94" s="36" t="s">
        <v>91</v>
      </c>
      <c r="W94" s="39" t="s">
        <v>84</v>
      </c>
      <c r="X94" s="42"/>
      <c r="Y94" s="50"/>
      <c r="Z94" s="48"/>
      <c r="AA94" s="42"/>
      <c r="AB94" s="42" t="n">
        <f aca="false">AA94*5</f>
        <v>0</v>
      </c>
      <c r="AC94" s="43" t="n">
        <v>0</v>
      </c>
      <c r="AD94" s="43" t="n">
        <v>0</v>
      </c>
      <c r="AE94" s="43" t="n">
        <v>0</v>
      </c>
      <c r="AF94" s="43" t="n">
        <v>7000</v>
      </c>
      <c r="AG94" s="42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58"/>
      <c r="AW94" s="58"/>
      <c r="AX94" s="58"/>
      <c r="AY94" s="34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2"/>
      <c r="BU94" s="46"/>
      <c r="BV94" s="46"/>
      <c r="BW94" s="46"/>
      <c r="BX94" s="46"/>
    </row>
    <row r="95" customFormat="false" ht="12.8" hidden="false" customHeight="false" outlineLevel="0" collapsed="false">
      <c r="A95" s="36" t="s">
        <v>258</v>
      </c>
      <c r="B95" s="35" t="s">
        <v>113</v>
      </c>
      <c r="C95" s="34" t="s">
        <v>268</v>
      </c>
      <c r="D95" s="35" t="s">
        <v>263</v>
      </c>
      <c r="E95" s="34" t="s">
        <v>88</v>
      </c>
      <c r="F95" s="35" t="s">
        <v>237</v>
      </c>
      <c r="G95" s="58"/>
      <c r="H95" s="35" t="s">
        <v>96</v>
      </c>
      <c r="I95" s="34" t="s">
        <v>87</v>
      </c>
      <c r="J95" s="34" t="s">
        <v>88</v>
      </c>
      <c r="K95" s="34" t="s">
        <v>88</v>
      </c>
      <c r="L95" s="34" t="s">
        <v>89</v>
      </c>
      <c r="M95" s="34" t="s">
        <v>88</v>
      </c>
      <c r="N95" s="34" t="s">
        <v>89</v>
      </c>
      <c r="O95" s="42" t="n">
        <v>37380</v>
      </c>
      <c r="P95" s="42" t="n">
        <v>4670</v>
      </c>
      <c r="Q95" s="42" t="n">
        <v>2430</v>
      </c>
      <c r="R95" s="49" t="n">
        <v>0.0877314814824786</v>
      </c>
      <c r="S95" s="58" t="n">
        <v>14</v>
      </c>
      <c r="T95" s="58" t="n">
        <v>6</v>
      </c>
      <c r="U95" s="34" t="s">
        <v>84</v>
      </c>
      <c r="V95" s="36" t="s">
        <v>91</v>
      </c>
      <c r="W95" s="39" t="s">
        <v>84</v>
      </c>
      <c r="X95" s="42" t="n">
        <v>51120</v>
      </c>
      <c r="Y95" s="50" t="n">
        <v>50</v>
      </c>
      <c r="Z95" s="48" t="n">
        <v>0.1</v>
      </c>
      <c r="AA95" s="42" t="n">
        <v>600</v>
      </c>
      <c r="AB95" s="42" t="n">
        <f aca="false">AA95*5</f>
        <v>0</v>
      </c>
      <c r="AC95" s="43" t="n">
        <v>4114</v>
      </c>
      <c r="AD95" s="43" t="n">
        <v>345</v>
      </c>
      <c r="AE95" s="43" t="n">
        <v>288</v>
      </c>
      <c r="AF95" s="43" t="n">
        <v>7000</v>
      </c>
      <c r="AG95" s="42" t="n">
        <v>25000</v>
      </c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58"/>
      <c r="AW95" s="58"/>
      <c r="AX95" s="58"/>
      <c r="AY95" s="35" t="s">
        <v>92</v>
      </c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2"/>
      <c r="BU95" s="46"/>
      <c r="BV95" s="46"/>
      <c r="BW95" s="46"/>
      <c r="BX95" s="46"/>
    </row>
    <row r="96" customFormat="false" ht="12.8" hidden="false" customHeight="false" outlineLevel="0" collapsed="false">
      <c r="A96" s="36" t="s">
        <v>258</v>
      </c>
      <c r="B96" s="35" t="s">
        <v>113</v>
      </c>
      <c r="C96" s="35" t="s">
        <v>272</v>
      </c>
      <c r="D96" s="35" t="s">
        <v>273</v>
      </c>
      <c r="E96" s="34" t="s">
        <v>89</v>
      </c>
      <c r="F96" s="36" t="s">
        <v>148</v>
      </c>
      <c r="G96" s="58"/>
      <c r="H96" s="36" t="s">
        <v>96</v>
      </c>
      <c r="I96" s="34" t="s">
        <v>88</v>
      </c>
      <c r="J96" s="34" t="s">
        <v>88</v>
      </c>
      <c r="K96" s="34" t="s">
        <v>88</v>
      </c>
      <c r="L96" s="34" t="s">
        <v>88</v>
      </c>
      <c r="M96" s="34" t="s">
        <v>88</v>
      </c>
      <c r="N96" s="34" t="s">
        <v>89</v>
      </c>
      <c r="O96" s="42" t="n">
        <v>42250</v>
      </c>
      <c r="P96" s="42" t="n">
        <v>3090</v>
      </c>
      <c r="Q96" s="42" t="n">
        <v>2200</v>
      </c>
      <c r="R96" s="49" t="n">
        <v>0.0736111111109494</v>
      </c>
      <c r="S96" s="58" t="n">
        <v>14</v>
      </c>
      <c r="T96" s="58" t="n">
        <v>8</v>
      </c>
      <c r="U96" s="34" t="s">
        <v>84</v>
      </c>
      <c r="V96" s="36" t="s">
        <v>91</v>
      </c>
      <c r="W96" s="39" t="s">
        <v>84</v>
      </c>
      <c r="X96" s="42" t="n">
        <v>41720</v>
      </c>
      <c r="Y96" s="50" t="n">
        <v>50</v>
      </c>
      <c r="Z96" s="48" t="n">
        <v>0.1</v>
      </c>
      <c r="AA96" s="42" t="n">
        <v>600</v>
      </c>
      <c r="AB96" s="42" t="n">
        <f aca="false">AA96*5</f>
        <v>0</v>
      </c>
      <c r="AC96" s="43" t="n">
        <v>3200</v>
      </c>
      <c r="AD96" s="43" t="n">
        <v>1920</v>
      </c>
      <c r="AE96" s="43" t="n">
        <v>256</v>
      </c>
      <c r="AF96" s="43" t="n">
        <v>7000</v>
      </c>
      <c r="AG96" s="42" t="n">
        <v>36000</v>
      </c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58"/>
      <c r="AW96" s="58"/>
      <c r="AX96" s="58"/>
      <c r="AY96" s="34"/>
      <c r="AZ96" s="58"/>
      <c r="BA96" s="58"/>
      <c r="BB96" s="58"/>
      <c r="BC96" s="58"/>
      <c r="BD96" s="58"/>
      <c r="BE96" s="58"/>
      <c r="BF96" s="35" t="s">
        <v>92</v>
      </c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2"/>
      <c r="BU96" s="46"/>
      <c r="BV96" s="46"/>
      <c r="BW96" s="46"/>
      <c r="BX96" s="46"/>
    </row>
    <row r="97" customFormat="false" ht="12.8" hidden="false" customHeight="false" outlineLevel="0" collapsed="false">
      <c r="A97" s="36" t="s">
        <v>258</v>
      </c>
      <c r="B97" s="35" t="s">
        <v>113</v>
      </c>
      <c r="C97" s="35" t="s">
        <v>272</v>
      </c>
      <c r="D97" s="35" t="s">
        <v>274</v>
      </c>
      <c r="E97" s="58" t="s">
        <v>87</v>
      </c>
      <c r="F97" s="36" t="s">
        <v>237</v>
      </c>
      <c r="G97" s="58"/>
      <c r="H97" s="36" t="s">
        <v>96</v>
      </c>
      <c r="I97" s="34" t="s">
        <v>88</v>
      </c>
      <c r="J97" s="34" t="s">
        <v>88</v>
      </c>
      <c r="K97" s="34" t="s">
        <v>88</v>
      </c>
      <c r="L97" s="34" t="s">
        <v>89</v>
      </c>
      <c r="M97" s="34" t="s">
        <v>88</v>
      </c>
      <c r="N97" s="34" t="s">
        <v>87</v>
      </c>
      <c r="O97" s="42" t="n">
        <v>47060</v>
      </c>
      <c r="P97" s="42" t="n">
        <v>3950</v>
      </c>
      <c r="Q97" s="42" t="n">
        <v>3430</v>
      </c>
      <c r="R97" s="49" t="n">
        <v>0.0994212962978054</v>
      </c>
      <c r="S97" s="58" t="n">
        <v>14</v>
      </c>
      <c r="T97" s="58" t="n">
        <v>8</v>
      </c>
      <c r="U97" s="34" t="s">
        <v>84</v>
      </c>
      <c r="V97" s="36" t="s">
        <v>91</v>
      </c>
      <c r="W97" s="39" t="s">
        <v>84</v>
      </c>
      <c r="X97" s="42" t="n">
        <v>41720</v>
      </c>
      <c r="Y97" s="50" t="n">
        <v>50</v>
      </c>
      <c r="Z97" s="48" t="n">
        <v>0.1</v>
      </c>
      <c r="AA97" s="42" t="n">
        <v>600</v>
      </c>
      <c r="AB97" s="42" t="n">
        <f aca="false">AA97*5</f>
        <v>0</v>
      </c>
      <c r="AC97" s="43" t="n">
        <v>3200</v>
      </c>
      <c r="AD97" s="43" t="n">
        <v>1920</v>
      </c>
      <c r="AE97" s="43" t="n">
        <v>256</v>
      </c>
      <c r="AF97" s="43" t="n">
        <v>7000</v>
      </c>
      <c r="AG97" s="42" t="n">
        <v>28000</v>
      </c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58"/>
      <c r="AW97" s="58"/>
      <c r="AX97" s="58"/>
      <c r="AY97" s="35" t="s">
        <v>92</v>
      </c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2"/>
      <c r="BU97" s="46"/>
      <c r="BV97" s="46"/>
      <c r="BW97" s="46"/>
      <c r="BX97" s="46"/>
    </row>
    <row r="98" customFormat="false" ht="12.8" hidden="false" customHeight="false" outlineLevel="0" collapsed="false">
      <c r="A98" s="36" t="s">
        <v>258</v>
      </c>
      <c r="B98" s="35" t="s">
        <v>113</v>
      </c>
      <c r="C98" s="35" t="s">
        <v>272</v>
      </c>
      <c r="D98" s="35" t="s">
        <v>275</v>
      </c>
      <c r="E98" s="34" t="s">
        <v>88</v>
      </c>
      <c r="F98" s="36" t="s">
        <v>237</v>
      </c>
      <c r="G98" s="35" t="s">
        <v>227</v>
      </c>
      <c r="H98" s="36" t="s">
        <v>96</v>
      </c>
      <c r="I98" s="34" t="s">
        <v>88</v>
      </c>
      <c r="J98" s="34" t="s">
        <v>88</v>
      </c>
      <c r="K98" s="34" t="s">
        <v>88</v>
      </c>
      <c r="L98" s="34" t="s">
        <v>89</v>
      </c>
      <c r="M98" s="34" t="s">
        <v>88</v>
      </c>
      <c r="N98" s="34" t="s">
        <v>89</v>
      </c>
      <c r="O98" s="42" t="n">
        <v>47060</v>
      </c>
      <c r="P98" s="42" t="n">
        <v>3950</v>
      </c>
      <c r="Q98" s="42" t="n">
        <v>3430</v>
      </c>
      <c r="R98" s="49" t="n">
        <v>0.0994212962978054</v>
      </c>
      <c r="S98" s="58" t="n">
        <v>14</v>
      </c>
      <c r="T98" s="58" t="n">
        <v>6</v>
      </c>
      <c r="U98" s="34" t="s">
        <v>84</v>
      </c>
      <c r="V98" s="36" t="s">
        <v>91</v>
      </c>
      <c r="W98" s="39" t="s">
        <v>84</v>
      </c>
      <c r="X98" s="42" t="n">
        <v>41720</v>
      </c>
      <c r="Y98" s="50" t="n">
        <v>30</v>
      </c>
      <c r="Z98" s="48" t="n">
        <v>0.1</v>
      </c>
      <c r="AA98" s="42" t="n">
        <v>750</v>
      </c>
      <c r="AB98" s="42" t="n">
        <f aca="false">AA98*5</f>
        <v>0</v>
      </c>
      <c r="AC98" s="43" t="n">
        <v>3200</v>
      </c>
      <c r="AD98" s="43" t="n">
        <v>1920</v>
      </c>
      <c r="AE98" s="43" t="n">
        <v>256</v>
      </c>
      <c r="AF98" s="43" t="n">
        <v>7000</v>
      </c>
      <c r="AG98" s="42" t="n">
        <v>20000</v>
      </c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58"/>
      <c r="AW98" s="58"/>
      <c r="AX98" s="58"/>
      <c r="AY98" s="35" t="s">
        <v>92</v>
      </c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35" t="s">
        <v>92</v>
      </c>
      <c r="BK98" s="58"/>
      <c r="BL98" s="58"/>
      <c r="BM98" s="58"/>
      <c r="BN98" s="58"/>
      <c r="BO98" s="58"/>
      <c r="BP98" s="58"/>
      <c r="BQ98" s="58"/>
      <c r="BR98" s="58"/>
      <c r="BS98" s="58"/>
      <c r="BT98" s="52"/>
      <c r="BU98" s="46"/>
      <c r="BV98" s="46"/>
      <c r="BW98" s="46"/>
      <c r="BX98" s="46"/>
    </row>
    <row r="99" s="73" customFormat="true" ht="12.8" hidden="false" customHeight="false" outlineLevel="0" collapsed="false">
      <c r="A99" s="60" t="s">
        <v>258</v>
      </c>
      <c r="B99" s="60" t="s">
        <v>158</v>
      </c>
      <c r="C99" s="60" t="s">
        <v>276</v>
      </c>
      <c r="D99" s="60" t="s">
        <v>277</v>
      </c>
      <c r="E99" s="61" t="s">
        <v>89</v>
      </c>
      <c r="F99" s="60" t="s">
        <v>178</v>
      </c>
      <c r="G99" s="60"/>
      <c r="H99" s="60" t="s">
        <v>135</v>
      </c>
      <c r="I99" s="61" t="s">
        <v>89</v>
      </c>
      <c r="J99" s="61" t="s">
        <v>88</v>
      </c>
      <c r="K99" s="61" t="s">
        <v>87</v>
      </c>
      <c r="L99" s="62" t="s">
        <v>84</v>
      </c>
      <c r="M99" s="61" t="s">
        <v>87</v>
      </c>
      <c r="N99" s="61" t="s">
        <v>88</v>
      </c>
      <c r="O99" s="68" t="n">
        <v>55900</v>
      </c>
      <c r="P99" s="68" t="n">
        <v>9250</v>
      </c>
      <c r="Q99" s="68" t="n">
        <v>2550</v>
      </c>
      <c r="R99" s="89" t="n">
        <v>0.124421296295623</v>
      </c>
      <c r="S99" s="60" t="n">
        <v>18</v>
      </c>
      <c r="T99" s="60" t="n">
        <v>8</v>
      </c>
      <c r="U99" s="62" t="s">
        <v>84</v>
      </c>
      <c r="V99" s="60" t="s">
        <v>91</v>
      </c>
      <c r="W99" s="90" t="s">
        <v>84</v>
      </c>
      <c r="X99" s="68" t="n">
        <v>53690</v>
      </c>
      <c r="Y99" s="69" t="n">
        <v>50</v>
      </c>
      <c r="Z99" s="70" t="n">
        <v>0.1</v>
      </c>
      <c r="AA99" s="68" t="n">
        <v>650</v>
      </c>
      <c r="AB99" s="68" t="n">
        <f aca="false">AA99*5</f>
        <v>0</v>
      </c>
      <c r="AC99" s="63" t="n">
        <v>19928</v>
      </c>
      <c r="AD99" s="63" t="n">
        <v>1260</v>
      </c>
      <c r="AE99" s="63" t="n">
        <v>3753</v>
      </c>
      <c r="AF99" s="63" t="n">
        <v>7000</v>
      </c>
      <c r="AG99" s="68" t="n">
        <v>20000</v>
      </c>
      <c r="AH99" s="70"/>
      <c r="AI99" s="70" t="n">
        <v>0.15</v>
      </c>
      <c r="AJ99" s="70"/>
      <c r="AK99" s="70"/>
      <c r="AL99" s="70"/>
      <c r="AM99" s="70"/>
      <c r="AN99" s="70"/>
      <c r="AO99" s="70" t="n">
        <v>0.05</v>
      </c>
      <c r="AP99" s="70"/>
      <c r="AQ99" s="70"/>
      <c r="AR99" s="70"/>
      <c r="AS99" s="70"/>
      <c r="AT99" s="70"/>
      <c r="AU99" s="70"/>
      <c r="AV99" s="60" t="s">
        <v>157</v>
      </c>
      <c r="AW99" s="60"/>
      <c r="AX99" s="60"/>
      <c r="AY99" s="60"/>
      <c r="AZ99" s="60"/>
      <c r="BA99" s="60" t="s">
        <v>92</v>
      </c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72"/>
      <c r="BU99" s="91"/>
      <c r="BV99" s="91"/>
      <c r="BW99" s="91"/>
      <c r="BX99" s="91"/>
    </row>
    <row r="100" customFormat="false" ht="12.8" hidden="false" customHeight="false" outlineLevel="0" collapsed="false">
      <c r="A100" s="36" t="s">
        <v>258</v>
      </c>
      <c r="B100" s="36" t="s">
        <v>158</v>
      </c>
      <c r="C100" s="36" t="s">
        <v>276</v>
      </c>
      <c r="D100" s="36" t="s">
        <v>278</v>
      </c>
      <c r="E100" s="58" t="s">
        <v>87</v>
      </c>
      <c r="F100" s="36" t="s">
        <v>116</v>
      </c>
      <c r="G100" s="58"/>
      <c r="H100" s="58"/>
      <c r="I100" s="58" t="s">
        <v>89</v>
      </c>
      <c r="J100" s="58" t="s">
        <v>88</v>
      </c>
      <c r="K100" s="58" t="s">
        <v>88</v>
      </c>
      <c r="L100" s="34" t="s">
        <v>84</v>
      </c>
      <c r="M100" s="58" t="s">
        <v>87</v>
      </c>
      <c r="N100" s="58" t="s">
        <v>88</v>
      </c>
      <c r="O100" s="42"/>
      <c r="P100" s="42"/>
      <c r="Q100" s="42"/>
      <c r="R100" s="49"/>
      <c r="S100" s="58" t="n">
        <v>18</v>
      </c>
      <c r="T100" s="58" t="n">
        <v>8</v>
      </c>
      <c r="U100" s="34" t="s">
        <v>84</v>
      </c>
      <c r="V100" s="36" t="s">
        <v>91</v>
      </c>
      <c r="W100" s="39" t="s">
        <v>84</v>
      </c>
      <c r="X100" s="42" t="n">
        <v>53690</v>
      </c>
      <c r="Y100" s="50" t="n">
        <v>50</v>
      </c>
      <c r="Z100" s="48" t="n">
        <v>0.1</v>
      </c>
      <c r="AA100" s="42" t="n">
        <v>650</v>
      </c>
      <c r="AB100" s="42" t="n">
        <f aca="false">AA100*5</f>
        <v>0</v>
      </c>
      <c r="AC100" s="43" t="n">
        <v>0</v>
      </c>
      <c r="AD100" s="43" t="n">
        <v>0</v>
      </c>
      <c r="AE100" s="43" t="n">
        <v>0</v>
      </c>
      <c r="AF100" s="43" t="n">
        <v>7000</v>
      </c>
      <c r="AG100" s="42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2"/>
      <c r="BU100" s="46"/>
      <c r="BV100" s="46"/>
      <c r="BW100" s="46"/>
      <c r="BX100" s="46"/>
    </row>
    <row r="101" customFormat="false" ht="12.8" hidden="false" customHeight="false" outlineLevel="0" collapsed="false">
      <c r="A101" s="36" t="s">
        <v>258</v>
      </c>
      <c r="B101" s="36" t="s">
        <v>158</v>
      </c>
      <c r="C101" s="36" t="s">
        <v>276</v>
      </c>
      <c r="D101" s="36" t="s">
        <v>279</v>
      </c>
      <c r="E101" s="58" t="s">
        <v>88</v>
      </c>
      <c r="F101" s="36" t="s">
        <v>153</v>
      </c>
      <c r="G101" s="58"/>
      <c r="H101" s="58"/>
      <c r="I101" s="58" t="s">
        <v>89</v>
      </c>
      <c r="J101" s="58" t="s">
        <v>87</v>
      </c>
      <c r="K101" s="58" t="s">
        <v>89</v>
      </c>
      <c r="L101" s="34" t="s">
        <v>84</v>
      </c>
      <c r="M101" s="58" t="s">
        <v>87</v>
      </c>
      <c r="N101" s="58" t="s">
        <v>88</v>
      </c>
      <c r="O101" s="42"/>
      <c r="P101" s="42"/>
      <c r="Q101" s="42"/>
      <c r="R101" s="49"/>
      <c r="S101" s="58" t="n">
        <v>18</v>
      </c>
      <c r="T101" s="58" t="n">
        <v>8</v>
      </c>
      <c r="U101" s="34" t="s">
        <v>84</v>
      </c>
      <c r="V101" s="36" t="s">
        <v>91</v>
      </c>
      <c r="W101" s="39" t="s">
        <v>84</v>
      </c>
      <c r="X101" s="42" t="n">
        <v>53690</v>
      </c>
      <c r="Y101" s="50" t="n">
        <v>50</v>
      </c>
      <c r="Z101" s="48" t="n">
        <v>0.1</v>
      </c>
      <c r="AA101" s="42" t="n">
        <v>650</v>
      </c>
      <c r="AB101" s="42" t="n">
        <f aca="false">AA101*5</f>
        <v>0</v>
      </c>
      <c r="AC101" s="43" t="n">
        <v>0</v>
      </c>
      <c r="AD101" s="43" t="n">
        <v>0</v>
      </c>
      <c r="AE101" s="43" t="n">
        <v>0</v>
      </c>
      <c r="AF101" s="43" t="n">
        <v>7000</v>
      </c>
      <c r="AG101" s="42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2"/>
      <c r="BU101" s="46"/>
      <c r="BV101" s="46"/>
      <c r="BW101" s="46"/>
      <c r="BX101" s="46"/>
    </row>
    <row r="102" customFormat="false" ht="12.8" hidden="false" customHeight="false" outlineLevel="0" collapsed="false">
      <c r="A102" s="36" t="s">
        <v>258</v>
      </c>
      <c r="B102" s="36" t="s">
        <v>158</v>
      </c>
      <c r="C102" s="36" t="s">
        <v>280</v>
      </c>
      <c r="D102" s="36" t="s">
        <v>281</v>
      </c>
      <c r="E102" s="58" t="s">
        <v>89</v>
      </c>
      <c r="F102" s="36" t="s">
        <v>143</v>
      </c>
      <c r="G102" s="58"/>
      <c r="H102" s="36" t="s">
        <v>96</v>
      </c>
      <c r="I102" s="58" t="s">
        <v>89</v>
      </c>
      <c r="J102" s="58" t="s">
        <v>88</v>
      </c>
      <c r="K102" s="58" t="s">
        <v>87</v>
      </c>
      <c r="L102" s="34" t="s">
        <v>84</v>
      </c>
      <c r="M102" s="58" t="s">
        <v>88</v>
      </c>
      <c r="N102" s="58" t="s">
        <v>88</v>
      </c>
      <c r="O102" s="42" t="n">
        <v>59110</v>
      </c>
      <c r="P102" s="42" t="n">
        <v>10120</v>
      </c>
      <c r="Q102" s="42" t="n">
        <v>3190</v>
      </c>
      <c r="R102" s="49" t="n">
        <v>0.143055555556202</v>
      </c>
      <c r="S102" s="58" t="n">
        <v>20</v>
      </c>
      <c r="T102" s="58" t="n">
        <v>8</v>
      </c>
      <c r="U102" s="34" t="s">
        <v>84</v>
      </c>
      <c r="V102" s="36" t="s">
        <v>91</v>
      </c>
      <c r="W102" s="39" t="s">
        <v>84</v>
      </c>
      <c r="X102" s="42" t="n">
        <v>70810</v>
      </c>
      <c r="Y102" s="50" t="n">
        <v>40</v>
      </c>
      <c r="Z102" s="48" t="n">
        <v>0.1</v>
      </c>
      <c r="AA102" s="42" t="n">
        <v>400</v>
      </c>
      <c r="AB102" s="42" t="n">
        <f aca="false">AA102*5</f>
        <v>0</v>
      </c>
      <c r="AC102" s="43" t="n">
        <v>15050</v>
      </c>
      <c r="AD102" s="43" t="n">
        <v>1400</v>
      </c>
      <c r="AE102" s="43" t="n">
        <v>3983</v>
      </c>
      <c r="AF102" s="43" t="n">
        <v>5000</v>
      </c>
      <c r="AG102" s="42" t="n">
        <v>21000</v>
      </c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36" t="s">
        <v>20</v>
      </c>
      <c r="AW102" s="58"/>
      <c r="AX102" s="58"/>
      <c r="AY102" s="58"/>
      <c r="AZ102" s="36" t="s">
        <v>92</v>
      </c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2"/>
      <c r="BU102" s="46"/>
      <c r="BV102" s="46"/>
      <c r="BW102" s="46"/>
      <c r="BX102" s="46"/>
    </row>
    <row r="103" customFormat="false" ht="12.8" hidden="false" customHeight="false" outlineLevel="0" collapsed="false">
      <c r="A103" s="36" t="s">
        <v>258</v>
      </c>
      <c r="B103" s="36" t="s">
        <v>158</v>
      </c>
      <c r="C103" s="36" t="s">
        <v>280</v>
      </c>
      <c r="D103" s="36" t="s">
        <v>282</v>
      </c>
      <c r="E103" s="58" t="s">
        <v>87</v>
      </c>
      <c r="F103" s="36" t="s">
        <v>116</v>
      </c>
      <c r="G103" s="58"/>
      <c r="H103" s="58"/>
      <c r="I103" s="58" t="s">
        <v>102</v>
      </c>
      <c r="J103" s="58" t="s">
        <v>88</v>
      </c>
      <c r="K103" s="58" t="s">
        <v>87</v>
      </c>
      <c r="L103" s="34" t="s">
        <v>84</v>
      </c>
      <c r="M103" s="58" t="s">
        <v>88</v>
      </c>
      <c r="N103" s="58" t="s">
        <v>88</v>
      </c>
      <c r="O103" s="42"/>
      <c r="P103" s="42"/>
      <c r="Q103" s="42"/>
      <c r="R103" s="49"/>
      <c r="S103" s="58" t="n">
        <v>20</v>
      </c>
      <c r="T103" s="58" t="n">
        <v>8</v>
      </c>
      <c r="U103" s="34" t="s">
        <v>84</v>
      </c>
      <c r="V103" s="36" t="s">
        <v>91</v>
      </c>
      <c r="W103" s="39" t="s">
        <v>84</v>
      </c>
      <c r="X103" s="42" t="n">
        <v>70810</v>
      </c>
      <c r="Y103" s="50" t="n">
        <v>40</v>
      </c>
      <c r="Z103" s="48" t="n">
        <v>0.1</v>
      </c>
      <c r="AA103" s="42" t="n">
        <v>400</v>
      </c>
      <c r="AB103" s="42" t="n">
        <f aca="false">AA103*5</f>
        <v>0</v>
      </c>
      <c r="AC103" s="43" t="n">
        <v>0</v>
      </c>
      <c r="AD103" s="43" t="n">
        <v>0</v>
      </c>
      <c r="AE103" s="43" t="n">
        <v>0</v>
      </c>
      <c r="AF103" s="43" t="n">
        <v>5000</v>
      </c>
      <c r="AG103" s="42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2"/>
      <c r="BU103" s="46"/>
      <c r="BV103" s="46"/>
      <c r="BW103" s="46"/>
      <c r="BX103" s="46"/>
    </row>
    <row r="104" customFormat="false" ht="12.8" hidden="false" customHeight="false" outlineLevel="0" collapsed="false">
      <c r="A104" s="36" t="s">
        <v>258</v>
      </c>
      <c r="B104" s="36" t="s">
        <v>158</v>
      </c>
      <c r="C104" s="36" t="s">
        <v>280</v>
      </c>
      <c r="D104" s="35" t="s">
        <v>283</v>
      </c>
      <c r="E104" s="34" t="s">
        <v>88</v>
      </c>
      <c r="F104" s="36" t="s">
        <v>188</v>
      </c>
      <c r="G104" s="58"/>
      <c r="H104" s="58"/>
      <c r="I104" s="58" t="s">
        <v>87</v>
      </c>
      <c r="J104" s="58" t="s">
        <v>88</v>
      </c>
      <c r="K104" s="58" t="s">
        <v>87</v>
      </c>
      <c r="L104" s="34" t="s">
        <v>84</v>
      </c>
      <c r="M104" s="58" t="s">
        <v>88</v>
      </c>
      <c r="N104" s="58" t="s">
        <v>88</v>
      </c>
      <c r="O104" s="42"/>
      <c r="P104" s="42"/>
      <c r="Q104" s="42"/>
      <c r="R104" s="49"/>
      <c r="S104" s="58" t="n">
        <v>20</v>
      </c>
      <c r="T104" s="58" t="n">
        <v>8</v>
      </c>
      <c r="U104" s="34" t="s">
        <v>84</v>
      </c>
      <c r="V104" s="36" t="s">
        <v>91</v>
      </c>
      <c r="W104" s="39" t="s">
        <v>84</v>
      </c>
      <c r="X104" s="42" t="n">
        <v>70810</v>
      </c>
      <c r="Y104" s="50" t="n">
        <v>40</v>
      </c>
      <c r="Z104" s="48" t="n">
        <v>0.1</v>
      </c>
      <c r="AA104" s="42" t="n">
        <v>400</v>
      </c>
      <c r="AB104" s="42" t="n">
        <f aca="false">AA104*5</f>
        <v>0</v>
      </c>
      <c r="AC104" s="43" t="n">
        <v>0</v>
      </c>
      <c r="AD104" s="43" t="n">
        <v>0</v>
      </c>
      <c r="AE104" s="43" t="n">
        <v>0</v>
      </c>
      <c r="AF104" s="43" t="n">
        <v>7000</v>
      </c>
      <c r="AG104" s="42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2"/>
      <c r="BU104" s="46"/>
      <c r="BV104" s="46"/>
      <c r="BW104" s="46"/>
      <c r="BX104" s="46"/>
    </row>
    <row r="105" customFormat="false" ht="12.8" hidden="false" customHeight="false" outlineLevel="0" collapsed="false">
      <c r="A105" s="36" t="s">
        <v>258</v>
      </c>
      <c r="B105" s="36" t="s">
        <v>158</v>
      </c>
      <c r="C105" s="35" t="s">
        <v>284</v>
      </c>
      <c r="D105" s="35" t="s">
        <v>285</v>
      </c>
      <c r="E105" s="34" t="s">
        <v>89</v>
      </c>
      <c r="F105" s="35" t="s">
        <v>176</v>
      </c>
      <c r="G105" s="35" t="s">
        <v>202</v>
      </c>
      <c r="H105" s="35" t="s">
        <v>86</v>
      </c>
      <c r="I105" s="34" t="s">
        <v>87</v>
      </c>
      <c r="J105" s="34" t="s">
        <v>88</v>
      </c>
      <c r="K105" s="34" t="s">
        <v>88</v>
      </c>
      <c r="L105" s="34" t="s">
        <v>84</v>
      </c>
      <c r="M105" s="34" t="s">
        <v>87</v>
      </c>
      <c r="N105" s="34" t="s">
        <v>89</v>
      </c>
      <c r="O105" s="42" t="n">
        <v>50880</v>
      </c>
      <c r="P105" s="42" t="n">
        <v>6630</v>
      </c>
      <c r="Q105" s="42" t="n">
        <v>2100</v>
      </c>
      <c r="R105" s="49" t="n">
        <v>0.0998842592598521</v>
      </c>
      <c r="S105" s="58" t="n">
        <v>20</v>
      </c>
      <c r="T105" s="58" t="n">
        <v>8</v>
      </c>
      <c r="U105" s="34" t="s">
        <v>84</v>
      </c>
      <c r="V105" s="36" t="s">
        <v>91</v>
      </c>
      <c r="W105" s="39" t="s">
        <v>84</v>
      </c>
      <c r="X105" s="42" t="n">
        <v>61850</v>
      </c>
      <c r="Y105" s="50" t="n">
        <v>30</v>
      </c>
      <c r="Z105" s="48" t="n">
        <v>0.1</v>
      </c>
      <c r="AA105" s="42" t="n">
        <v>450</v>
      </c>
      <c r="AB105" s="42" t="n">
        <f aca="false">AA105*5</f>
        <v>0</v>
      </c>
      <c r="AC105" s="43" t="n">
        <v>12960</v>
      </c>
      <c r="AD105" s="43" t="n">
        <v>3072</v>
      </c>
      <c r="AE105" s="43" t="n">
        <v>1320</v>
      </c>
      <c r="AF105" s="43" t="n">
        <v>7000</v>
      </c>
      <c r="AG105" s="42" t="n">
        <v>20000</v>
      </c>
      <c r="AH105" s="48"/>
      <c r="AI105" s="48" t="n">
        <v>0.15</v>
      </c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35" t="s">
        <v>157</v>
      </c>
      <c r="AW105" s="58"/>
      <c r="AX105" s="58"/>
      <c r="AY105" s="34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34"/>
      <c r="BK105" s="58"/>
      <c r="BL105" s="35" t="s">
        <v>92</v>
      </c>
      <c r="BM105" s="58"/>
      <c r="BN105" s="58"/>
      <c r="BO105" s="58"/>
      <c r="BP105" s="58"/>
      <c r="BQ105" s="58"/>
      <c r="BR105" s="58"/>
      <c r="BS105" s="58"/>
      <c r="BT105" s="52"/>
      <c r="BU105" s="46"/>
      <c r="BV105" s="46"/>
      <c r="BW105" s="46"/>
      <c r="BX105" s="46"/>
    </row>
    <row r="106" customFormat="false" ht="12.8" hidden="false" customHeight="false" outlineLevel="0" collapsed="false">
      <c r="A106" s="36" t="s">
        <v>258</v>
      </c>
      <c r="B106" s="36" t="s">
        <v>158</v>
      </c>
      <c r="C106" s="35" t="s">
        <v>284</v>
      </c>
      <c r="D106" s="35" t="s">
        <v>286</v>
      </c>
      <c r="E106" s="34" t="s">
        <v>87</v>
      </c>
      <c r="F106" s="35" t="s">
        <v>287</v>
      </c>
      <c r="G106" s="35" t="s">
        <v>202</v>
      </c>
      <c r="H106" s="34"/>
      <c r="I106" s="34"/>
      <c r="J106" s="34"/>
      <c r="K106" s="34"/>
      <c r="L106" s="34"/>
      <c r="M106" s="34"/>
      <c r="N106" s="34"/>
      <c r="O106" s="42"/>
      <c r="P106" s="42"/>
      <c r="Q106" s="42"/>
      <c r="R106" s="49"/>
      <c r="S106" s="58" t="n">
        <v>20</v>
      </c>
      <c r="T106" s="58" t="n">
        <v>8</v>
      </c>
      <c r="U106" s="34" t="s">
        <v>84</v>
      </c>
      <c r="V106" s="36" t="s">
        <v>91</v>
      </c>
      <c r="W106" s="39" t="s">
        <v>84</v>
      </c>
      <c r="X106" s="42"/>
      <c r="Y106" s="50"/>
      <c r="Z106" s="48"/>
      <c r="AA106" s="42"/>
      <c r="AB106" s="42"/>
      <c r="AC106" s="43"/>
      <c r="AD106" s="43"/>
      <c r="AE106" s="43"/>
      <c r="AF106" s="43" t="n">
        <v>7000</v>
      </c>
      <c r="AG106" s="42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34"/>
      <c r="AW106" s="58"/>
      <c r="AX106" s="58"/>
      <c r="AY106" s="34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34"/>
      <c r="BK106" s="58"/>
      <c r="BL106" s="34"/>
      <c r="BM106" s="58"/>
      <c r="BN106" s="58"/>
      <c r="BO106" s="58"/>
      <c r="BP106" s="58"/>
      <c r="BQ106" s="58"/>
      <c r="BR106" s="58"/>
      <c r="BS106" s="58"/>
      <c r="BT106" s="52"/>
      <c r="BU106" s="46"/>
      <c r="BV106" s="46"/>
      <c r="BW106" s="46"/>
      <c r="BX106" s="46"/>
    </row>
    <row r="107" customFormat="false" ht="12.8" hidden="false" customHeight="false" outlineLevel="0" collapsed="false">
      <c r="A107" s="36" t="s">
        <v>258</v>
      </c>
      <c r="B107" s="35" t="s">
        <v>81</v>
      </c>
      <c r="C107" s="36" t="s">
        <v>288</v>
      </c>
      <c r="D107" s="36" t="s">
        <v>289</v>
      </c>
      <c r="E107" s="58" t="s">
        <v>89</v>
      </c>
      <c r="F107" s="36" t="s">
        <v>148</v>
      </c>
      <c r="G107" s="58"/>
      <c r="H107" s="36" t="s">
        <v>86</v>
      </c>
      <c r="I107" s="58" t="s">
        <v>87</v>
      </c>
      <c r="J107" s="58" t="s">
        <v>87</v>
      </c>
      <c r="K107" s="58" t="s">
        <v>88</v>
      </c>
      <c r="L107" s="58" t="s">
        <v>87</v>
      </c>
      <c r="M107" s="58" t="s">
        <v>87</v>
      </c>
      <c r="N107" s="58" t="s">
        <v>87</v>
      </c>
      <c r="O107" s="42" t="n">
        <v>61950</v>
      </c>
      <c r="P107" s="42" t="n">
        <v>7670</v>
      </c>
      <c r="Q107" s="42" t="n">
        <v>2860</v>
      </c>
      <c r="R107" s="49" t="n">
        <v>0.125578703704377</v>
      </c>
      <c r="S107" s="58" t="n">
        <v>20</v>
      </c>
      <c r="T107" s="58" t="n">
        <v>8</v>
      </c>
      <c r="U107" s="34" t="s">
        <v>84</v>
      </c>
      <c r="V107" s="36" t="s">
        <v>91</v>
      </c>
      <c r="W107" s="39" t="s">
        <v>84</v>
      </c>
      <c r="X107" s="42" t="n">
        <v>61850</v>
      </c>
      <c r="Y107" s="50" t="n">
        <v>50</v>
      </c>
      <c r="Z107" s="48" t="n">
        <v>0.1</v>
      </c>
      <c r="AA107" s="42" t="n">
        <v>450</v>
      </c>
      <c r="AB107" s="42" t="n">
        <f aca="false">AA107*5</f>
        <v>0</v>
      </c>
      <c r="AC107" s="43" t="n">
        <v>14142</v>
      </c>
      <c r="AD107" s="43" t="n">
        <v>6940</v>
      </c>
      <c r="AE107" s="43" t="n">
        <v>1072</v>
      </c>
      <c r="AF107" s="43" t="n">
        <v>7000</v>
      </c>
      <c r="AG107" s="42" t="n">
        <v>26000</v>
      </c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36" t="s">
        <v>20</v>
      </c>
      <c r="AW107" s="36" t="s">
        <v>92</v>
      </c>
      <c r="AX107" s="58"/>
      <c r="AY107" s="58"/>
      <c r="AZ107" s="58"/>
      <c r="BA107" s="58"/>
      <c r="BB107" s="58"/>
      <c r="BC107" s="36" t="s">
        <v>92</v>
      </c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2"/>
      <c r="BU107" s="46"/>
      <c r="BV107" s="46"/>
      <c r="BW107" s="46"/>
      <c r="BX107" s="46"/>
    </row>
    <row r="108" customFormat="false" ht="12.8" hidden="false" customHeight="false" outlineLevel="0" collapsed="false">
      <c r="A108" s="36" t="s">
        <v>258</v>
      </c>
      <c r="B108" s="35" t="s">
        <v>81</v>
      </c>
      <c r="C108" s="36" t="s">
        <v>288</v>
      </c>
      <c r="D108" s="36" t="s">
        <v>290</v>
      </c>
      <c r="E108" s="58" t="s">
        <v>87</v>
      </c>
      <c r="F108" s="36" t="s">
        <v>163</v>
      </c>
      <c r="G108" s="58"/>
      <c r="H108" s="58"/>
      <c r="I108" s="58" t="s">
        <v>88</v>
      </c>
      <c r="J108" s="58" t="s">
        <v>89</v>
      </c>
      <c r="K108" s="58" t="s">
        <v>88</v>
      </c>
      <c r="L108" s="58" t="s">
        <v>89</v>
      </c>
      <c r="M108" s="58" t="s">
        <v>87</v>
      </c>
      <c r="N108" s="58" t="s">
        <v>87</v>
      </c>
      <c r="O108" s="42"/>
      <c r="P108" s="42"/>
      <c r="Q108" s="42"/>
      <c r="R108" s="49"/>
      <c r="S108" s="58" t="n">
        <v>20</v>
      </c>
      <c r="T108" s="58" t="n">
        <v>8</v>
      </c>
      <c r="U108" s="34" t="s">
        <v>84</v>
      </c>
      <c r="V108" s="36" t="s">
        <v>91</v>
      </c>
      <c r="W108" s="39" t="s">
        <v>84</v>
      </c>
      <c r="X108" s="42" t="n">
        <v>61850</v>
      </c>
      <c r="Y108" s="50" t="n">
        <v>50</v>
      </c>
      <c r="Z108" s="48" t="n">
        <v>0.1</v>
      </c>
      <c r="AA108" s="42" t="n">
        <v>450</v>
      </c>
      <c r="AB108" s="42" t="n">
        <f aca="false">AA108*5</f>
        <v>0</v>
      </c>
      <c r="AC108" s="43" t="n">
        <v>0</v>
      </c>
      <c r="AD108" s="43" t="n">
        <v>0</v>
      </c>
      <c r="AE108" s="43" t="n">
        <v>0</v>
      </c>
      <c r="AF108" s="43" t="n">
        <v>7000</v>
      </c>
      <c r="AG108" s="42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52"/>
      <c r="BU108" s="46"/>
      <c r="BV108" s="46"/>
      <c r="BW108" s="46"/>
      <c r="BX108" s="46"/>
    </row>
    <row r="109" customFormat="false" ht="12.8" hidden="false" customHeight="false" outlineLevel="0" collapsed="false">
      <c r="A109" s="36" t="s">
        <v>258</v>
      </c>
      <c r="B109" s="35" t="s">
        <v>81</v>
      </c>
      <c r="C109" s="36" t="s">
        <v>288</v>
      </c>
      <c r="D109" s="36" t="s">
        <v>291</v>
      </c>
      <c r="E109" s="58" t="s">
        <v>88</v>
      </c>
      <c r="F109" s="36" t="s">
        <v>170</v>
      </c>
      <c r="G109" s="58"/>
      <c r="H109" s="58"/>
      <c r="I109" s="58" t="s">
        <v>89</v>
      </c>
      <c r="J109" s="58" t="s">
        <v>88</v>
      </c>
      <c r="K109" s="58" t="s">
        <v>87</v>
      </c>
      <c r="L109" s="58" t="s">
        <v>88</v>
      </c>
      <c r="M109" s="58" t="s">
        <v>87</v>
      </c>
      <c r="N109" s="58" t="s">
        <v>87</v>
      </c>
      <c r="O109" s="42"/>
      <c r="P109" s="42"/>
      <c r="Q109" s="42"/>
      <c r="R109" s="49"/>
      <c r="S109" s="58" t="n">
        <v>20</v>
      </c>
      <c r="T109" s="58" t="n">
        <v>8</v>
      </c>
      <c r="U109" s="34" t="s">
        <v>84</v>
      </c>
      <c r="V109" s="36" t="s">
        <v>91</v>
      </c>
      <c r="W109" s="39" t="s">
        <v>84</v>
      </c>
      <c r="X109" s="42" t="n">
        <v>61850</v>
      </c>
      <c r="Y109" s="50" t="n">
        <v>50</v>
      </c>
      <c r="Z109" s="48" t="n">
        <v>0.1</v>
      </c>
      <c r="AA109" s="42" t="n">
        <v>450</v>
      </c>
      <c r="AB109" s="42" t="n">
        <f aca="false">AA109*5</f>
        <v>0</v>
      </c>
      <c r="AC109" s="43" t="n">
        <v>0</v>
      </c>
      <c r="AD109" s="43" t="n">
        <v>0</v>
      </c>
      <c r="AE109" s="43" t="n">
        <v>0</v>
      </c>
      <c r="AF109" s="43" t="n">
        <v>7000</v>
      </c>
      <c r="AG109" s="42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2"/>
      <c r="BU109" s="46"/>
      <c r="BV109" s="46"/>
      <c r="BW109" s="46"/>
      <c r="BX109" s="46"/>
    </row>
    <row r="110" customFormat="false" ht="12.8" hidden="false" customHeight="false" outlineLevel="0" collapsed="false">
      <c r="A110" s="36" t="s">
        <v>258</v>
      </c>
      <c r="B110" s="35" t="s">
        <v>81</v>
      </c>
      <c r="C110" s="36" t="s">
        <v>292</v>
      </c>
      <c r="D110" s="36" t="s">
        <v>293</v>
      </c>
      <c r="E110" s="58" t="s">
        <v>89</v>
      </c>
      <c r="F110" s="36" t="s">
        <v>106</v>
      </c>
      <c r="G110" s="58"/>
      <c r="H110" s="36" t="s">
        <v>135</v>
      </c>
      <c r="I110" s="58" t="s">
        <v>89</v>
      </c>
      <c r="J110" s="58" t="s">
        <v>88</v>
      </c>
      <c r="K110" s="58" t="s">
        <v>88</v>
      </c>
      <c r="L110" s="34" t="s">
        <v>84</v>
      </c>
      <c r="M110" s="58" t="s">
        <v>89</v>
      </c>
      <c r="N110" s="58" t="s">
        <v>88</v>
      </c>
      <c r="O110" s="42" t="n">
        <v>72280</v>
      </c>
      <c r="P110" s="42" t="n">
        <v>10650</v>
      </c>
      <c r="Q110" s="42" t="n">
        <v>3140</v>
      </c>
      <c r="R110" s="49" t="n">
        <v>0.151504629629926</v>
      </c>
      <c r="S110" s="58" t="n">
        <v>20</v>
      </c>
      <c r="T110" s="58" t="n">
        <v>8</v>
      </c>
      <c r="U110" s="34" t="s">
        <v>84</v>
      </c>
      <c r="V110" s="36" t="s">
        <v>91</v>
      </c>
      <c r="W110" s="39" t="s">
        <v>84</v>
      </c>
      <c r="X110" s="42" t="n">
        <v>77240</v>
      </c>
      <c r="Y110" s="50" t="n">
        <v>80</v>
      </c>
      <c r="Z110" s="48"/>
      <c r="AA110" s="42" t="n">
        <v>450</v>
      </c>
      <c r="AB110" s="42" t="n">
        <f aca="false">AA110*5</f>
        <v>0</v>
      </c>
      <c r="AC110" s="43" t="n">
        <v>15804</v>
      </c>
      <c r="AD110" s="43" t="n">
        <v>1200</v>
      </c>
      <c r="AE110" s="43" t="n">
        <v>1893</v>
      </c>
      <c r="AF110" s="43" t="n">
        <v>7000</v>
      </c>
      <c r="AG110" s="42" t="n">
        <v>20000</v>
      </c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36" t="s">
        <v>157</v>
      </c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36" t="s">
        <v>92</v>
      </c>
      <c r="BI110" s="58"/>
      <c r="BJ110" s="58"/>
      <c r="BK110" s="58"/>
      <c r="BL110" s="58"/>
      <c r="BM110" s="58"/>
      <c r="BN110" s="36" t="s">
        <v>92</v>
      </c>
      <c r="BO110" s="58"/>
      <c r="BP110" s="58"/>
      <c r="BQ110" s="58"/>
      <c r="BR110" s="58"/>
      <c r="BS110" s="58"/>
      <c r="BT110" s="52"/>
      <c r="BU110" s="46"/>
      <c r="BV110" s="46"/>
      <c r="BW110" s="46"/>
      <c r="BX110" s="46"/>
    </row>
    <row r="111" customFormat="false" ht="12.8" hidden="false" customHeight="false" outlineLevel="0" collapsed="false">
      <c r="A111" s="36" t="s">
        <v>258</v>
      </c>
      <c r="B111" s="35" t="s">
        <v>81</v>
      </c>
      <c r="C111" s="36" t="s">
        <v>292</v>
      </c>
      <c r="D111" s="36" t="s">
        <v>294</v>
      </c>
      <c r="E111" s="58" t="s">
        <v>87</v>
      </c>
      <c r="F111" s="36" t="s">
        <v>137</v>
      </c>
      <c r="G111" s="58"/>
      <c r="H111" s="58"/>
      <c r="I111" s="58" t="s">
        <v>89</v>
      </c>
      <c r="J111" s="58" t="s">
        <v>88</v>
      </c>
      <c r="K111" s="58" t="s">
        <v>87</v>
      </c>
      <c r="L111" s="34" t="s">
        <v>84</v>
      </c>
      <c r="M111" s="58" t="s">
        <v>89</v>
      </c>
      <c r="N111" s="58" t="s">
        <v>88</v>
      </c>
      <c r="O111" s="42"/>
      <c r="P111" s="42"/>
      <c r="Q111" s="42"/>
      <c r="R111" s="49"/>
      <c r="S111" s="58" t="n">
        <v>20</v>
      </c>
      <c r="T111" s="58" t="n">
        <v>8</v>
      </c>
      <c r="U111" s="34" t="s">
        <v>84</v>
      </c>
      <c r="V111" s="36" t="s">
        <v>91</v>
      </c>
      <c r="W111" s="39" t="s">
        <v>84</v>
      </c>
      <c r="X111" s="42" t="n">
        <v>77240</v>
      </c>
      <c r="Y111" s="50" t="n">
        <v>80</v>
      </c>
      <c r="Z111" s="48"/>
      <c r="AA111" s="42" t="n">
        <v>450</v>
      </c>
      <c r="AB111" s="42" t="n">
        <f aca="false">AA111*5</f>
        <v>0</v>
      </c>
      <c r="AC111" s="43" t="n">
        <v>0</v>
      </c>
      <c r="AD111" s="43" t="n">
        <v>0</v>
      </c>
      <c r="AE111" s="43" t="n">
        <v>0</v>
      </c>
      <c r="AF111" s="43" t="n">
        <v>7000</v>
      </c>
      <c r="AG111" s="42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52"/>
      <c r="BU111" s="46"/>
      <c r="BV111" s="46"/>
      <c r="BW111" s="46"/>
      <c r="BX111" s="46"/>
    </row>
    <row r="112" customFormat="false" ht="12.8" hidden="false" customHeight="false" outlineLevel="0" collapsed="false">
      <c r="A112" s="36" t="s">
        <v>258</v>
      </c>
      <c r="B112" s="35" t="s">
        <v>81</v>
      </c>
      <c r="C112" s="36" t="s">
        <v>292</v>
      </c>
      <c r="D112" s="36" t="s">
        <v>295</v>
      </c>
      <c r="E112" s="58" t="s">
        <v>88</v>
      </c>
      <c r="F112" s="36" t="s">
        <v>180</v>
      </c>
      <c r="G112" s="58"/>
      <c r="H112" s="36" t="s">
        <v>86</v>
      </c>
      <c r="I112" s="58" t="s">
        <v>87</v>
      </c>
      <c r="J112" s="58" t="s">
        <v>88</v>
      </c>
      <c r="K112" s="58" t="s">
        <v>88</v>
      </c>
      <c r="L112" s="34" t="s">
        <v>84</v>
      </c>
      <c r="M112" s="58" t="s">
        <v>89</v>
      </c>
      <c r="N112" s="58" t="s">
        <v>88</v>
      </c>
      <c r="O112" s="42"/>
      <c r="P112" s="42"/>
      <c r="Q112" s="42"/>
      <c r="R112" s="49"/>
      <c r="S112" s="58" t="n">
        <v>20</v>
      </c>
      <c r="T112" s="58" t="n">
        <v>8</v>
      </c>
      <c r="U112" s="34" t="s">
        <v>84</v>
      </c>
      <c r="V112" s="36" t="s">
        <v>91</v>
      </c>
      <c r="W112" s="39" t="s">
        <v>84</v>
      </c>
      <c r="X112" s="42" t="n">
        <v>84040</v>
      </c>
      <c r="Y112" s="50" t="n">
        <v>130</v>
      </c>
      <c r="Z112" s="48"/>
      <c r="AA112" s="42" t="n">
        <v>450</v>
      </c>
      <c r="AB112" s="42" t="n">
        <f aca="false">AA112*5</f>
        <v>0</v>
      </c>
      <c r="AC112" s="43" t="n">
        <v>0</v>
      </c>
      <c r="AD112" s="43" t="n">
        <v>0</v>
      </c>
      <c r="AE112" s="43" t="n">
        <v>0</v>
      </c>
      <c r="AF112" s="43" t="n">
        <v>7000</v>
      </c>
      <c r="AG112" s="42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36" t="s">
        <v>157</v>
      </c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36" t="s">
        <v>92</v>
      </c>
      <c r="BO112" s="58"/>
      <c r="BP112" s="58"/>
      <c r="BQ112" s="58"/>
      <c r="BR112" s="58"/>
      <c r="BS112" s="58"/>
      <c r="BT112" s="52"/>
      <c r="BU112" s="46"/>
      <c r="BV112" s="46"/>
      <c r="BW112" s="46"/>
      <c r="BX112" s="46"/>
    </row>
    <row r="113" customFormat="false" ht="12.8" hidden="false" customHeight="false" outlineLevel="0" collapsed="false">
      <c r="A113" s="36" t="s">
        <v>258</v>
      </c>
      <c r="B113" s="35" t="s">
        <v>93</v>
      </c>
      <c r="C113" s="34" t="s">
        <v>296</v>
      </c>
      <c r="D113" s="36" t="s">
        <v>297</v>
      </c>
      <c r="E113" s="58" t="s">
        <v>89</v>
      </c>
      <c r="F113" s="36" t="s">
        <v>165</v>
      </c>
      <c r="G113" s="58"/>
      <c r="H113" s="36" t="s">
        <v>135</v>
      </c>
      <c r="I113" s="58" t="s">
        <v>87</v>
      </c>
      <c r="J113" s="58" t="s">
        <v>87</v>
      </c>
      <c r="K113" s="58" t="s">
        <v>87</v>
      </c>
      <c r="L113" s="34" t="s">
        <v>84</v>
      </c>
      <c r="M113" s="58" t="s">
        <v>87</v>
      </c>
      <c r="N113" s="58" t="s">
        <v>87</v>
      </c>
      <c r="O113" s="42" t="n">
        <v>62130</v>
      </c>
      <c r="P113" s="42" t="n">
        <v>7340</v>
      </c>
      <c r="Q113" s="42" t="n">
        <v>2410</v>
      </c>
      <c r="R113" s="49" t="n">
        <v>0.114467592593428</v>
      </c>
      <c r="S113" s="58" t="n">
        <v>18</v>
      </c>
      <c r="T113" s="58" t="n">
        <v>12</v>
      </c>
      <c r="U113" s="34" t="s">
        <v>84</v>
      </c>
      <c r="V113" s="36" t="s">
        <v>91</v>
      </c>
      <c r="W113" s="39" t="s">
        <v>84</v>
      </c>
      <c r="X113" s="42" t="n">
        <v>61850</v>
      </c>
      <c r="Y113" s="50" t="n">
        <v>50</v>
      </c>
      <c r="Z113" s="48" t="n">
        <v>0.1</v>
      </c>
      <c r="AA113" s="42" t="n">
        <v>500</v>
      </c>
      <c r="AB113" s="42" t="n">
        <f aca="false">AA113*5</f>
        <v>0</v>
      </c>
      <c r="AC113" s="43" t="n">
        <v>11588</v>
      </c>
      <c r="AD113" s="43" t="n">
        <v>1440</v>
      </c>
      <c r="AE113" s="43" t="n">
        <v>3299</v>
      </c>
      <c r="AF113" s="43" t="n">
        <v>7000</v>
      </c>
      <c r="AG113" s="42" t="n">
        <v>26000</v>
      </c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36" t="s">
        <v>20</v>
      </c>
      <c r="AW113" s="58"/>
      <c r="AX113" s="58"/>
      <c r="AY113" s="58"/>
      <c r="AZ113" s="36" t="s">
        <v>92</v>
      </c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2"/>
      <c r="BU113" s="46"/>
      <c r="BV113" s="46"/>
      <c r="BW113" s="46"/>
      <c r="BX113" s="46"/>
    </row>
    <row r="114" customFormat="false" ht="12.8" hidden="false" customHeight="false" outlineLevel="0" collapsed="false">
      <c r="A114" s="36" t="s">
        <v>258</v>
      </c>
      <c r="B114" s="35" t="s">
        <v>93</v>
      </c>
      <c r="C114" s="58" t="s">
        <v>298</v>
      </c>
      <c r="D114" s="36" t="s">
        <v>299</v>
      </c>
      <c r="E114" s="58" t="s">
        <v>87</v>
      </c>
      <c r="F114" s="36" t="s">
        <v>300</v>
      </c>
      <c r="G114" s="58"/>
      <c r="H114" s="35" t="s">
        <v>86</v>
      </c>
      <c r="I114" s="58" t="s">
        <v>89</v>
      </c>
      <c r="J114" s="58" t="s">
        <v>88</v>
      </c>
      <c r="K114" s="58" t="s">
        <v>87</v>
      </c>
      <c r="L114" s="34" t="s">
        <v>84</v>
      </c>
      <c r="M114" s="58" t="s">
        <v>87</v>
      </c>
      <c r="N114" s="58" t="s">
        <v>87</v>
      </c>
      <c r="O114" s="42" t="n">
        <v>61300</v>
      </c>
      <c r="P114" s="42" t="n">
        <v>7420</v>
      </c>
      <c r="Q114" s="42" t="n">
        <v>2000</v>
      </c>
      <c r="R114" s="49" t="n">
        <v>0.104861111110949</v>
      </c>
      <c r="S114" s="58" t="n">
        <v>18</v>
      </c>
      <c r="T114" s="58" t="n">
        <v>12</v>
      </c>
      <c r="U114" s="34" t="s">
        <v>84</v>
      </c>
      <c r="V114" s="36" t="s">
        <v>91</v>
      </c>
      <c r="W114" s="39" t="s">
        <v>84</v>
      </c>
      <c r="X114" s="42" t="n">
        <v>56320</v>
      </c>
      <c r="Y114" s="50" t="n">
        <v>50</v>
      </c>
      <c r="Z114" s="48" t="n">
        <v>0.1</v>
      </c>
      <c r="AA114" s="42" t="n">
        <v>500</v>
      </c>
      <c r="AB114" s="42" t="n">
        <f aca="false">AA114*5</f>
        <v>0</v>
      </c>
      <c r="AC114" s="43" t="n">
        <v>15646</v>
      </c>
      <c r="AD114" s="43" t="n">
        <v>1260</v>
      </c>
      <c r="AE114" s="43" t="n">
        <v>6423</v>
      </c>
      <c r="AF114" s="43" t="n">
        <v>7000</v>
      </c>
      <c r="AG114" s="42" t="n">
        <v>25000</v>
      </c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35" t="s">
        <v>157</v>
      </c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2"/>
      <c r="BU114" s="46"/>
      <c r="BV114" s="46"/>
      <c r="BW114" s="46"/>
      <c r="BX114" s="46"/>
    </row>
    <row r="115" customFormat="false" ht="12.8" hidden="false" customHeight="false" outlineLevel="0" collapsed="false">
      <c r="A115" s="36" t="s">
        <v>258</v>
      </c>
      <c r="B115" s="35" t="s">
        <v>93</v>
      </c>
      <c r="C115" s="58" t="s">
        <v>298</v>
      </c>
      <c r="D115" s="36" t="s">
        <v>263</v>
      </c>
      <c r="E115" s="58" t="s">
        <v>88</v>
      </c>
      <c r="F115" s="36" t="s">
        <v>237</v>
      </c>
      <c r="G115" s="58"/>
      <c r="H115" s="36" t="s">
        <v>86</v>
      </c>
      <c r="I115" s="58" t="s">
        <v>88</v>
      </c>
      <c r="J115" s="58" t="s">
        <v>88</v>
      </c>
      <c r="K115" s="58" t="s">
        <v>88</v>
      </c>
      <c r="L115" s="58" t="s">
        <v>87</v>
      </c>
      <c r="M115" s="58" t="s">
        <v>87</v>
      </c>
      <c r="N115" s="58" t="s">
        <v>87</v>
      </c>
      <c r="O115" s="42" t="n">
        <v>57130</v>
      </c>
      <c r="P115" s="42" t="n">
        <v>5510</v>
      </c>
      <c r="Q115" s="42" t="n">
        <v>3250</v>
      </c>
      <c r="R115" s="49" t="n">
        <v>0.115393518517521</v>
      </c>
      <c r="S115" s="58" t="n">
        <v>18</v>
      </c>
      <c r="T115" s="58" t="n">
        <v>12</v>
      </c>
      <c r="U115" s="34" t="s">
        <v>84</v>
      </c>
      <c r="V115" s="36" t="s">
        <v>91</v>
      </c>
      <c r="W115" s="39" t="s">
        <v>84</v>
      </c>
      <c r="X115" s="42" t="n">
        <v>59040</v>
      </c>
      <c r="Y115" s="50" t="n">
        <v>50</v>
      </c>
      <c r="Z115" s="48" t="n">
        <v>0.1</v>
      </c>
      <c r="AA115" s="42" t="n">
        <v>500</v>
      </c>
      <c r="AB115" s="42" t="n">
        <f aca="false">AA115*5</f>
        <v>0</v>
      </c>
      <c r="AC115" s="43" t="n">
        <v>4650</v>
      </c>
      <c r="AD115" s="43" t="n">
        <v>1440</v>
      </c>
      <c r="AE115" s="43" t="n">
        <v>724</v>
      </c>
      <c r="AF115" s="43" t="n">
        <v>7000</v>
      </c>
      <c r="AG115" s="42" t="n">
        <v>26000</v>
      </c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58"/>
      <c r="AW115" s="58"/>
      <c r="AX115" s="36" t="s">
        <v>92</v>
      </c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2"/>
      <c r="BU115" s="46"/>
      <c r="BV115" s="46"/>
      <c r="BW115" s="46"/>
      <c r="BX115" s="46"/>
    </row>
    <row r="116" customFormat="false" ht="12.8" hidden="false" customHeight="false" outlineLevel="0" collapsed="false">
      <c r="A116" s="36" t="s">
        <v>258</v>
      </c>
      <c r="B116" s="35" t="s">
        <v>93</v>
      </c>
      <c r="C116" s="34" t="s">
        <v>301</v>
      </c>
      <c r="D116" s="36" t="s">
        <v>302</v>
      </c>
      <c r="E116" s="58" t="s">
        <v>89</v>
      </c>
      <c r="F116" s="36" t="s">
        <v>165</v>
      </c>
      <c r="G116" s="58"/>
      <c r="H116" s="36" t="s">
        <v>96</v>
      </c>
      <c r="I116" s="58" t="s">
        <v>87</v>
      </c>
      <c r="J116" s="58" t="s">
        <v>88</v>
      </c>
      <c r="K116" s="58" t="s">
        <v>88</v>
      </c>
      <c r="L116" s="34" t="s">
        <v>84</v>
      </c>
      <c r="M116" s="58" t="s">
        <v>88</v>
      </c>
      <c r="N116" s="58" t="s">
        <v>89</v>
      </c>
      <c r="O116" s="42" t="n">
        <v>43910</v>
      </c>
      <c r="P116" s="42" t="n">
        <v>6620</v>
      </c>
      <c r="Q116" s="42" t="n">
        <v>1930</v>
      </c>
      <c r="R116" s="49" t="n">
        <v>0.0932870370379533</v>
      </c>
      <c r="S116" s="58" t="n">
        <v>16</v>
      </c>
      <c r="T116" s="58" t="n">
        <v>12</v>
      </c>
      <c r="U116" s="34" t="s">
        <v>84</v>
      </c>
      <c r="V116" s="36" t="s">
        <v>91</v>
      </c>
      <c r="W116" s="39" t="s">
        <v>84</v>
      </c>
      <c r="X116" s="42" t="n">
        <v>46260</v>
      </c>
      <c r="Y116" s="50" t="n">
        <v>50</v>
      </c>
      <c r="Z116" s="48" t="n">
        <v>0.1</v>
      </c>
      <c r="AA116" s="42" t="n">
        <v>650</v>
      </c>
      <c r="AB116" s="42" t="n">
        <f aca="false">AA116*5</f>
        <v>0</v>
      </c>
      <c r="AC116" s="43" t="n">
        <v>9592</v>
      </c>
      <c r="AD116" s="43" t="n">
        <v>2358</v>
      </c>
      <c r="AE116" s="43" t="n">
        <v>1965</v>
      </c>
      <c r="AF116" s="43" t="n">
        <v>7000</v>
      </c>
      <c r="AG116" s="42" t="n">
        <v>25000</v>
      </c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36" t="s">
        <v>92</v>
      </c>
      <c r="BP116" s="58"/>
      <c r="BQ116" s="58"/>
      <c r="BR116" s="58"/>
      <c r="BS116" s="58"/>
      <c r="BT116" s="52"/>
      <c r="BU116" s="46"/>
      <c r="BV116" s="46"/>
      <c r="BW116" s="46"/>
      <c r="BX116" s="46"/>
    </row>
    <row r="117" customFormat="false" ht="12.8" hidden="false" customHeight="false" outlineLevel="0" collapsed="false">
      <c r="A117" s="36" t="s">
        <v>258</v>
      </c>
      <c r="B117" s="35" t="s">
        <v>93</v>
      </c>
      <c r="C117" s="58" t="s">
        <v>301</v>
      </c>
      <c r="D117" s="36" t="s">
        <v>303</v>
      </c>
      <c r="E117" s="58" t="s">
        <v>87</v>
      </c>
      <c r="F117" s="36" t="s">
        <v>109</v>
      </c>
      <c r="G117" s="58"/>
      <c r="H117" s="58"/>
      <c r="I117" s="58" t="s">
        <v>87</v>
      </c>
      <c r="J117" s="58" t="s">
        <v>88</v>
      </c>
      <c r="K117" s="58" t="s">
        <v>88</v>
      </c>
      <c r="L117" s="34" t="s">
        <v>84</v>
      </c>
      <c r="M117" s="58" t="s">
        <v>88</v>
      </c>
      <c r="N117" s="58" t="s">
        <v>87</v>
      </c>
      <c r="O117" s="42"/>
      <c r="P117" s="42"/>
      <c r="Q117" s="42"/>
      <c r="R117" s="49"/>
      <c r="S117" s="58" t="n">
        <v>16</v>
      </c>
      <c r="T117" s="58" t="n">
        <v>12</v>
      </c>
      <c r="U117" s="34" t="s">
        <v>84</v>
      </c>
      <c r="V117" s="36" t="s">
        <v>91</v>
      </c>
      <c r="W117" s="39" t="s">
        <v>84</v>
      </c>
      <c r="X117" s="42" t="n">
        <v>46260</v>
      </c>
      <c r="Y117" s="50" t="n">
        <v>50</v>
      </c>
      <c r="Z117" s="48" t="n">
        <v>0.1</v>
      </c>
      <c r="AA117" s="42" t="n">
        <v>650</v>
      </c>
      <c r="AB117" s="42" t="n">
        <f aca="false">AA117*5</f>
        <v>0</v>
      </c>
      <c r="AC117" s="43" t="n">
        <v>0</v>
      </c>
      <c r="AD117" s="43" t="n">
        <v>0</v>
      </c>
      <c r="AE117" s="43" t="n">
        <v>0</v>
      </c>
      <c r="AF117" s="43" t="n">
        <v>7000</v>
      </c>
      <c r="AG117" s="42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2"/>
      <c r="BU117" s="46"/>
      <c r="BV117" s="46"/>
      <c r="BW117" s="46"/>
      <c r="BX117" s="46"/>
    </row>
    <row r="118" customFormat="false" ht="12.8" hidden="false" customHeight="false" outlineLevel="0" collapsed="false">
      <c r="A118" s="36" t="s">
        <v>258</v>
      </c>
      <c r="B118" s="35" t="s">
        <v>93</v>
      </c>
      <c r="C118" s="58" t="s">
        <v>301</v>
      </c>
      <c r="D118" s="36" t="s">
        <v>304</v>
      </c>
      <c r="E118" s="58" t="s">
        <v>88</v>
      </c>
      <c r="F118" s="36" t="s">
        <v>176</v>
      </c>
      <c r="G118" s="58"/>
      <c r="H118" s="58"/>
      <c r="I118" s="58" t="s">
        <v>87</v>
      </c>
      <c r="J118" s="58" t="s">
        <v>88</v>
      </c>
      <c r="K118" s="58" t="s">
        <v>87</v>
      </c>
      <c r="L118" s="34" t="s">
        <v>84</v>
      </c>
      <c r="M118" s="58" t="s">
        <v>88</v>
      </c>
      <c r="N118" s="58" t="s">
        <v>87</v>
      </c>
      <c r="O118" s="42"/>
      <c r="P118" s="42"/>
      <c r="Q118" s="42"/>
      <c r="R118" s="49"/>
      <c r="S118" s="58" t="n">
        <v>16</v>
      </c>
      <c r="T118" s="58" t="n">
        <v>12</v>
      </c>
      <c r="U118" s="34" t="s">
        <v>84</v>
      </c>
      <c r="V118" s="36" t="s">
        <v>91</v>
      </c>
      <c r="W118" s="39" t="s">
        <v>84</v>
      </c>
      <c r="X118" s="42" t="n">
        <v>46260</v>
      </c>
      <c r="Y118" s="50" t="n">
        <v>50</v>
      </c>
      <c r="Z118" s="48" t="n">
        <v>0.1</v>
      </c>
      <c r="AA118" s="42" t="n">
        <v>650</v>
      </c>
      <c r="AB118" s="42" t="n">
        <f aca="false">AA118*5</f>
        <v>0</v>
      </c>
      <c r="AC118" s="43" t="n">
        <v>0</v>
      </c>
      <c r="AD118" s="43" t="n">
        <v>0</v>
      </c>
      <c r="AE118" s="43" t="n">
        <v>0</v>
      </c>
      <c r="AF118" s="43" t="n">
        <v>7000</v>
      </c>
      <c r="AG118" s="42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2"/>
      <c r="BU118" s="46"/>
      <c r="BV118" s="46"/>
      <c r="BW118" s="46"/>
      <c r="BX118" s="46"/>
    </row>
    <row r="119" customFormat="false" ht="12.8" hidden="false" customHeight="false" outlineLevel="0" collapsed="false">
      <c r="A119" s="36" t="s">
        <v>258</v>
      </c>
      <c r="B119" s="35" t="s">
        <v>93</v>
      </c>
      <c r="C119" s="58" t="s">
        <v>301</v>
      </c>
      <c r="D119" s="36" t="s">
        <v>305</v>
      </c>
      <c r="E119" s="58" t="s">
        <v>255</v>
      </c>
      <c r="F119" s="36" t="s">
        <v>237</v>
      </c>
      <c r="G119" s="58"/>
      <c r="H119" s="35" t="s">
        <v>96</v>
      </c>
      <c r="I119" s="58" t="s">
        <v>88</v>
      </c>
      <c r="J119" s="58" t="s">
        <v>87</v>
      </c>
      <c r="K119" s="58" t="s">
        <v>88</v>
      </c>
      <c r="L119" s="58" t="s">
        <v>87</v>
      </c>
      <c r="M119" s="58" t="s">
        <v>88</v>
      </c>
      <c r="N119" s="58" t="s">
        <v>87</v>
      </c>
      <c r="O119" s="42" t="n">
        <v>49310</v>
      </c>
      <c r="P119" s="42" t="n">
        <v>5370</v>
      </c>
      <c r="Q119" s="42" t="n">
        <v>2950</v>
      </c>
      <c r="R119" s="49" t="n">
        <v>0.106481481481751</v>
      </c>
      <c r="S119" s="58" t="n">
        <v>16</v>
      </c>
      <c r="T119" s="58" t="n">
        <v>12</v>
      </c>
      <c r="U119" s="34" t="s">
        <v>84</v>
      </c>
      <c r="V119" s="36" t="s">
        <v>91</v>
      </c>
      <c r="W119" s="39" t="s">
        <v>84</v>
      </c>
      <c r="X119" s="42" t="n">
        <v>46260</v>
      </c>
      <c r="Y119" s="50" t="n">
        <v>50</v>
      </c>
      <c r="Z119" s="48" t="n">
        <v>0.1</v>
      </c>
      <c r="AA119" s="42" t="n">
        <v>650</v>
      </c>
      <c r="AB119" s="42" t="n">
        <f aca="false">AA119*5</f>
        <v>0</v>
      </c>
      <c r="AC119" s="43" t="n">
        <v>5485</v>
      </c>
      <c r="AD119" s="43" t="n">
        <v>1560</v>
      </c>
      <c r="AE119" s="43" t="n">
        <v>464</v>
      </c>
      <c r="AF119" s="43" t="n">
        <v>7000</v>
      </c>
      <c r="AG119" s="42" t="n">
        <v>22000</v>
      </c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58"/>
      <c r="AW119" s="58"/>
      <c r="AX119" s="58"/>
      <c r="AY119" s="36" t="s">
        <v>92</v>
      </c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  <c r="BT119" s="52"/>
      <c r="BU119" s="46"/>
      <c r="BV119" s="46"/>
      <c r="BW119" s="46"/>
      <c r="BX119" s="46"/>
    </row>
    <row r="120" customFormat="false" ht="12.8" hidden="false" customHeight="false" outlineLevel="0" collapsed="false">
      <c r="A120" s="36" t="s">
        <v>258</v>
      </c>
      <c r="B120" s="35" t="s">
        <v>93</v>
      </c>
      <c r="C120" s="58" t="s">
        <v>306</v>
      </c>
      <c r="D120" s="36" t="s">
        <v>307</v>
      </c>
      <c r="E120" s="58" t="s">
        <v>89</v>
      </c>
      <c r="F120" s="35" t="s">
        <v>197</v>
      </c>
      <c r="G120" s="58"/>
      <c r="H120" s="36" t="s">
        <v>96</v>
      </c>
      <c r="I120" s="58" t="s">
        <v>88</v>
      </c>
      <c r="J120" s="58" t="s">
        <v>88</v>
      </c>
      <c r="K120" s="58" t="s">
        <v>88</v>
      </c>
      <c r="L120" s="58" t="s">
        <v>88</v>
      </c>
      <c r="M120" s="58" t="s">
        <v>88</v>
      </c>
      <c r="N120" s="58" t="s">
        <v>89</v>
      </c>
      <c r="O120" s="42" t="n">
        <v>120000</v>
      </c>
      <c r="P120" s="42" t="n">
        <v>15000</v>
      </c>
      <c r="Q120" s="42" t="n">
        <v>9000</v>
      </c>
      <c r="R120" s="49" t="n">
        <v>0.277777777777374</v>
      </c>
      <c r="S120" s="58" t="n">
        <v>40</v>
      </c>
      <c r="T120" s="58" t="n">
        <v>20</v>
      </c>
      <c r="U120" s="34" t="s">
        <v>84</v>
      </c>
      <c r="V120" s="36" t="s">
        <v>198</v>
      </c>
      <c r="W120" s="39" t="s">
        <v>84</v>
      </c>
      <c r="X120" s="42" t="n">
        <v>27810</v>
      </c>
      <c r="Y120" s="50"/>
      <c r="Z120" s="48"/>
      <c r="AA120" s="42" t="n">
        <v>250</v>
      </c>
      <c r="AB120" s="42" t="n">
        <f aca="false">AA120*5</f>
        <v>0</v>
      </c>
      <c r="AC120" s="43" t="n">
        <v>1800</v>
      </c>
      <c r="AD120" s="43" t="n">
        <v>0</v>
      </c>
      <c r="AE120" s="43" t="n">
        <v>53</v>
      </c>
      <c r="AF120" s="43" t="n">
        <v>6500</v>
      </c>
      <c r="AG120" s="42" t="n">
        <v>95000</v>
      </c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58"/>
      <c r="AW120" s="58"/>
      <c r="AX120" s="58"/>
      <c r="AY120" s="58"/>
      <c r="AZ120" s="58"/>
      <c r="BA120" s="58"/>
      <c r="BB120" s="58"/>
      <c r="BC120" s="58"/>
      <c r="BD120" s="58"/>
      <c r="BE120" s="36" t="s">
        <v>92</v>
      </c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2"/>
      <c r="BU120" s="46"/>
      <c r="BV120" s="46"/>
      <c r="BW120" s="46"/>
      <c r="BX120" s="46"/>
    </row>
    <row r="121" customFormat="false" ht="12.8" hidden="false" customHeight="false" outlineLevel="0" collapsed="false">
      <c r="A121" s="32" t="s">
        <v>308</v>
      </c>
      <c r="B121" s="33" t="s">
        <v>113</v>
      </c>
      <c r="C121" s="33" t="s">
        <v>309</v>
      </c>
      <c r="D121" s="33" t="s">
        <v>310</v>
      </c>
      <c r="E121" s="34" t="s">
        <v>84</v>
      </c>
      <c r="F121" s="35" t="s">
        <v>85</v>
      </c>
      <c r="G121" s="47"/>
      <c r="H121" s="34"/>
      <c r="I121" s="34"/>
      <c r="J121" s="34"/>
      <c r="K121" s="34"/>
      <c r="L121" s="34"/>
      <c r="M121" s="34"/>
      <c r="N121" s="34"/>
      <c r="O121" s="37"/>
      <c r="P121" s="37"/>
      <c r="Q121" s="37"/>
      <c r="R121" s="38"/>
      <c r="S121" s="36" t="n">
        <v>50</v>
      </c>
      <c r="T121" s="36"/>
      <c r="U121" s="34"/>
      <c r="V121" s="36" t="s">
        <v>91</v>
      </c>
      <c r="W121" s="39" t="s">
        <v>84</v>
      </c>
      <c r="X121" s="37"/>
      <c r="Y121" s="40"/>
      <c r="Z121" s="41"/>
      <c r="AA121" s="37"/>
      <c r="AB121" s="42" t="n">
        <f aca="false">AA121*5</f>
        <v>0</v>
      </c>
      <c r="AC121" s="43" t="n">
        <v>0</v>
      </c>
      <c r="AD121" s="43" t="n">
        <v>0</v>
      </c>
      <c r="AE121" s="43" t="n">
        <v>0</v>
      </c>
      <c r="AF121" s="44"/>
      <c r="AG121" s="37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34"/>
      <c r="AW121" s="58"/>
      <c r="AX121" s="34"/>
      <c r="AY121" s="34"/>
      <c r="AZ121" s="58"/>
      <c r="BA121" s="36"/>
      <c r="BB121" s="58"/>
      <c r="BC121" s="36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36"/>
      <c r="BP121" s="58"/>
      <c r="BQ121" s="58"/>
      <c r="BR121" s="58"/>
      <c r="BS121" s="36"/>
      <c r="BT121" s="36"/>
      <c r="BU121" s="46"/>
      <c r="BV121" s="46"/>
      <c r="BW121" s="46"/>
      <c r="BX121" s="46"/>
    </row>
    <row r="122" s="73" customFormat="true" ht="12.8" hidden="false" customHeight="false" outlineLevel="0" collapsed="false">
      <c r="A122" s="96" t="s">
        <v>311</v>
      </c>
      <c r="B122" s="96" t="s">
        <v>98</v>
      </c>
      <c r="C122" s="96" t="s">
        <v>312</v>
      </c>
      <c r="D122" s="96" t="s">
        <v>313</v>
      </c>
      <c r="E122" s="62" t="s">
        <v>84</v>
      </c>
      <c r="F122" s="60" t="s">
        <v>85</v>
      </c>
      <c r="G122" s="96"/>
      <c r="H122" s="60" t="s">
        <v>86</v>
      </c>
      <c r="I122" s="62" t="s">
        <v>89</v>
      </c>
      <c r="J122" s="62" t="s">
        <v>314</v>
      </c>
      <c r="K122" s="62" t="s">
        <v>88</v>
      </c>
      <c r="L122" s="62" t="s">
        <v>87</v>
      </c>
      <c r="M122" s="62" t="s">
        <v>88</v>
      </c>
      <c r="N122" s="62" t="s">
        <v>87</v>
      </c>
      <c r="O122" s="90" t="n">
        <v>167470</v>
      </c>
      <c r="P122" s="90" t="n">
        <v>47120</v>
      </c>
      <c r="Q122" s="90" t="n">
        <v>28210</v>
      </c>
      <c r="R122" s="97" t="n">
        <v>0.532407407408755</v>
      </c>
      <c r="S122" s="60" t="n">
        <v>35</v>
      </c>
      <c r="T122" s="60" t="n">
        <v>6</v>
      </c>
      <c r="U122" s="62" t="s">
        <v>97</v>
      </c>
      <c r="V122" s="60" t="s">
        <v>91</v>
      </c>
      <c r="W122" s="90" t="s">
        <v>84</v>
      </c>
      <c r="X122" s="90" t="n">
        <v>125840</v>
      </c>
      <c r="Y122" s="98" t="n">
        <v>160</v>
      </c>
      <c r="Z122" s="99" t="n">
        <v>0.25</v>
      </c>
      <c r="AA122" s="90" t="n">
        <v>400</v>
      </c>
      <c r="AB122" s="68" t="n">
        <f aca="false">AA122*5</f>
        <v>0</v>
      </c>
      <c r="AC122" s="63" t="n">
        <v>33000</v>
      </c>
      <c r="AD122" s="63" t="n">
        <v>0</v>
      </c>
      <c r="AE122" s="63" t="n">
        <v>3810</v>
      </c>
      <c r="AF122" s="63" t="n">
        <v>13000</v>
      </c>
      <c r="AG122" s="90" t="n">
        <v>125000</v>
      </c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60" t="s">
        <v>157</v>
      </c>
      <c r="AW122" s="60"/>
      <c r="AX122" s="60"/>
      <c r="AY122" s="60"/>
      <c r="AZ122" s="60"/>
      <c r="BA122" s="60" t="s">
        <v>92</v>
      </c>
      <c r="BB122" s="60"/>
      <c r="BC122" s="60"/>
      <c r="BD122" s="60"/>
      <c r="BE122" s="60"/>
      <c r="BF122" s="60"/>
      <c r="BG122" s="60"/>
      <c r="BH122" s="60"/>
      <c r="BI122" s="60"/>
      <c r="BJ122" s="60"/>
      <c r="BK122" s="60"/>
      <c r="BL122" s="60"/>
      <c r="BM122" s="60"/>
      <c r="BN122" s="60"/>
      <c r="BO122" s="60"/>
      <c r="BP122" s="60"/>
      <c r="BQ122" s="60"/>
      <c r="BR122" s="60"/>
      <c r="BS122" s="60" t="s">
        <v>92</v>
      </c>
      <c r="BT122" s="60"/>
      <c r="BU122" s="91"/>
      <c r="BV122" s="91"/>
      <c r="BW122" s="91"/>
      <c r="BX122" s="91"/>
    </row>
    <row r="123" customFormat="false" ht="12.8" hidden="false" customHeight="false" outlineLevel="0" collapsed="false">
      <c r="A123" s="32" t="s">
        <v>311</v>
      </c>
      <c r="B123" s="33" t="s">
        <v>113</v>
      </c>
      <c r="C123" s="33" t="s">
        <v>315</v>
      </c>
      <c r="D123" s="33" t="s">
        <v>316</v>
      </c>
      <c r="E123" s="34" t="s">
        <v>84</v>
      </c>
      <c r="F123" s="35" t="s">
        <v>85</v>
      </c>
      <c r="G123" s="35" t="s">
        <v>227</v>
      </c>
      <c r="H123" s="36" t="s">
        <v>86</v>
      </c>
      <c r="I123" s="34" t="s">
        <v>89</v>
      </c>
      <c r="J123" s="34" t="s">
        <v>88</v>
      </c>
      <c r="K123" s="34" t="s">
        <v>87</v>
      </c>
      <c r="L123" s="34" t="s">
        <v>84</v>
      </c>
      <c r="M123" s="34" t="s">
        <v>88</v>
      </c>
      <c r="N123" s="34" t="s">
        <v>87</v>
      </c>
      <c r="O123" s="37" t="n">
        <v>148500</v>
      </c>
      <c r="P123" s="37" t="n">
        <v>33950</v>
      </c>
      <c r="Q123" s="37" t="n">
        <v>15910</v>
      </c>
      <c r="R123" s="38" t="n">
        <v>0.383449074073724</v>
      </c>
      <c r="S123" s="36" t="n">
        <v>30</v>
      </c>
      <c r="T123" s="36" t="n">
        <v>4</v>
      </c>
      <c r="U123" s="34" t="s">
        <v>97</v>
      </c>
      <c r="V123" s="36" t="s">
        <v>91</v>
      </c>
      <c r="W123" s="39" t="s">
        <v>84</v>
      </c>
      <c r="X123" s="37" t="n">
        <v>121350</v>
      </c>
      <c r="Y123" s="40" t="n">
        <v>120</v>
      </c>
      <c r="Z123" s="41" t="n">
        <v>0.15</v>
      </c>
      <c r="AA123" s="37" t="n">
        <v>250</v>
      </c>
      <c r="AB123" s="42" t="n">
        <f aca="false">AA123*5</f>
        <v>0</v>
      </c>
      <c r="AC123" s="43" t="n">
        <v>19996</v>
      </c>
      <c r="AD123" s="43" t="n">
        <v>1701</v>
      </c>
      <c r="AE123" s="43" t="n">
        <v>1883</v>
      </c>
      <c r="AF123" s="43" t="n">
        <v>13000</v>
      </c>
      <c r="AG123" s="37" t="n">
        <v>130000</v>
      </c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36" t="s">
        <v>20</v>
      </c>
      <c r="AW123" s="58"/>
      <c r="AX123" s="35" t="s">
        <v>92</v>
      </c>
      <c r="AY123" s="36"/>
      <c r="AZ123" s="58"/>
      <c r="BA123" s="36"/>
      <c r="BB123" s="58"/>
      <c r="BC123" s="36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36"/>
      <c r="BP123" s="58"/>
      <c r="BQ123" s="58"/>
      <c r="BR123" s="58"/>
      <c r="BS123" s="34"/>
      <c r="BT123" s="36"/>
      <c r="BU123" s="46"/>
      <c r="BV123" s="46"/>
      <c r="BW123" s="46"/>
      <c r="BX123" s="46"/>
    </row>
    <row r="124" customFormat="false" ht="12.8" hidden="false" customHeight="false" outlineLevel="0" collapsed="false">
      <c r="A124" s="32" t="s">
        <v>311</v>
      </c>
      <c r="B124" s="33" t="s">
        <v>158</v>
      </c>
      <c r="C124" s="33" t="s">
        <v>317</v>
      </c>
      <c r="D124" s="33" t="s">
        <v>318</v>
      </c>
      <c r="E124" s="34" t="s">
        <v>84</v>
      </c>
      <c r="F124" s="35" t="s">
        <v>85</v>
      </c>
      <c r="G124" s="47"/>
      <c r="H124" s="36" t="s">
        <v>86</v>
      </c>
      <c r="I124" s="34" t="s">
        <v>89</v>
      </c>
      <c r="J124" s="34" t="s">
        <v>319</v>
      </c>
      <c r="K124" s="34" t="s">
        <v>320</v>
      </c>
      <c r="L124" s="34" t="s">
        <v>321</v>
      </c>
      <c r="M124" s="34" t="s">
        <v>87</v>
      </c>
      <c r="N124" s="34" t="s">
        <v>88</v>
      </c>
      <c r="O124" s="37" t="n">
        <v>174900</v>
      </c>
      <c r="P124" s="37" t="n">
        <v>49440</v>
      </c>
      <c r="Q124" s="37" t="n">
        <v>29550</v>
      </c>
      <c r="R124" s="38" t="n">
        <v>0.557291666667879</v>
      </c>
      <c r="S124" s="36" t="n">
        <v>32</v>
      </c>
      <c r="T124" s="36" t="n">
        <v>6</v>
      </c>
      <c r="U124" s="34" t="s">
        <v>97</v>
      </c>
      <c r="V124" s="36" t="s">
        <v>91</v>
      </c>
      <c r="W124" s="39" t="s">
        <v>84</v>
      </c>
      <c r="X124" s="37" t="n">
        <v>130460</v>
      </c>
      <c r="Y124" s="40" t="n">
        <v>180</v>
      </c>
      <c r="Z124" s="41" t="n">
        <v>0.1</v>
      </c>
      <c r="AA124" s="37" t="n">
        <v>450</v>
      </c>
      <c r="AB124" s="42" t="n">
        <f aca="false">AA124*5</f>
        <v>0</v>
      </c>
      <c r="AC124" s="43" t="n">
        <v>28900</v>
      </c>
      <c r="AD124" s="43" t="n">
        <v>1663</v>
      </c>
      <c r="AE124" s="43" t="n">
        <v>4899</v>
      </c>
      <c r="AF124" s="43" t="n">
        <v>13000</v>
      </c>
      <c r="AG124" s="37" t="n">
        <v>120000</v>
      </c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35" t="s">
        <v>157</v>
      </c>
      <c r="AW124" s="58"/>
      <c r="AX124" s="36"/>
      <c r="AY124" s="36"/>
      <c r="AZ124" s="58"/>
      <c r="BA124" s="36"/>
      <c r="BB124" s="58"/>
      <c r="BC124" s="35" t="s">
        <v>92</v>
      </c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36"/>
      <c r="BP124" s="58"/>
      <c r="BQ124" s="58"/>
      <c r="BR124" s="58"/>
      <c r="BS124" s="34"/>
      <c r="BT124" s="35" t="s">
        <v>92</v>
      </c>
      <c r="BU124" s="46"/>
      <c r="BV124" s="46"/>
      <c r="BW124" s="46"/>
      <c r="BX124" s="46"/>
    </row>
    <row r="125" s="73" customFormat="true" ht="12.8" hidden="false" customHeight="false" outlineLevel="0" collapsed="false">
      <c r="A125" s="96" t="s">
        <v>311</v>
      </c>
      <c r="B125" s="96" t="s">
        <v>81</v>
      </c>
      <c r="C125" s="96" t="s">
        <v>322</v>
      </c>
      <c r="D125" s="96" t="s">
        <v>323</v>
      </c>
      <c r="E125" s="62" t="s">
        <v>84</v>
      </c>
      <c r="F125" s="60" t="s">
        <v>85</v>
      </c>
      <c r="G125" s="96"/>
      <c r="H125" s="60" t="s">
        <v>135</v>
      </c>
      <c r="I125" s="62" t="s">
        <v>324</v>
      </c>
      <c r="J125" s="62" t="s">
        <v>87</v>
      </c>
      <c r="K125" s="62" t="s">
        <v>89</v>
      </c>
      <c r="L125" s="62" t="s">
        <v>88</v>
      </c>
      <c r="M125" s="62" t="s">
        <v>324</v>
      </c>
      <c r="N125" s="62" t="s">
        <v>87</v>
      </c>
      <c r="O125" s="90" t="n">
        <v>185870</v>
      </c>
      <c r="P125" s="90" t="n">
        <v>49430</v>
      </c>
      <c r="Q125" s="90" t="n">
        <v>24440</v>
      </c>
      <c r="R125" s="97" t="n">
        <v>0.537615740740876</v>
      </c>
      <c r="S125" s="60" t="n">
        <v>35</v>
      </c>
      <c r="T125" s="60" t="n">
        <v>6</v>
      </c>
      <c r="U125" s="62" t="s">
        <v>97</v>
      </c>
      <c r="V125" s="60" t="s">
        <v>91</v>
      </c>
      <c r="W125" s="90" t="s">
        <v>84</v>
      </c>
      <c r="X125" s="90" t="n">
        <v>160450</v>
      </c>
      <c r="Y125" s="98" t="n">
        <v>240</v>
      </c>
      <c r="Z125" s="99" t="n">
        <v>0.05</v>
      </c>
      <c r="AA125" s="90" t="n">
        <v>250</v>
      </c>
      <c r="AB125" s="68" t="n">
        <f aca="false">AA125*5</f>
        <v>0</v>
      </c>
      <c r="AC125" s="63" t="n">
        <v>27700</v>
      </c>
      <c r="AD125" s="63" t="n">
        <v>1720</v>
      </c>
      <c r="AE125" s="63" t="n">
        <v>14385</v>
      </c>
      <c r="AF125" s="63" t="n">
        <v>13000</v>
      </c>
      <c r="AG125" s="90" t="n">
        <v>115000</v>
      </c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60" t="s">
        <v>157</v>
      </c>
      <c r="AW125" s="60"/>
      <c r="AX125" s="60"/>
      <c r="AY125" s="60"/>
      <c r="AZ125" s="60"/>
      <c r="BA125" s="60" t="s">
        <v>92</v>
      </c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/>
      <c r="BM125" s="60"/>
      <c r="BN125" s="60"/>
      <c r="BO125" s="60" t="s">
        <v>92</v>
      </c>
      <c r="BP125" s="60"/>
      <c r="BQ125" s="60"/>
      <c r="BR125" s="60"/>
      <c r="BS125" s="60"/>
      <c r="BT125" s="60"/>
      <c r="BU125" s="91"/>
      <c r="BV125" s="91"/>
      <c r="BW125" s="91"/>
      <c r="BX125" s="91"/>
    </row>
    <row r="126" customFormat="false" ht="12.8" hidden="false" customHeight="false" outlineLevel="0" collapsed="false">
      <c r="A126" s="32" t="s">
        <v>311</v>
      </c>
      <c r="B126" s="33" t="s">
        <v>93</v>
      </c>
      <c r="C126" s="47" t="s">
        <v>325</v>
      </c>
      <c r="D126" s="33" t="s">
        <v>326</v>
      </c>
      <c r="E126" s="34" t="s">
        <v>84</v>
      </c>
      <c r="F126" s="35" t="s">
        <v>85</v>
      </c>
      <c r="G126" s="47"/>
      <c r="H126" s="36" t="s">
        <v>86</v>
      </c>
      <c r="I126" s="34" t="s">
        <v>321</v>
      </c>
      <c r="J126" s="34" t="s">
        <v>321</v>
      </c>
      <c r="K126" s="34" t="s">
        <v>87</v>
      </c>
      <c r="L126" s="34" t="s">
        <v>327</v>
      </c>
      <c r="M126" s="34" t="s">
        <v>320</v>
      </c>
      <c r="N126" s="34" t="s">
        <v>89</v>
      </c>
      <c r="O126" s="37" t="n">
        <v>148130</v>
      </c>
      <c r="P126" s="37" t="n">
        <v>33750</v>
      </c>
      <c r="Q126" s="37" t="n">
        <v>15840</v>
      </c>
      <c r="R126" s="38" t="n">
        <v>0.381828703702922</v>
      </c>
      <c r="S126" s="36" t="n">
        <v>28</v>
      </c>
      <c r="T126" s="36" t="n">
        <v>6</v>
      </c>
      <c r="U126" s="34" t="s">
        <v>97</v>
      </c>
      <c r="V126" s="36" t="s">
        <v>91</v>
      </c>
      <c r="W126" s="39" t="s">
        <v>84</v>
      </c>
      <c r="X126" s="37" t="n">
        <v>121350</v>
      </c>
      <c r="Y126" s="40" t="n">
        <v>180</v>
      </c>
      <c r="Z126" s="41" t="n">
        <v>0.1</v>
      </c>
      <c r="AA126" s="37" t="n">
        <v>250</v>
      </c>
      <c r="AB126" s="42" t="n">
        <f aca="false">AA126*5</f>
        <v>0</v>
      </c>
      <c r="AC126" s="43" t="n">
        <v>19200</v>
      </c>
      <c r="AD126" s="43" t="n">
        <v>1440</v>
      </c>
      <c r="AE126" s="43" t="n">
        <v>4566</v>
      </c>
      <c r="AF126" s="43" t="n">
        <v>13000</v>
      </c>
      <c r="AG126" s="37" t="n">
        <v>130000</v>
      </c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35" t="s">
        <v>157</v>
      </c>
      <c r="AW126" s="58"/>
      <c r="AX126" s="36"/>
      <c r="AY126" s="36"/>
      <c r="AZ126" s="58"/>
      <c r="BA126" s="36"/>
      <c r="BB126" s="58"/>
      <c r="BC126" s="36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36"/>
      <c r="BP126" s="58"/>
      <c r="BQ126" s="58"/>
      <c r="BR126" s="58"/>
      <c r="BS126" s="35" t="s">
        <v>92</v>
      </c>
      <c r="BT126" s="36"/>
      <c r="BU126" s="46"/>
      <c r="BV126" s="46"/>
      <c r="BW126" s="46"/>
      <c r="BX126" s="46"/>
    </row>
    <row r="127" customFormat="false" ht="12.8" hidden="false" customHeight="false" outlineLevel="0" collapsed="false">
      <c r="A127" s="35" t="s">
        <v>328</v>
      </c>
      <c r="B127" s="35" t="s">
        <v>98</v>
      </c>
      <c r="C127" s="35" t="s">
        <v>329</v>
      </c>
      <c r="D127" s="35" t="s">
        <v>330</v>
      </c>
      <c r="E127" s="34" t="s">
        <v>89</v>
      </c>
      <c r="F127" s="35" t="s">
        <v>116</v>
      </c>
      <c r="G127" s="34"/>
      <c r="H127" s="34" t="s">
        <v>84</v>
      </c>
      <c r="I127" s="34" t="s">
        <v>89</v>
      </c>
      <c r="J127" s="34" t="s">
        <v>88</v>
      </c>
      <c r="K127" s="34" t="s">
        <v>88</v>
      </c>
      <c r="L127" s="34" t="s">
        <v>87</v>
      </c>
      <c r="M127" s="34" t="s">
        <v>87</v>
      </c>
      <c r="N127" s="34" t="s">
        <v>88</v>
      </c>
      <c r="O127" s="42" t="n">
        <v>8960</v>
      </c>
      <c r="P127" s="42" t="n">
        <v>890</v>
      </c>
      <c r="Q127" s="42" t="n">
        <v>320</v>
      </c>
      <c r="R127" s="92" t="n">
        <v>0.0149305555569299</v>
      </c>
      <c r="S127" s="58" t="n">
        <v>1</v>
      </c>
      <c r="T127" s="58" t="n">
        <v>10</v>
      </c>
      <c r="U127" s="34" t="s">
        <v>84</v>
      </c>
      <c r="V127" s="35" t="s">
        <v>103</v>
      </c>
      <c r="W127" s="42" t="n">
        <v>3</v>
      </c>
      <c r="X127" s="42" t="n">
        <v>4920</v>
      </c>
      <c r="Y127" s="50" t="n">
        <v>3</v>
      </c>
      <c r="Z127" s="41"/>
      <c r="AA127" s="42" t="n">
        <v>3000</v>
      </c>
      <c r="AB127" s="42" t="n">
        <f aca="false">AA127*5</f>
        <v>0</v>
      </c>
      <c r="AC127" s="43" t="n">
        <v>1206</v>
      </c>
      <c r="AD127" s="43" t="n">
        <v>300</v>
      </c>
      <c r="AE127" s="43" t="n">
        <v>181</v>
      </c>
      <c r="AF127" s="59" t="n">
        <v>200</v>
      </c>
      <c r="AG127" s="39" t="s">
        <v>84</v>
      </c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36" t="s">
        <v>20</v>
      </c>
      <c r="AW127" s="58"/>
      <c r="AX127" s="58"/>
      <c r="AY127" s="58"/>
      <c r="AZ127" s="58"/>
      <c r="BA127" s="34"/>
      <c r="BB127" s="58"/>
      <c r="BC127" s="58"/>
      <c r="BD127" s="58"/>
      <c r="BE127" s="58"/>
      <c r="BF127" s="58"/>
      <c r="BG127" s="58"/>
      <c r="BH127" s="58"/>
      <c r="BI127" s="58"/>
      <c r="BJ127" s="58"/>
      <c r="BK127" s="34"/>
      <c r="BL127" s="58"/>
      <c r="BM127" s="58"/>
      <c r="BN127" s="34"/>
      <c r="BO127" s="34"/>
      <c r="BP127" s="34"/>
      <c r="BQ127" s="58"/>
      <c r="BR127" s="58"/>
      <c r="BS127" s="58"/>
      <c r="BT127" s="52"/>
      <c r="BU127" s="93" t="s">
        <v>92</v>
      </c>
      <c r="BV127" s="46"/>
      <c r="BW127" s="46"/>
      <c r="BX127" s="46"/>
    </row>
    <row r="128" customFormat="false" ht="12.8" hidden="false" customHeight="false" outlineLevel="0" collapsed="false">
      <c r="A128" s="35" t="s">
        <v>328</v>
      </c>
      <c r="B128" s="35" t="s">
        <v>113</v>
      </c>
      <c r="C128" s="35" t="s">
        <v>331</v>
      </c>
      <c r="D128" s="35" t="s">
        <v>201</v>
      </c>
      <c r="E128" s="34" t="s">
        <v>89</v>
      </c>
      <c r="F128" s="35" t="s">
        <v>148</v>
      </c>
      <c r="G128" s="34"/>
      <c r="H128" s="34" t="s">
        <v>84</v>
      </c>
      <c r="I128" s="34" t="s">
        <v>87</v>
      </c>
      <c r="J128" s="34" t="s">
        <v>87</v>
      </c>
      <c r="K128" s="34" t="s">
        <v>88</v>
      </c>
      <c r="L128" s="34" t="s">
        <v>88</v>
      </c>
      <c r="M128" s="34" t="s">
        <v>88</v>
      </c>
      <c r="N128" s="34" t="s">
        <v>87</v>
      </c>
      <c r="O128" s="42" t="n">
        <v>5470</v>
      </c>
      <c r="P128" s="42" t="n">
        <v>460</v>
      </c>
      <c r="Q128" s="42" t="n">
        <v>160</v>
      </c>
      <c r="R128" s="92" t="n">
        <v>0.00775462963065365</v>
      </c>
      <c r="S128" s="58" t="n">
        <v>1</v>
      </c>
      <c r="T128" s="58" t="n">
        <v>10</v>
      </c>
      <c r="U128" s="34" t="s">
        <v>84</v>
      </c>
      <c r="V128" s="35" t="s">
        <v>103</v>
      </c>
      <c r="W128" s="42" t="n">
        <v>3</v>
      </c>
      <c r="X128" s="42" t="n">
        <v>3750</v>
      </c>
      <c r="Y128" s="50"/>
      <c r="Z128" s="41"/>
      <c r="AA128" s="42" t="n">
        <v>3000</v>
      </c>
      <c r="AB128" s="42" t="n">
        <f aca="false">AA128*5</f>
        <v>0</v>
      </c>
      <c r="AC128" s="43" t="n">
        <v>1230</v>
      </c>
      <c r="AD128" s="43" t="n">
        <v>384</v>
      </c>
      <c r="AE128" s="43" t="n">
        <v>60</v>
      </c>
      <c r="AF128" s="59" t="n">
        <v>200</v>
      </c>
      <c r="AG128" s="39" t="s">
        <v>84</v>
      </c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35" t="s">
        <v>107</v>
      </c>
      <c r="AW128" s="58"/>
      <c r="AX128" s="58"/>
      <c r="AY128" s="58"/>
      <c r="AZ128" s="58"/>
      <c r="BA128" s="34"/>
      <c r="BB128" s="58"/>
      <c r="BC128" s="58"/>
      <c r="BD128" s="58"/>
      <c r="BE128" s="58"/>
      <c r="BF128" s="58"/>
      <c r="BG128" s="58"/>
      <c r="BH128" s="58"/>
      <c r="BI128" s="58"/>
      <c r="BJ128" s="58"/>
      <c r="BK128" s="34"/>
      <c r="BL128" s="58"/>
      <c r="BM128" s="58"/>
      <c r="BN128" s="34"/>
      <c r="BO128" s="34"/>
      <c r="BP128" s="34"/>
      <c r="BQ128" s="58"/>
      <c r="BR128" s="58"/>
      <c r="BS128" s="58"/>
      <c r="BT128" s="52"/>
      <c r="BU128" s="46"/>
      <c r="BV128" s="46"/>
      <c r="BW128" s="93" t="s">
        <v>92</v>
      </c>
      <c r="BX128" s="46"/>
    </row>
    <row r="129" customFormat="false" ht="12.8" hidden="false" customHeight="false" outlineLevel="0" collapsed="false">
      <c r="A129" s="35" t="s">
        <v>328</v>
      </c>
      <c r="B129" s="35" t="s">
        <v>158</v>
      </c>
      <c r="C129" s="34" t="s">
        <v>332</v>
      </c>
      <c r="D129" s="35" t="s">
        <v>330</v>
      </c>
      <c r="E129" s="34" t="s">
        <v>89</v>
      </c>
      <c r="F129" s="35" t="s">
        <v>101</v>
      </c>
      <c r="G129" s="34"/>
      <c r="H129" s="34" t="s">
        <v>84</v>
      </c>
      <c r="I129" s="34" t="s">
        <v>87</v>
      </c>
      <c r="J129" s="34" t="s">
        <v>87</v>
      </c>
      <c r="K129" s="34" t="s">
        <v>88</v>
      </c>
      <c r="L129" s="34" t="s">
        <v>89</v>
      </c>
      <c r="M129" s="34" t="s">
        <v>88</v>
      </c>
      <c r="N129" s="34" t="s">
        <v>87</v>
      </c>
      <c r="O129" s="42" t="n">
        <v>7300</v>
      </c>
      <c r="P129" s="42" t="n">
        <v>660</v>
      </c>
      <c r="Q129" s="42" t="n">
        <v>290</v>
      </c>
      <c r="R129" s="49" t="n">
        <v>0.0122685185197042</v>
      </c>
      <c r="S129" s="58" t="n">
        <v>1</v>
      </c>
      <c r="T129" s="58" t="n">
        <v>10</v>
      </c>
      <c r="U129" s="34" t="s">
        <v>84</v>
      </c>
      <c r="V129" s="35" t="s">
        <v>103</v>
      </c>
      <c r="W129" s="42" t="n">
        <v>3</v>
      </c>
      <c r="X129" s="42" t="n">
        <v>4290</v>
      </c>
      <c r="Y129" s="50"/>
      <c r="Z129" s="41"/>
      <c r="AA129" s="42" t="n">
        <v>3000</v>
      </c>
      <c r="AB129" s="42" t="n">
        <f aca="false">AA129*5</f>
        <v>0</v>
      </c>
      <c r="AC129" s="43" t="n">
        <v>600</v>
      </c>
      <c r="AD129" s="43" t="n">
        <v>600</v>
      </c>
      <c r="AE129" s="43" t="n">
        <v>90</v>
      </c>
      <c r="AF129" s="59" t="n">
        <v>200</v>
      </c>
      <c r="AG129" s="39" t="s">
        <v>84</v>
      </c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58"/>
      <c r="AW129" s="58"/>
      <c r="AX129" s="58"/>
      <c r="AY129" s="58"/>
      <c r="AZ129" s="58"/>
      <c r="BA129" s="34"/>
      <c r="BB129" s="58"/>
      <c r="BC129" s="58"/>
      <c r="BD129" s="58"/>
      <c r="BE129" s="58"/>
      <c r="BF129" s="58"/>
      <c r="BG129" s="58"/>
      <c r="BH129" s="58"/>
      <c r="BI129" s="58"/>
      <c r="BJ129" s="58"/>
      <c r="BK129" s="34"/>
      <c r="BL129" s="58"/>
      <c r="BM129" s="58"/>
      <c r="BN129" s="34"/>
      <c r="BO129" s="34"/>
      <c r="BP129" s="34"/>
      <c r="BQ129" s="58"/>
      <c r="BR129" s="58"/>
      <c r="BS129" s="58"/>
      <c r="BT129" s="52"/>
      <c r="BU129" s="93" t="s">
        <v>92</v>
      </c>
      <c r="BV129" s="46"/>
      <c r="BW129" s="46"/>
      <c r="BX129" s="46"/>
    </row>
    <row r="130" customFormat="false" ht="12.8" hidden="false" customHeight="false" outlineLevel="0" collapsed="false">
      <c r="A130" s="35" t="s">
        <v>328</v>
      </c>
      <c r="B130" s="35" t="s">
        <v>158</v>
      </c>
      <c r="C130" s="35" t="s">
        <v>333</v>
      </c>
      <c r="D130" s="35" t="s">
        <v>334</v>
      </c>
      <c r="E130" s="34" t="s">
        <v>89</v>
      </c>
      <c r="F130" s="35" t="s">
        <v>116</v>
      </c>
      <c r="G130" s="34"/>
      <c r="H130" s="34" t="s">
        <v>84</v>
      </c>
      <c r="I130" s="34" t="s">
        <v>87</v>
      </c>
      <c r="J130" s="34" t="s">
        <v>88</v>
      </c>
      <c r="K130" s="58" t="s">
        <v>88</v>
      </c>
      <c r="L130" s="34" t="s">
        <v>87</v>
      </c>
      <c r="M130" s="58" t="s">
        <v>88</v>
      </c>
      <c r="N130" s="58" t="s">
        <v>89</v>
      </c>
      <c r="O130" s="42" t="n">
        <v>6070</v>
      </c>
      <c r="P130" s="42" t="n">
        <v>480</v>
      </c>
      <c r="Q130" s="42" t="n">
        <v>200</v>
      </c>
      <c r="R130" s="49" t="n">
        <v>0.00891203703577048</v>
      </c>
      <c r="S130" s="58" t="n">
        <v>1</v>
      </c>
      <c r="T130" s="58" t="n">
        <v>10</v>
      </c>
      <c r="U130" s="34" t="s">
        <v>84</v>
      </c>
      <c r="V130" s="35" t="s">
        <v>103</v>
      </c>
      <c r="W130" s="42" t="n">
        <v>3</v>
      </c>
      <c r="X130" s="42" t="n">
        <v>3750</v>
      </c>
      <c r="Y130" s="50"/>
      <c r="Z130" s="41"/>
      <c r="AA130" s="42" t="n">
        <v>3000</v>
      </c>
      <c r="AB130" s="42" t="n">
        <f aca="false">AA130*5</f>
        <v>0</v>
      </c>
      <c r="AC130" s="43" t="n">
        <v>790</v>
      </c>
      <c r="AD130" s="43" t="n">
        <v>664</v>
      </c>
      <c r="AE130" s="43" t="n">
        <v>82</v>
      </c>
      <c r="AF130" s="59" t="n">
        <v>200</v>
      </c>
      <c r="AG130" s="39" t="s">
        <v>84</v>
      </c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36" t="s">
        <v>107</v>
      </c>
      <c r="AW130" s="58"/>
      <c r="AX130" s="58"/>
      <c r="AY130" s="58"/>
      <c r="AZ130" s="58"/>
      <c r="BA130" s="34"/>
      <c r="BB130" s="58"/>
      <c r="BC130" s="58"/>
      <c r="BD130" s="58"/>
      <c r="BE130" s="58"/>
      <c r="BF130" s="58"/>
      <c r="BG130" s="58"/>
      <c r="BH130" s="58"/>
      <c r="BI130" s="58"/>
      <c r="BJ130" s="58"/>
      <c r="BK130" s="34"/>
      <c r="BL130" s="58"/>
      <c r="BM130" s="58"/>
      <c r="BN130" s="34"/>
      <c r="BO130" s="34"/>
      <c r="BP130" s="34"/>
      <c r="BQ130" s="58"/>
      <c r="BR130" s="58"/>
      <c r="BS130" s="58"/>
      <c r="BT130" s="52"/>
      <c r="BU130" s="93" t="s">
        <v>92</v>
      </c>
      <c r="BV130" s="46"/>
      <c r="BW130" s="46"/>
      <c r="BX130" s="46"/>
    </row>
    <row r="131" customFormat="false" ht="12.8" hidden="false" customHeight="false" outlineLevel="0" collapsed="false">
      <c r="A131" s="35" t="s">
        <v>328</v>
      </c>
      <c r="B131" s="35" t="s">
        <v>81</v>
      </c>
      <c r="C131" s="35" t="s">
        <v>335</v>
      </c>
      <c r="D131" s="35" t="s">
        <v>336</v>
      </c>
      <c r="E131" s="34" t="s">
        <v>89</v>
      </c>
      <c r="F131" s="35" t="s">
        <v>116</v>
      </c>
      <c r="G131" s="34"/>
      <c r="H131" s="34" t="s">
        <v>84</v>
      </c>
      <c r="I131" s="34" t="s">
        <v>87</v>
      </c>
      <c r="J131" s="34" t="s">
        <v>87</v>
      </c>
      <c r="K131" s="34" t="s">
        <v>88</v>
      </c>
      <c r="L131" s="34" t="s">
        <v>84</v>
      </c>
      <c r="M131" s="34" t="s">
        <v>87</v>
      </c>
      <c r="N131" s="34" t="s">
        <v>88</v>
      </c>
      <c r="O131" s="42" t="n">
        <v>7460</v>
      </c>
      <c r="P131" s="42" t="n">
        <v>480</v>
      </c>
      <c r="Q131" s="42" t="n">
        <v>200</v>
      </c>
      <c r="R131" s="92" t="n">
        <v>0.00902777777810115</v>
      </c>
      <c r="S131" s="58" t="n">
        <v>1</v>
      </c>
      <c r="T131" s="58" t="n">
        <v>10</v>
      </c>
      <c r="U131" s="34" t="s">
        <v>84</v>
      </c>
      <c r="V131" s="35" t="s">
        <v>103</v>
      </c>
      <c r="W131" s="42" t="n">
        <v>3</v>
      </c>
      <c r="X131" s="42" t="n">
        <v>4500</v>
      </c>
      <c r="Y131" s="50"/>
      <c r="Z131" s="41"/>
      <c r="AA131" s="42" t="n">
        <v>3000</v>
      </c>
      <c r="AB131" s="42" t="n">
        <f aca="false">AA131*5</f>
        <v>0</v>
      </c>
      <c r="AC131" s="43" t="n">
        <v>663</v>
      </c>
      <c r="AD131" s="43" t="n">
        <v>763</v>
      </c>
      <c r="AE131" s="43" t="n">
        <v>132</v>
      </c>
      <c r="AF131" s="59" t="n">
        <v>200</v>
      </c>
      <c r="AG131" s="39" t="s">
        <v>84</v>
      </c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35" t="s">
        <v>107</v>
      </c>
      <c r="AW131" s="58"/>
      <c r="AX131" s="58"/>
      <c r="AY131" s="58"/>
      <c r="AZ131" s="58"/>
      <c r="BA131" s="34"/>
      <c r="BB131" s="58"/>
      <c r="BC131" s="58"/>
      <c r="BD131" s="58"/>
      <c r="BE131" s="58"/>
      <c r="BF131" s="58"/>
      <c r="BG131" s="58"/>
      <c r="BH131" s="58"/>
      <c r="BI131" s="58"/>
      <c r="BJ131" s="58"/>
      <c r="BK131" s="34"/>
      <c r="BL131" s="58"/>
      <c r="BM131" s="58"/>
      <c r="BN131" s="34"/>
      <c r="BO131" s="34"/>
      <c r="BP131" s="34"/>
      <c r="BQ131" s="58"/>
      <c r="BR131" s="58"/>
      <c r="BS131" s="58"/>
      <c r="BT131" s="52"/>
      <c r="BU131" s="46"/>
      <c r="BV131" s="46"/>
      <c r="BW131" s="93" t="s">
        <v>92</v>
      </c>
      <c r="BX131" s="46"/>
    </row>
    <row r="132" s="73" customFormat="true" ht="12.8" hidden="false" customHeight="false" outlineLevel="0" collapsed="false">
      <c r="A132" s="60" t="s">
        <v>337</v>
      </c>
      <c r="B132" s="60" t="s">
        <v>98</v>
      </c>
      <c r="C132" s="60" t="s">
        <v>338</v>
      </c>
      <c r="D132" s="60" t="s">
        <v>339</v>
      </c>
      <c r="E132" s="62" t="s">
        <v>89</v>
      </c>
      <c r="F132" s="60" t="s">
        <v>116</v>
      </c>
      <c r="G132" s="60"/>
      <c r="H132" s="62" t="s">
        <v>84</v>
      </c>
      <c r="I132" s="62" t="s">
        <v>102</v>
      </c>
      <c r="J132" s="62" t="s">
        <v>84</v>
      </c>
      <c r="K132" s="62" t="s">
        <v>89</v>
      </c>
      <c r="L132" s="62" t="s">
        <v>84</v>
      </c>
      <c r="M132" s="62" t="s">
        <v>89</v>
      </c>
      <c r="N132" s="62" t="s">
        <v>88</v>
      </c>
      <c r="O132" s="68" t="n">
        <v>9260</v>
      </c>
      <c r="P132" s="68" t="n">
        <v>880</v>
      </c>
      <c r="Q132" s="68" t="n">
        <v>270</v>
      </c>
      <c r="R132" s="89" t="n">
        <v>0.0136574074058444</v>
      </c>
      <c r="S132" s="60" t="n">
        <v>1</v>
      </c>
      <c r="T132" s="60" t="n">
        <v>10</v>
      </c>
      <c r="U132" s="62" t="s">
        <v>84</v>
      </c>
      <c r="V132" s="60" t="s">
        <v>103</v>
      </c>
      <c r="W132" s="68" t="n">
        <v>2</v>
      </c>
      <c r="X132" s="68" t="n">
        <v>5340</v>
      </c>
      <c r="Y132" s="69" t="n">
        <v>10</v>
      </c>
      <c r="Z132" s="99"/>
      <c r="AA132" s="68" t="n">
        <v>3000</v>
      </c>
      <c r="AB132" s="68" t="n">
        <f aca="false">AA132*5</f>
        <v>0</v>
      </c>
      <c r="AC132" s="63" t="n">
        <v>2294</v>
      </c>
      <c r="AD132" s="63" t="n">
        <v>0</v>
      </c>
      <c r="AE132" s="63" t="n">
        <v>848</v>
      </c>
      <c r="AF132" s="67" t="n">
        <v>200</v>
      </c>
      <c r="AG132" s="90" t="s">
        <v>84</v>
      </c>
      <c r="AH132" s="70"/>
      <c r="AI132" s="70"/>
      <c r="AJ132" s="70"/>
      <c r="AK132" s="99" t="n">
        <v>-0.18</v>
      </c>
      <c r="AL132" s="99" t="n">
        <v>-0.3</v>
      </c>
      <c r="AM132" s="99"/>
      <c r="AN132" s="70"/>
      <c r="AO132" s="70"/>
      <c r="AP132" s="70"/>
      <c r="AQ132" s="70"/>
      <c r="AR132" s="70"/>
      <c r="AS132" s="70"/>
      <c r="AT132" s="70"/>
      <c r="AU132" s="70"/>
      <c r="AV132" s="60" t="s">
        <v>157</v>
      </c>
      <c r="AW132" s="60"/>
      <c r="AX132" s="60"/>
      <c r="AY132" s="60"/>
      <c r="AZ132" s="60"/>
      <c r="BA132" s="60" t="s">
        <v>92</v>
      </c>
      <c r="BB132" s="60"/>
      <c r="BC132" s="60"/>
      <c r="BD132" s="60"/>
      <c r="BE132" s="60"/>
      <c r="BF132" s="60"/>
      <c r="BG132" s="60"/>
      <c r="BH132" s="60"/>
      <c r="BI132" s="60"/>
      <c r="BJ132" s="60"/>
      <c r="BK132" s="60"/>
      <c r="BL132" s="60"/>
      <c r="BM132" s="60"/>
      <c r="BN132" s="60"/>
      <c r="BO132" s="60"/>
      <c r="BP132" s="60"/>
      <c r="BQ132" s="60"/>
      <c r="BR132" s="60"/>
      <c r="BS132" s="60"/>
      <c r="BT132" s="72"/>
      <c r="BU132" s="91"/>
      <c r="BV132" s="91"/>
      <c r="BW132" s="91"/>
      <c r="BX132" s="91"/>
    </row>
    <row r="133" customFormat="false" ht="12.8" hidden="false" customHeight="false" outlineLevel="0" collapsed="false">
      <c r="A133" s="35" t="s">
        <v>337</v>
      </c>
      <c r="B133" s="35" t="s">
        <v>158</v>
      </c>
      <c r="C133" s="35" t="s">
        <v>340</v>
      </c>
      <c r="D133" s="35" t="s">
        <v>341</v>
      </c>
      <c r="E133" s="34" t="s">
        <v>89</v>
      </c>
      <c r="F133" s="35" t="s">
        <v>145</v>
      </c>
      <c r="G133" s="34"/>
      <c r="H133" s="34" t="s">
        <v>84</v>
      </c>
      <c r="I133" s="34" t="s">
        <v>89</v>
      </c>
      <c r="J133" s="34" t="s">
        <v>84</v>
      </c>
      <c r="K133" s="34" t="s">
        <v>87</v>
      </c>
      <c r="L133" s="34" t="s">
        <v>84</v>
      </c>
      <c r="M133" s="34" t="s">
        <v>89</v>
      </c>
      <c r="N133" s="34" t="s">
        <v>88</v>
      </c>
      <c r="O133" s="42" t="n">
        <v>5360</v>
      </c>
      <c r="P133" s="42" t="n">
        <v>730</v>
      </c>
      <c r="Q133" s="42" t="n">
        <v>260</v>
      </c>
      <c r="R133" s="49" t="n">
        <v>0.0114583333343035</v>
      </c>
      <c r="S133" s="58" t="n">
        <v>1</v>
      </c>
      <c r="T133" s="58" t="n">
        <v>10</v>
      </c>
      <c r="U133" s="34" t="s">
        <v>84</v>
      </c>
      <c r="V133" s="35" t="s">
        <v>103</v>
      </c>
      <c r="W133" s="42" t="n">
        <v>2</v>
      </c>
      <c r="X133" s="42" t="n">
        <v>4780</v>
      </c>
      <c r="Y133" s="50"/>
      <c r="Z133" s="41"/>
      <c r="AA133" s="42" t="n">
        <v>3000</v>
      </c>
      <c r="AB133" s="42" t="n">
        <f aca="false">AA133*5</f>
        <v>0</v>
      </c>
      <c r="AC133" s="43" t="n">
        <v>1600</v>
      </c>
      <c r="AD133" s="43" t="n">
        <v>0</v>
      </c>
      <c r="AE133" s="43" t="n">
        <v>496</v>
      </c>
      <c r="AF133" s="59" t="n">
        <v>200</v>
      </c>
      <c r="AG133" s="39" t="s">
        <v>84</v>
      </c>
      <c r="AH133" s="48"/>
      <c r="AI133" s="48"/>
      <c r="AJ133" s="41" t="n">
        <v>-0.2</v>
      </c>
      <c r="AK133" s="41" t="n">
        <v>-0.25</v>
      </c>
      <c r="AL133" s="41" t="n">
        <v>-0.35</v>
      </c>
      <c r="AM133" s="41"/>
      <c r="AN133" s="48"/>
      <c r="AO133" s="48"/>
      <c r="AP133" s="48"/>
      <c r="AQ133" s="48"/>
      <c r="AR133" s="48"/>
      <c r="AS133" s="48"/>
      <c r="AT133" s="48"/>
      <c r="AU133" s="48"/>
      <c r="AV133" s="36" t="s">
        <v>157</v>
      </c>
      <c r="AW133" s="58"/>
      <c r="AX133" s="58"/>
      <c r="AY133" s="58"/>
      <c r="AZ133" s="58"/>
      <c r="BA133" s="34"/>
      <c r="BB133" s="58"/>
      <c r="BC133" s="58"/>
      <c r="BD133" s="58"/>
      <c r="BE133" s="58"/>
      <c r="BF133" s="58"/>
      <c r="BG133" s="58"/>
      <c r="BH133" s="58"/>
      <c r="BI133" s="58"/>
      <c r="BJ133" s="58"/>
      <c r="BK133" s="34"/>
      <c r="BL133" s="58"/>
      <c r="BM133" s="58"/>
      <c r="BN133" s="34"/>
      <c r="BO133" s="34"/>
      <c r="BP133" s="34"/>
      <c r="BQ133" s="58"/>
      <c r="BR133" s="58"/>
      <c r="BS133" s="58"/>
      <c r="BT133" s="52"/>
      <c r="BU133" s="46"/>
      <c r="BV133" s="93" t="s">
        <v>92</v>
      </c>
      <c r="BW133" s="46"/>
      <c r="BX133" s="46"/>
    </row>
    <row r="134" customFormat="false" ht="12.8" hidden="false" customHeight="false" outlineLevel="0" collapsed="false">
      <c r="A134" s="35" t="s">
        <v>337</v>
      </c>
      <c r="B134" s="35" t="s">
        <v>81</v>
      </c>
      <c r="C134" s="35" t="s">
        <v>342</v>
      </c>
      <c r="D134" s="35" t="s">
        <v>343</v>
      </c>
      <c r="E134" s="34" t="s">
        <v>89</v>
      </c>
      <c r="F134" s="35" t="s">
        <v>153</v>
      </c>
      <c r="G134" s="34"/>
      <c r="H134" s="34" t="s">
        <v>84</v>
      </c>
      <c r="I134" s="34" t="s">
        <v>89</v>
      </c>
      <c r="J134" s="34" t="s">
        <v>84</v>
      </c>
      <c r="K134" s="34" t="s">
        <v>89</v>
      </c>
      <c r="L134" s="34" t="s">
        <v>84</v>
      </c>
      <c r="M134" s="34" t="s">
        <v>88</v>
      </c>
      <c r="N134" s="34" t="s">
        <v>87</v>
      </c>
      <c r="O134" s="42" t="n">
        <v>7130</v>
      </c>
      <c r="P134" s="42" t="n">
        <v>500</v>
      </c>
      <c r="Q134" s="42" t="n">
        <v>190</v>
      </c>
      <c r="R134" s="92" t="n">
        <v>0.00891203703577048</v>
      </c>
      <c r="S134" s="58" t="n">
        <v>1</v>
      </c>
      <c r="T134" s="58" t="n">
        <v>10</v>
      </c>
      <c r="U134" s="34" t="s">
        <v>84</v>
      </c>
      <c r="V134" s="35" t="s">
        <v>103</v>
      </c>
      <c r="W134" s="42" t="n">
        <v>2</v>
      </c>
      <c r="X134" s="42" t="n">
        <v>4240</v>
      </c>
      <c r="Y134" s="50"/>
      <c r="Z134" s="41"/>
      <c r="AA134" s="42" t="n">
        <v>3000</v>
      </c>
      <c r="AB134" s="42" t="n">
        <f aca="false">AA134*5</f>
        <v>0</v>
      </c>
      <c r="AC134" s="43" t="n">
        <v>1000</v>
      </c>
      <c r="AD134" s="43" t="n">
        <v>0</v>
      </c>
      <c r="AE134" s="43" t="n">
        <v>440</v>
      </c>
      <c r="AF134" s="59" t="n">
        <v>200</v>
      </c>
      <c r="AG134" s="39" t="s">
        <v>84</v>
      </c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36" t="s">
        <v>157</v>
      </c>
      <c r="AW134" s="58"/>
      <c r="AX134" s="58"/>
      <c r="AY134" s="58"/>
      <c r="AZ134" s="58"/>
      <c r="BA134" s="34"/>
      <c r="BB134" s="58"/>
      <c r="BC134" s="58"/>
      <c r="BD134" s="58"/>
      <c r="BE134" s="58"/>
      <c r="BF134" s="58"/>
      <c r="BG134" s="58"/>
      <c r="BH134" s="58"/>
      <c r="BI134" s="58"/>
      <c r="BJ134" s="58"/>
      <c r="BK134" s="34"/>
      <c r="BL134" s="58"/>
      <c r="BM134" s="58"/>
      <c r="BN134" s="34"/>
      <c r="BO134" s="35" t="s">
        <v>92</v>
      </c>
      <c r="BP134" s="34"/>
      <c r="BQ134" s="58"/>
      <c r="BR134" s="58"/>
      <c r="BS134" s="58"/>
      <c r="BT134" s="52"/>
      <c r="BU134" s="46"/>
      <c r="BV134" s="46"/>
      <c r="BW134" s="46"/>
      <c r="BX134" s="46"/>
    </row>
    <row r="135" customFormat="false" ht="12.8" hidden="false" customHeight="false" outlineLevel="0" collapsed="false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1"/>
      <c r="Z135" s="102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0"/>
      <c r="AZ135" s="100"/>
      <c r="BA135" s="100"/>
      <c r="BB135" s="100"/>
      <c r="BC135" s="100"/>
      <c r="BD135" s="100"/>
      <c r="BE135" s="100"/>
      <c r="BF135" s="100"/>
      <c r="BG135" s="100"/>
      <c r="BH135" s="100"/>
      <c r="BI135" s="100"/>
      <c r="BJ135" s="100"/>
      <c r="BK135" s="100"/>
      <c r="BL135" s="100"/>
      <c r="BM135" s="100"/>
      <c r="BN135" s="100"/>
      <c r="BO135" s="100"/>
      <c r="BP135" s="100"/>
      <c r="BQ135" s="100"/>
      <c r="BR135" s="100"/>
      <c r="BS135" s="100"/>
      <c r="BT135" s="100"/>
      <c r="BU135" s="100"/>
      <c r="BV135" s="100"/>
      <c r="BW135" s="100"/>
      <c r="BX135" s="100"/>
    </row>
    <row r="136" customFormat="false" ht="12.8" hidden="false" customHeight="false" outlineLevel="0" collapsed="false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1"/>
      <c r="Z136" s="102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0"/>
      <c r="AV136" s="100"/>
      <c r="AW136" s="100"/>
      <c r="AX136" s="100"/>
      <c r="AY136" s="100"/>
      <c r="AZ136" s="100"/>
      <c r="BA136" s="100"/>
      <c r="BB136" s="100"/>
      <c r="BC136" s="100"/>
      <c r="BD136" s="100"/>
      <c r="BE136" s="100"/>
      <c r="BF136" s="100"/>
      <c r="BG136" s="100"/>
      <c r="BH136" s="100"/>
      <c r="BI136" s="100"/>
      <c r="BJ136" s="100"/>
      <c r="BK136" s="100"/>
      <c r="BL136" s="100"/>
      <c r="BM136" s="100"/>
      <c r="BN136" s="100"/>
      <c r="BO136" s="100"/>
      <c r="BP136" s="100"/>
      <c r="BQ136" s="100"/>
      <c r="BR136" s="100"/>
      <c r="BS136" s="100"/>
      <c r="BT136" s="100"/>
      <c r="BU136" s="100"/>
      <c r="BV136" s="100"/>
      <c r="BW136" s="100"/>
      <c r="BX136" s="100"/>
    </row>
    <row r="137" customFormat="false" ht="12.8" hidden="false" customHeight="false" outlineLevel="0" collapsed="false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1"/>
      <c r="Z137" s="102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0"/>
      <c r="BA137" s="100"/>
      <c r="BB137" s="100"/>
      <c r="BC137" s="100"/>
      <c r="BD137" s="100"/>
      <c r="BE137" s="100"/>
      <c r="BF137" s="100"/>
      <c r="BG137" s="100"/>
      <c r="BH137" s="100"/>
      <c r="BI137" s="100"/>
      <c r="BJ137" s="100"/>
      <c r="BK137" s="100"/>
      <c r="BL137" s="100"/>
      <c r="BM137" s="100"/>
      <c r="BN137" s="100"/>
      <c r="BO137" s="100"/>
      <c r="BP137" s="100"/>
      <c r="BQ137" s="100"/>
      <c r="BR137" s="100"/>
      <c r="BS137" s="100"/>
      <c r="BT137" s="100"/>
      <c r="BU137" s="100"/>
      <c r="BV137" s="100"/>
      <c r="BW137" s="100"/>
      <c r="BX137" s="100"/>
    </row>
    <row r="138" customFormat="false" ht="12.8" hidden="false" customHeight="false" outlineLevel="0" collapsed="false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1"/>
      <c r="Z138" s="102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100"/>
      <c r="AW138" s="100"/>
      <c r="AX138" s="100"/>
      <c r="AY138" s="100"/>
      <c r="AZ138" s="100"/>
      <c r="BA138" s="100"/>
      <c r="BB138" s="100"/>
      <c r="BC138" s="100"/>
      <c r="BD138" s="100"/>
      <c r="BE138" s="100"/>
      <c r="BF138" s="100"/>
      <c r="BG138" s="100"/>
      <c r="BH138" s="100"/>
      <c r="BI138" s="100"/>
      <c r="BJ138" s="100"/>
      <c r="BK138" s="100"/>
      <c r="BL138" s="100"/>
      <c r="BM138" s="100"/>
      <c r="BN138" s="100"/>
      <c r="BO138" s="100"/>
      <c r="BP138" s="100"/>
      <c r="BQ138" s="100"/>
      <c r="BR138" s="100"/>
      <c r="BS138" s="100"/>
      <c r="BT138" s="100"/>
      <c r="BU138" s="100"/>
      <c r="BV138" s="100"/>
      <c r="BW138" s="100"/>
      <c r="BX138" s="100"/>
    </row>
    <row r="139" customFormat="false" ht="12.8" hidden="false" customHeight="false" outlineLevel="0" collapsed="false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1"/>
      <c r="Z139" s="102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  <c r="AW139" s="100"/>
      <c r="AX139" s="100"/>
      <c r="AY139" s="100"/>
      <c r="AZ139" s="100"/>
      <c r="BA139" s="100"/>
      <c r="BB139" s="100"/>
      <c r="BC139" s="100"/>
      <c r="BD139" s="100"/>
      <c r="BE139" s="100"/>
      <c r="BF139" s="100"/>
      <c r="BG139" s="100"/>
      <c r="BH139" s="100"/>
      <c r="BI139" s="100"/>
      <c r="BJ139" s="100"/>
      <c r="BK139" s="100"/>
      <c r="BL139" s="100"/>
      <c r="BM139" s="100"/>
      <c r="BN139" s="100"/>
      <c r="BO139" s="100"/>
      <c r="BP139" s="100"/>
      <c r="BQ139" s="100"/>
      <c r="BR139" s="100"/>
      <c r="BS139" s="100"/>
      <c r="BT139" s="100"/>
      <c r="BU139" s="100"/>
      <c r="BV139" s="100"/>
      <c r="BW139" s="100"/>
      <c r="BX139" s="100"/>
    </row>
    <row r="140" customFormat="false" ht="12.8" hidden="false" customHeight="false" outlineLevel="0" collapsed="false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1"/>
      <c r="Z140" s="102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  <c r="AW140" s="100"/>
      <c r="AX140" s="100"/>
      <c r="AY140" s="100"/>
      <c r="AZ140" s="100"/>
      <c r="BA140" s="100"/>
      <c r="BB140" s="100"/>
      <c r="BC140" s="100"/>
      <c r="BD140" s="100"/>
      <c r="BE140" s="100"/>
      <c r="BF140" s="100"/>
      <c r="BG140" s="100"/>
      <c r="BH140" s="100"/>
      <c r="BI140" s="100"/>
      <c r="BJ140" s="100"/>
      <c r="BK140" s="100"/>
      <c r="BL140" s="100"/>
      <c r="BM140" s="100"/>
      <c r="BN140" s="100"/>
      <c r="BO140" s="100"/>
      <c r="BP140" s="100"/>
      <c r="BQ140" s="100"/>
      <c r="BR140" s="100"/>
      <c r="BS140" s="100"/>
      <c r="BT140" s="100"/>
      <c r="BU140" s="100"/>
      <c r="BV140" s="100"/>
      <c r="BW140" s="100"/>
      <c r="BX140" s="100"/>
    </row>
    <row r="141" customFormat="false" ht="12.8" hidden="false" customHeight="false" outlineLevel="0" collapsed="false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1"/>
      <c r="Z141" s="102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  <c r="BF141" s="100"/>
      <c r="BG141" s="100"/>
      <c r="BH141" s="100"/>
      <c r="BI141" s="100"/>
      <c r="BJ141" s="100"/>
      <c r="BK141" s="100"/>
      <c r="BL141" s="100"/>
      <c r="BM141" s="100"/>
      <c r="BN141" s="100"/>
      <c r="BO141" s="100"/>
      <c r="BP141" s="100"/>
      <c r="BQ141" s="100"/>
      <c r="BR141" s="100"/>
      <c r="BS141" s="100"/>
      <c r="BT141" s="100"/>
      <c r="BU141" s="100"/>
      <c r="BV141" s="100"/>
      <c r="BW141" s="100"/>
      <c r="BX141" s="100"/>
    </row>
    <row r="142" customFormat="false" ht="12.8" hidden="false" customHeight="false" outlineLevel="0" collapsed="false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1"/>
      <c r="Z142" s="102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  <c r="BD142" s="100"/>
      <c r="BE142" s="100"/>
      <c r="BF142" s="100"/>
      <c r="BG142" s="100"/>
      <c r="BH142" s="100"/>
      <c r="BI142" s="100"/>
      <c r="BJ142" s="100"/>
      <c r="BK142" s="100"/>
      <c r="BL142" s="100"/>
      <c r="BM142" s="100"/>
      <c r="BN142" s="100"/>
      <c r="BO142" s="100"/>
      <c r="BP142" s="100"/>
      <c r="BQ142" s="100"/>
      <c r="BR142" s="100"/>
      <c r="BS142" s="100"/>
      <c r="BT142" s="100"/>
      <c r="BU142" s="100"/>
      <c r="BV142" s="100"/>
      <c r="BW142" s="100"/>
      <c r="BX142" s="100"/>
    </row>
    <row r="143" customFormat="false" ht="12.8" hidden="false" customHeight="false" outlineLevel="0" collapsed="false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1"/>
      <c r="Z143" s="102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  <c r="AW143" s="100"/>
      <c r="AX143" s="100"/>
      <c r="AY143" s="100"/>
      <c r="AZ143" s="100"/>
      <c r="BA143" s="100"/>
      <c r="BB143" s="100"/>
      <c r="BC143" s="100"/>
      <c r="BD143" s="100"/>
      <c r="BE143" s="100"/>
      <c r="BF143" s="100"/>
      <c r="BG143" s="100"/>
      <c r="BH143" s="100"/>
      <c r="BI143" s="100"/>
      <c r="BJ143" s="100"/>
      <c r="BK143" s="100"/>
      <c r="BL143" s="100"/>
      <c r="BM143" s="100"/>
      <c r="BN143" s="100"/>
      <c r="BO143" s="100"/>
      <c r="BP143" s="100"/>
      <c r="BQ143" s="100"/>
      <c r="BR143" s="100"/>
      <c r="BS143" s="100"/>
      <c r="BT143" s="100"/>
      <c r="BU143" s="100"/>
      <c r="BV143" s="100"/>
      <c r="BW143" s="100"/>
      <c r="BX143" s="100"/>
    </row>
    <row r="144" customFormat="false" ht="12.8" hidden="false" customHeight="false" outlineLevel="0" collapsed="false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1"/>
      <c r="Z144" s="102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  <c r="AW144" s="100"/>
      <c r="AX144" s="100"/>
      <c r="AY144" s="100"/>
      <c r="AZ144" s="100"/>
      <c r="BA144" s="100"/>
      <c r="BB144" s="100"/>
      <c r="BC144" s="100"/>
      <c r="BD144" s="100"/>
      <c r="BE144" s="100"/>
      <c r="BF144" s="100"/>
      <c r="BG144" s="100"/>
      <c r="BH144" s="100"/>
      <c r="BI144" s="100"/>
      <c r="BJ144" s="100"/>
      <c r="BK144" s="100"/>
      <c r="BL144" s="100"/>
      <c r="BM144" s="100"/>
      <c r="BN144" s="100"/>
      <c r="BO144" s="100"/>
      <c r="BP144" s="100"/>
      <c r="BQ144" s="100"/>
      <c r="BR144" s="100"/>
      <c r="BS144" s="100"/>
      <c r="BT144" s="100"/>
      <c r="BU144" s="100"/>
      <c r="BV144" s="100"/>
      <c r="BW144" s="100"/>
      <c r="BX144" s="100"/>
    </row>
    <row r="145" customFormat="false" ht="12.8" hidden="false" customHeight="false" outlineLevel="0" collapsed="false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1"/>
      <c r="Z145" s="102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  <c r="AW145" s="100"/>
      <c r="AX145" s="100"/>
      <c r="AY145" s="100"/>
      <c r="AZ145" s="100"/>
      <c r="BA145" s="100"/>
      <c r="BB145" s="100"/>
      <c r="BC145" s="100"/>
      <c r="BD145" s="100"/>
      <c r="BE145" s="100"/>
      <c r="BF145" s="100"/>
      <c r="BG145" s="100"/>
      <c r="BH145" s="100"/>
      <c r="BI145" s="100"/>
      <c r="BJ145" s="100"/>
      <c r="BK145" s="100"/>
      <c r="BL145" s="100"/>
      <c r="BM145" s="100"/>
      <c r="BN145" s="100"/>
      <c r="BO145" s="100"/>
      <c r="BP145" s="100"/>
      <c r="BQ145" s="100"/>
      <c r="BR145" s="100"/>
      <c r="BS145" s="100"/>
      <c r="BT145" s="100"/>
      <c r="BU145" s="100"/>
      <c r="BV145" s="100"/>
      <c r="BW145" s="100"/>
      <c r="BX145" s="100"/>
    </row>
    <row r="146" customFormat="false" ht="12.8" hidden="false" customHeight="false" outlineLevel="0" collapsed="false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1"/>
      <c r="Z146" s="102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100"/>
      <c r="AW146" s="100"/>
      <c r="AX146" s="100"/>
      <c r="AY146" s="100"/>
      <c r="AZ146" s="100"/>
      <c r="BA146" s="100"/>
      <c r="BB146" s="100"/>
      <c r="BC146" s="100"/>
      <c r="BD146" s="100"/>
      <c r="BE146" s="100"/>
      <c r="BF146" s="100"/>
      <c r="BG146" s="100"/>
      <c r="BH146" s="100"/>
      <c r="BI146" s="100"/>
      <c r="BJ146" s="100"/>
      <c r="BK146" s="100"/>
      <c r="BL146" s="100"/>
      <c r="BM146" s="100"/>
      <c r="BN146" s="100"/>
      <c r="BO146" s="100"/>
      <c r="BP146" s="100"/>
      <c r="BQ146" s="100"/>
      <c r="BR146" s="100"/>
      <c r="BS146" s="100"/>
      <c r="BT146" s="100"/>
      <c r="BU146" s="100"/>
      <c r="BV146" s="100"/>
      <c r="BW146" s="100"/>
      <c r="BX146" s="100"/>
    </row>
    <row r="147" customFormat="false" ht="12.8" hidden="false" customHeight="false" outlineLevel="0" collapsed="false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1"/>
      <c r="Z147" s="102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  <c r="BB147" s="100"/>
      <c r="BC147" s="100"/>
      <c r="BD147" s="100"/>
      <c r="BE147" s="100"/>
      <c r="BF147" s="100"/>
      <c r="BG147" s="100"/>
      <c r="BH147" s="100"/>
      <c r="BI147" s="100"/>
      <c r="BJ147" s="100"/>
      <c r="BK147" s="100"/>
      <c r="BL147" s="100"/>
      <c r="BM147" s="100"/>
      <c r="BN147" s="100"/>
      <c r="BO147" s="100"/>
      <c r="BP147" s="100"/>
      <c r="BQ147" s="100"/>
      <c r="BR147" s="100"/>
      <c r="BS147" s="100"/>
      <c r="BT147" s="100"/>
      <c r="BU147" s="100"/>
      <c r="BV147" s="100"/>
      <c r="BW147" s="100"/>
      <c r="BX147" s="100"/>
    </row>
    <row r="148" customFormat="false" ht="12.8" hidden="false" customHeight="false" outlineLevel="0" collapsed="false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1"/>
      <c r="Z148" s="102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  <c r="AW148" s="100"/>
      <c r="AX148" s="100"/>
      <c r="AY148" s="100"/>
      <c r="AZ148" s="100"/>
      <c r="BA148" s="100"/>
      <c r="BB148" s="100"/>
      <c r="BC148" s="100"/>
      <c r="BD148" s="100"/>
      <c r="BE148" s="100"/>
      <c r="BF148" s="100"/>
      <c r="BG148" s="100"/>
      <c r="BH148" s="100"/>
      <c r="BI148" s="100"/>
      <c r="BJ148" s="100"/>
      <c r="BK148" s="100"/>
      <c r="BL148" s="100"/>
      <c r="BM148" s="100"/>
      <c r="BN148" s="100"/>
      <c r="BO148" s="100"/>
      <c r="BP148" s="100"/>
      <c r="BQ148" s="100"/>
      <c r="BR148" s="100"/>
      <c r="BS148" s="100"/>
      <c r="BT148" s="100"/>
      <c r="BU148" s="100"/>
      <c r="BV148" s="100"/>
      <c r="BW148" s="100"/>
      <c r="BX148" s="100"/>
    </row>
    <row r="149" customFormat="false" ht="12.8" hidden="false" customHeight="false" outlineLevel="0" collapsed="false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1"/>
      <c r="Z149" s="102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  <c r="AW149" s="100"/>
      <c r="AX149" s="100"/>
      <c r="AY149" s="100"/>
      <c r="AZ149" s="100"/>
      <c r="BA149" s="100"/>
      <c r="BB149" s="100"/>
      <c r="BC149" s="100"/>
      <c r="BD149" s="100"/>
      <c r="BE149" s="100"/>
      <c r="BF149" s="100"/>
      <c r="BG149" s="100"/>
      <c r="BH149" s="100"/>
      <c r="BI149" s="100"/>
      <c r="BJ149" s="100"/>
      <c r="BK149" s="100"/>
      <c r="BL149" s="100"/>
      <c r="BM149" s="100"/>
      <c r="BN149" s="100"/>
      <c r="BO149" s="100"/>
      <c r="BP149" s="100"/>
      <c r="BQ149" s="100"/>
      <c r="BR149" s="100"/>
      <c r="BS149" s="100"/>
      <c r="BT149" s="100"/>
      <c r="BU149" s="100"/>
      <c r="BV149" s="100"/>
      <c r="BW149" s="100"/>
      <c r="BX149" s="100"/>
    </row>
    <row r="150" customFormat="false" ht="12.8" hidden="false" customHeight="false" outlineLevel="0" collapsed="false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1"/>
      <c r="Z150" s="102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  <c r="AW150" s="100"/>
      <c r="AX150" s="100"/>
      <c r="AY150" s="100"/>
      <c r="AZ150" s="100"/>
      <c r="BA150" s="100"/>
      <c r="BB150" s="100"/>
      <c r="BC150" s="100"/>
      <c r="BD150" s="100"/>
      <c r="BE150" s="100"/>
      <c r="BF150" s="100"/>
      <c r="BG150" s="100"/>
      <c r="BH150" s="100"/>
      <c r="BI150" s="100"/>
      <c r="BJ150" s="100"/>
      <c r="BK150" s="100"/>
      <c r="BL150" s="100"/>
      <c r="BM150" s="100"/>
      <c r="BN150" s="100"/>
      <c r="BO150" s="100"/>
      <c r="BP150" s="100"/>
      <c r="BQ150" s="100"/>
      <c r="BR150" s="100"/>
      <c r="BS150" s="100"/>
      <c r="BT150" s="100"/>
      <c r="BU150" s="100"/>
      <c r="BV150" s="100"/>
      <c r="BW150" s="100"/>
      <c r="BX150" s="100"/>
    </row>
    <row r="151" customFormat="false" ht="12.8" hidden="false" customHeight="false" outlineLevel="0" collapsed="false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1"/>
      <c r="Z151" s="102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  <c r="AW151" s="100"/>
      <c r="AX151" s="100"/>
      <c r="AY151" s="100"/>
      <c r="AZ151" s="100"/>
      <c r="BA151" s="100"/>
      <c r="BB151" s="100"/>
      <c r="BC151" s="100"/>
      <c r="BD151" s="100"/>
      <c r="BE151" s="100"/>
      <c r="BF151" s="100"/>
      <c r="BG151" s="100"/>
      <c r="BH151" s="100"/>
      <c r="BI151" s="100"/>
      <c r="BJ151" s="100"/>
      <c r="BK151" s="100"/>
      <c r="BL151" s="100"/>
      <c r="BM151" s="100"/>
      <c r="BN151" s="100"/>
      <c r="BO151" s="100"/>
      <c r="BP151" s="100"/>
      <c r="BQ151" s="100"/>
      <c r="BR151" s="100"/>
      <c r="BS151" s="100"/>
      <c r="BT151" s="100"/>
      <c r="BU151" s="100"/>
      <c r="BV151" s="100"/>
      <c r="BW151" s="100"/>
      <c r="BX151" s="100"/>
    </row>
    <row r="152" customFormat="false" ht="12.8" hidden="false" customHeight="false" outlineLevel="0" collapsed="false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1"/>
      <c r="Z152" s="102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  <c r="AW152" s="100"/>
      <c r="AX152" s="100"/>
      <c r="AY152" s="100"/>
      <c r="AZ152" s="100"/>
      <c r="BA152" s="100"/>
      <c r="BB152" s="100"/>
      <c r="BC152" s="100"/>
      <c r="BD152" s="100"/>
      <c r="BE152" s="100"/>
      <c r="BF152" s="100"/>
      <c r="BG152" s="100"/>
      <c r="BH152" s="100"/>
      <c r="BI152" s="100"/>
      <c r="BJ152" s="100"/>
      <c r="BK152" s="100"/>
      <c r="BL152" s="100"/>
      <c r="BM152" s="100"/>
      <c r="BN152" s="100"/>
      <c r="BO152" s="100"/>
      <c r="BP152" s="100"/>
      <c r="BQ152" s="100"/>
      <c r="BR152" s="100"/>
      <c r="BS152" s="100"/>
      <c r="BT152" s="100"/>
      <c r="BU152" s="100"/>
      <c r="BV152" s="100"/>
      <c r="BW152" s="100"/>
      <c r="BX152" s="100"/>
    </row>
    <row r="153" customFormat="false" ht="12.8" hidden="false" customHeight="false" outlineLevel="0" collapsed="false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1"/>
      <c r="Z153" s="102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0"/>
      <c r="BA153" s="100"/>
      <c r="BB153" s="100"/>
      <c r="BC153" s="100"/>
      <c r="BD153" s="100"/>
      <c r="BE153" s="100"/>
      <c r="BF153" s="100"/>
      <c r="BG153" s="100"/>
      <c r="BH153" s="100"/>
      <c r="BI153" s="100"/>
      <c r="BJ153" s="100"/>
      <c r="BK153" s="100"/>
      <c r="BL153" s="100"/>
      <c r="BM153" s="100"/>
      <c r="BN153" s="100"/>
      <c r="BO153" s="100"/>
      <c r="BP153" s="100"/>
      <c r="BQ153" s="100"/>
      <c r="BR153" s="100"/>
      <c r="BS153" s="100"/>
      <c r="BT153" s="100"/>
      <c r="BU153" s="100"/>
      <c r="BV153" s="100"/>
      <c r="BW153" s="100"/>
      <c r="BX153" s="100"/>
    </row>
    <row r="154" customFormat="false" ht="12.8" hidden="false" customHeight="false" outlineLevel="0" collapsed="false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1"/>
      <c r="Z154" s="102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  <c r="AW154" s="100"/>
      <c r="AX154" s="100"/>
      <c r="AY154" s="100"/>
      <c r="AZ154" s="100"/>
      <c r="BA154" s="100"/>
      <c r="BB154" s="100"/>
      <c r="BC154" s="100"/>
      <c r="BD154" s="100"/>
      <c r="BE154" s="100"/>
      <c r="BF154" s="100"/>
      <c r="BG154" s="100"/>
      <c r="BH154" s="100"/>
      <c r="BI154" s="100"/>
      <c r="BJ154" s="100"/>
      <c r="BK154" s="100"/>
      <c r="BL154" s="100"/>
      <c r="BM154" s="100"/>
      <c r="BN154" s="100"/>
      <c r="BO154" s="100"/>
      <c r="BP154" s="100"/>
      <c r="BQ154" s="100"/>
      <c r="BR154" s="100"/>
      <c r="BS154" s="100"/>
      <c r="BT154" s="100"/>
      <c r="BU154" s="100"/>
      <c r="BV154" s="100"/>
      <c r="BW154" s="100"/>
      <c r="BX154" s="100"/>
    </row>
    <row r="155" customFormat="false" ht="12.8" hidden="false" customHeight="false" outlineLevel="0" collapsed="false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1"/>
      <c r="Z155" s="102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0"/>
      <c r="BK155" s="100"/>
      <c r="BL155" s="100"/>
      <c r="BM155" s="100"/>
      <c r="BN155" s="100"/>
      <c r="BO155" s="100"/>
      <c r="BP155" s="100"/>
      <c r="BQ155" s="100"/>
      <c r="BR155" s="100"/>
      <c r="BS155" s="100"/>
      <c r="BT155" s="100"/>
      <c r="BU155" s="100"/>
      <c r="BV155" s="100"/>
      <c r="BW155" s="100"/>
      <c r="BX155" s="100"/>
    </row>
    <row r="156" customFormat="false" ht="12.8" hidden="false" customHeight="false" outlineLevel="0" collapsed="false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1"/>
      <c r="Z156" s="102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  <c r="AW156" s="100"/>
      <c r="AX156" s="100"/>
      <c r="AY156" s="100"/>
      <c r="AZ156" s="100"/>
      <c r="BA156" s="100"/>
      <c r="BB156" s="100"/>
      <c r="BC156" s="100"/>
      <c r="BD156" s="100"/>
      <c r="BE156" s="100"/>
      <c r="BF156" s="100"/>
      <c r="BG156" s="100"/>
      <c r="BH156" s="100"/>
      <c r="BI156" s="100"/>
      <c r="BJ156" s="100"/>
      <c r="BK156" s="100"/>
      <c r="BL156" s="100"/>
      <c r="BM156" s="100"/>
      <c r="BN156" s="100"/>
      <c r="BO156" s="100"/>
      <c r="BP156" s="100"/>
      <c r="BQ156" s="100"/>
      <c r="BR156" s="100"/>
      <c r="BS156" s="100"/>
      <c r="BT156" s="100"/>
      <c r="BU156" s="100"/>
      <c r="BV156" s="100"/>
      <c r="BW156" s="100"/>
      <c r="BX156" s="100"/>
    </row>
    <row r="157" customFormat="false" ht="12.8" hidden="false" customHeight="false" outlineLevel="0" collapsed="false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1"/>
      <c r="Z157" s="102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0"/>
      <c r="AZ157" s="100"/>
      <c r="BA157" s="100"/>
      <c r="BB157" s="100"/>
      <c r="BC157" s="100"/>
      <c r="BD157" s="100"/>
      <c r="BE157" s="100"/>
      <c r="BF157" s="100"/>
      <c r="BG157" s="100"/>
      <c r="BH157" s="100"/>
      <c r="BI157" s="100"/>
      <c r="BJ157" s="100"/>
      <c r="BK157" s="100"/>
      <c r="BL157" s="100"/>
      <c r="BM157" s="100"/>
      <c r="BN157" s="100"/>
      <c r="BO157" s="100"/>
      <c r="BP157" s="100"/>
      <c r="BQ157" s="100"/>
      <c r="BR157" s="100"/>
      <c r="BS157" s="100"/>
      <c r="BT157" s="100"/>
      <c r="BU157" s="100"/>
      <c r="BV157" s="100"/>
      <c r="BW157" s="100"/>
      <c r="BX157" s="100"/>
    </row>
    <row r="158" customFormat="false" ht="12.8" hidden="false" customHeight="false" outlineLevel="0" collapsed="false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1"/>
      <c r="Z158" s="102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  <c r="AW158" s="100"/>
      <c r="AX158" s="100"/>
      <c r="AY158" s="100"/>
      <c r="AZ158" s="100"/>
      <c r="BA158" s="100"/>
      <c r="BB158" s="100"/>
      <c r="BC158" s="100"/>
      <c r="BD158" s="100"/>
      <c r="BE158" s="100"/>
      <c r="BF158" s="100"/>
      <c r="BG158" s="100"/>
      <c r="BH158" s="100"/>
      <c r="BI158" s="100"/>
      <c r="BJ158" s="100"/>
      <c r="BK158" s="100"/>
      <c r="BL158" s="100"/>
      <c r="BM158" s="100"/>
      <c r="BN158" s="100"/>
      <c r="BO158" s="100"/>
      <c r="BP158" s="100"/>
      <c r="BQ158" s="100"/>
      <c r="BR158" s="100"/>
      <c r="BS158" s="100"/>
      <c r="BT158" s="100"/>
      <c r="BU158" s="100"/>
      <c r="BV158" s="100"/>
      <c r="BW158" s="100"/>
      <c r="BX158" s="100"/>
    </row>
    <row r="159" customFormat="false" ht="12.8" hidden="false" customHeight="false" outlineLevel="0" collapsed="false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1"/>
      <c r="Z159" s="102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0"/>
      <c r="AZ159" s="100"/>
      <c r="BA159" s="100"/>
      <c r="BB159" s="100"/>
      <c r="BC159" s="100"/>
      <c r="BD159" s="100"/>
      <c r="BE159" s="100"/>
      <c r="BF159" s="100"/>
      <c r="BG159" s="100"/>
      <c r="BH159" s="100"/>
      <c r="BI159" s="100"/>
      <c r="BJ159" s="100"/>
      <c r="BK159" s="100"/>
      <c r="BL159" s="100"/>
      <c r="BM159" s="100"/>
      <c r="BN159" s="100"/>
      <c r="BO159" s="100"/>
      <c r="BP159" s="100"/>
      <c r="BQ159" s="100"/>
      <c r="BR159" s="100"/>
      <c r="BS159" s="100"/>
      <c r="BT159" s="100"/>
      <c r="BU159" s="100"/>
      <c r="BV159" s="100"/>
      <c r="BW159" s="100"/>
      <c r="BX159" s="100"/>
    </row>
    <row r="160" customFormat="false" ht="12.8" hidden="false" customHeight="false" outlineLevel="0" collapsed="false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1"/>
      <c r="Z160" s="102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  <c r="AW160" s="100"/>
      <c r="AX160" s="100"/>
      <c r="AY160" s="100"/>
      <c r="AZ160" s="100"/>
      <c r="BA160" s="100"/>
      <c r="BB160" s="100"/>
      <c r="BC160" s="100"/>
      <c r="BD160" s="100"/>
      <c r="BE160" s="100"/>
      <c r="BF160" s="100"/>
      <c r="BG160" s="100"/>
      <c r="BH160" s="100"/>
      <c r="BI160" s="100"/>
      <c r="BJ160" s="100"/>
      <c r="BK160" s="100"/>
      <c r="BL160" s="100"/>
      <c r="BM160" s="100"/>
      <c r="BN160" s="100"/>
      <c r="BO160" s="100"/>
      <c r="BP160" s="100"/>
      <c r="BQ160" s="100"/>
      <c r="BR160" s="100"/>
      <c r="BS160" s="100"/>
      <c r="BT160" s="100"/>
      <c r="BU160" s="100"/>
      <c r="BV160" s="100"/>
      <c r="BW160" s="100"/>
      <c r="BX160" s="100"/>
    </row>
    <row r="161" customFormat="false" ht="12.8" hidden="false" customHeight="false" outlineLevel="0" collapsed="false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1"/>
      <c r="Z161" s="102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0"/>
      <c r="BA161" s="100"/>
      <c r="BB161" s="100"/>
      <c r="BC161" s="100"/>
      <c r="BD161" s="100"/>
      <c r="BE161" s="100"/>
      <c r="BF161" s="100"/>
      <c r="BG161" s="100"/>
      <c r="BH161" s="100"/>
      <c r="BI161" s="100"/>
      <c r="BJ161" s="100"/>
      <c r="BK161" s="100"/>
      <c r="BL161" s="100"/>
      <c r="BM161" s="100"/>
      <c r="BN161" s="100"/>
      <c r="BO161" s="100"/>
      <c r="BP161" s="100"/>
      <c r="BQ161" s="100"/>
      <c r="BR161" s="100"/>
      <c r="BS161" s="100"/>
      <c r="BT161" s="100"/>
      <c r="BU161" s="100"/>
      <c r="BV161" s="100"/>
      <c r="BW161" s="100"/>
      <c r="BX161" s="100"/>
    </row>
    <row r="162" customFormat="false" ht="12.8" hidden="false" customHeight="false" outlineLevel="0" collapsed="false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1"/>
      <c r="Z162" s="102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  <c r="BB162" s="100"/>
      <c r="BC162" s="100"/>
      <c r="BD162" s="100"/>
      <c r="BE162" s="100"/>
      <c r="BF162" s="100"/>
      <c r="BG162" s="100"/>
      <c r="BH162" s="100"/>
      <c r="BI162" s="100"/>
      <c r="BJ162" s="100"/>
      <c r="BK162" s="100"/>
      <c r="BL162" s="100"/>
      <c r="BM162" s="100"/>
      <c r="BN162" s="100"/>
      <c r="BO162" s="100"/>
      <c r="BP162" s="100"/>
      <c r="BQ162" s="100"/>
      <c r="BR162" s="100"/>
      <c r="BS162" s="100"/>
      <c r="BT162" s="100"/>
      <c r="BU162" s="100"/>
      <c r="BV162" s="100"/>
      <c r="BW162" s="100"/>
      <c r="BX162" s="100"/>
    </row>
    <row r="163" customFormat="false" ht="12.8" hidden="false" customHeight="false" outlineLevel="0" collapsed="false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1"/>
      <c r="Z163" s="102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0"/>
      <c r="BA163" s="100"/>
      <c r="BB163" s="100"/>
      <c r="BC163" s="100"/>
      <c r="BD163" s="100"/>
      <c r="BE163" s="100"/>
      <c r="BF163" s="100"/>
      <c r="BG163" s="100"/>
      <c r="BH163" s="100"/>
      <c r="BI163" s="100"/>
      <c r="BJ163" s="100"/>
      <c r="BK163" s="100"/>
      <c r="BL163" s="100"/>
      <c r="BM163" s="100"/>
      <c r="BN163" s="100"/>
      <c r="BO163" s="100"/>
      <c r="BP163" s="100"/>
      <c r="BQ163" s="100"/>
      <c r="BR163" s="100"/>
      <c r="BS163" s="100"/>
      <c r="BT163" s="100"/>
      <c r="BU163" s="100"/>
      <c r="BV163" s="100"/>
      <c r="BW163" s="100"/>
      <c r="BX163" s="100"/>
    </row>
    <row r="164" customFormat="false" ht="12.8" hidden="false" customHeight="false" outlineLevel="0" collapsed="false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1"/>
      <c r="Z164" s="102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  <c r="BB164" s="100"/>
      <c r="BC164" s="100"/>
      <c r="BD164" s="100"/>
      <c r="BE164" s="100"/>
      <c r="BF164" s="100"/>
      <c r="BG164" s="100"/>
      <c r="BH164" s="100"/>
      <c r="BI164" s="100"/>
      <c r="BJ164" s="100"/>
      <c r="BK164" s="100"/>
      <c r="BL164" s="100"/>
      <c r="BM164" s="100"/>
      <c r="BN164" s="100"/>
      <c r="BO164" s="100"/>
      <c r="BP164" s="100"/>
      <c r="BQ164" s="100"/>
      <c r="BR164" s="100"/>
      <c r="BS164" s="100"/>
      <c r="BT164" s="100"/>
      <c r="BU164" s="100"/>
      <c r="BV164" s="100"/>
      <c r="BW164" s="100"/>
      <c r="BX164" s="100"/>
    </row>
    <row r="165" customFormat="false" ht="12.8" hidden="false" customHeight="false" outlineLevel="0" collapsed="false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1"/>
      <c r="Z165" s="102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0"/>
      <c r="BA165" s="100"/>
      <c r="BB165" s="100"/>
      <c r="BC165" s="100"/>
      <c r="BD165" s="100"/>
      <c r="BE165" s="100"/>
      <c r="BF165" s="100"/>
      <c r="BG165" s="100"/>
      <c r="BH165" s="100"/>
      <c r="BI165" s="100"/>
      <c r="BJ165" s="100"/>
      <c r="BK165" s="100"/>
      <c r="BL165" s="100"/>
      <c r="BM165" s="100"/>
      <c r="BN165" s="100"/>
      <c r="BO165" s="100"/>
      <c r="BP165" s="100"/>
      <c r="BQ165" s="100"/>
      <c r="BR165" s="100"/>
      <c r="BS165" s="100"/>
      <c r="BT165" s="100"/>
      <c r="BU165" s="100"/>
      <c r="BV165" s="100"/>
      <c r="BW165" s="100"/>
      <c r="BX165" s="100"/>
    </row>
    <row r="166" customFormat="false" ht="12.8" hidden="false" customHeight="false" outlineLevel="0" collapsed="false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1"/>
      <c r="Z166" s="102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0"/>
      <c r="AZ166" s="100"/>
      <c r="BA166" s="100"/>
      <c r="BB166" s="100"/>
      <c r="BC166" s="100"/>
      <c r="BD166" s="100"/>
      <c r="BE166" s="100"/>
      <c r="BF166" s="100"/>
      <c r="BG166" s="100"/>
      <c r="BH166" s="100"/>
      <c r="BI166" s="100"/>
      <c r="BJ166" s="100"/>
      <c r="BK166" s="100"/>
      <c r="BL166" s="100"/>
      <c r="BM166" s="100"/>
      <c r="BN166" s="100"/>
      <c r="BO166" s="100"/>
      <c r="BP166" s="100"/>
      <c r="BQ166" s="100"/>
      <c r="BR166" s="100"/>
      <c r="BS166" s="100"/>
      <c r="BT166" s="100"/>
      <c r="BU166" s="100"/>
      <c r="BV166" s="100"/>
      <c r="BW166" s="100"/>
      <c r="BX166" s="100"/>
    </row>
    <row r="167" customFormat="false" ht="12.8" hidden="false" customHeight="false" outlineLevel="0" collapsed="false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1"/>
      <c r="Z167" s="102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0"/>
      <c r="BA167" s="100"/>
      <c r="BB167" s="100"/>
      <c r="BC167" s="100"/>
      <c r="BD167" s="100"/>
      <c r="BE167" s="100"/>
      <c r="BF167" s="100"/>
      <c r="BG167" s="100"/>
      <c r="BH167" s="100"/>
      <c r="BI167" s="100"/>
      <c r="BJ167" s="100"/>
      <c r="BK167" s="100"/>
      <c r="BL167" s="100"/>
      <c r="BM167" s="100"/>
      <c r="BN167" s="100"/>
      <c r="BO167" s="100"/>
      <c r="BP167" s="100"/>
      <c r="BQ167" s="100"/>
      <c r="BR167" s="100"/>
      <c r="BS167" s="100"/>
      <c r="BT167" s="100"/>
      <c r="BU167" s="100"/>
      <c r="BV167" s="100"/>
      <c r="BW167" s="100"/>
      <c r="BX167" s="100"/>
    </row>
    <row r="168" customFormat="false" ht="12.8" hidden="false" customHeight="false" outlineLevel="0" collapsed="false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1"/>
      <c r="Z168" s="102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  <c r="AW168" s="100"/>
      <c r="AX168" s="100"/>
      <c r="AY168" s="100"/>
      <c r="AZ168" s="100"/>
      <c r="BA168" s="100"/>
      <c r="BB168" s="100"/>
      <c r="BC168" s="100"/>
      <c r="BD168" s="100"/>
      <c r="BE168" s="100"/>
      <c r="BF168" s="100"/>
      <c r="BG168" s="100"/>
      <c r="BH168" s="100"/>
      <c r="BI168" s="100"/>
      <c r="BJ168" s="100"/>
      <c r="BK168" s="100"/>
      <c r="BL168" s="100"/>
      <c r="BM168" s="100"/>
      <c r="BN168" s="100"/>
      <c r="BO168" s="100"/>
      <c r="BP168" s="100"/>
      <c r="BQ168" s="100"/>
      <c r="BR168" s="100"/>
      <c r="BS168" s="100"/>
      <c r="BT168" s="100"/>
      <c r="BU168" s="100"/>
      <c r="BV168" s="100"/>
      <c r="BW168" s="100"/>
      <c r="BX168" s="100"/>
    </row>
    <row r="169" customFormat="false" ht="12.8" hidden="false" customHeight="false" outlineLevel="0" collapsed="false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1"/>
      <c r="Z169" s="102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0"/>
      <c r="AZ169" s="100"/>
      <c r="BA169" s="100"/>
      <c r="BB169" s="100"/>
      <c r="BC169" s="100"/>
      <c r="BD169" s="100"/>
      <c r="BE169" s="100"/>
      <c r="BF169" s="100"/>
      <c r="BG169" s="100"/>
      <c r="BH169" s="100"/>
      <c r="BI169" s="100"/>
      <c r="BJ169" s="100"/>
      <c r="BK169" s="100"/>
      <c r="BL169" s="100"/>
      <c r="BM169" s="100"/>
      <c r="BN169" s="100"/>
      <c r="BO169" s="100"/>
      <c r="BP169" s="100"/>
      <c r="BQ169" s="100"/>
      <c r="BR169" s="100"/>
      <c r="BS169" s="100"/>
      <c r="BT169" s="100"/>
      <c r="BU169" s="100"/>
      <c r="BV169" s="100"/>
      <c r="BW169" s="100"/>
      <c r="BX169" s="100"/>
    </row>
    <row r="170" customFormat="false" ht="12.8" hidden="false" customHeight="false" outlineLevel="0" collapsed="false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1"/>
      <c r="Z170" s="102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  <c r="AW170" s="100"/>
      <c r="AX170" s="100"/>
      <c r="AY170" s="100"/>
      <c r="AZ170" s="100"/>
      <c r="BA170" s="100"/>
      <c r="BB170" s="100"/>
      <c r="BC170" s="100"/>
      <c r="BD170" s="100"/>
      <c r="BE170" s="100"/>
      <c r="BF170" s="100"/>
      <c r="BG170" s="100"/>
      <c r="BH170" s="100"/>
      <c r="BI170" s="100"/>
      <c r="BJ170" s="100"/>
      <c r="BK170" s="100"/>
      <c r="BL170" s="100"/>
      <c r="BM170" s="100"/>
      <c r="BN170" s="100"/>
      <c r="BO170" s="100"/>
      <c r="BP170" s="100"/>
      <c r="BQ170" s="100"/>
      <c r="BR170" s="100"/>
      <c r="BS170" s="100"/>
      <c r="BT170" s="100"/>
      <c r="BU170" s="100"/>
      <c r="BV170" s="100"/>
      <c r="BW170" s="100"/>
      <c r="BX170" s="100"/>
    </row>
    <row r="171" customFormat="false" ht="12.8" hidden="false" customHeight="false" outlineLevel="0" collapsed="false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1"/>
      <c r="Z171" s="102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0"/>
      <c r="AZ171" s="100"/>
      <c r="BA171" s="100"/>
      <c r="BB171" s="100"/>
      <c r="BC171" s="100"/>
      <c r="BD171" s="100"/>
      <c r="BE171" s="100"/>
      <c r="BF171" s="100"/>
      <c r="BG171" s="100"/>
      <c r="BH171" s="100"/>
      <c r="BI171" s="100"/>
      <c r="BJ171" s="100"/>
      <c r="BK171" s="100"/>
      <c r="BL171" s="100"/>
      <c r="BM171" s="100"/>
      <c r="BN171" s="100"/>
      <c r="BO171" s="100"/>
      <c r="BP171" s="100"/>
      <c r="BQ171" s="100"/>
      <c r="BR171" s="100"/>
      <c r="BS171" s="100"/>
      <c r="BT171" s="100"/>
      <c r="BU171" s="100"/>
      <c r="BV171" s="100"/>
      <c r="BW171" s="100"/>
      <c r="BX171" s="100"/>
    </row>
    <row r="172" customFormat="false" ht="12.8" hidden="false" customHeight="false" outlineLevel="0" collapsed="false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1"/>
      <c r="Z172" s="102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0"/>
      <c r="BK172" s="100"/>
      <c r="BL172" s="100"/>
      <c r="BM172" s="100"/>
      <c r="BN172" s="100"/>
      <c r="BO172" s="100"/>
      <c r="BP172" s="100"/>
      <c r="BQ172" s="100"/>
      <c r="BR172" s="100"/>
      <c r="BS172" s="100"/>
      <c r="BT172" s="100"/>
      <c r="BU172" s="100"/>
      <c r="BV172" s="100"/>
      <c r="BW172" s="100"/>
      <c r="BX172" s="100"/>
    </row>
    <row r="173" customFormat="false" ht="12.8" hidden="false" customHeight="false" outlineLevel="0" collapsed="false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1"/>
      <c r="Z173" s="102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0"/>
      <c r="BA173" s="100"/>
      <c r="BB173" s="100"/>
      <c r="BC173" s="100"/>
      <c r="BD173" s="100"/>
      <c r="BE173" s="100"/>
      <c r="BF173" s="100"/>
      <c r="BG173" s="100"/>
      <c r="BH173" s="100"/>
      <c r="BI173" s="100"/>
      <c r="BJ173" s="100"/>
      <c r="BK173" s="100"/>
      <c r="BL173" s="100"/>
      <c r="BM173" s="100"/>
      <c r="BN173" s="100"/>
      <c r="BO173" s="100"/>
      <c r="BP173" s="100"/>
      <c r="BQ173" s="100"/>
      <c r="BR173" s="100"/>
      <c r="BS173" s="100"/>
      <c r="BT173" s="100"/>
      <c r="BU173" s="100"/>
      <c r="BV173" s="100"/>
      <c r="BW173" s="100"/>
      <c r="BX173" s="100"/>
    </row>
    <row r="174" customFormat="false" ht="12.8" hidden="false" customHeight="false" outlineLevel="0" collapsed="false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1"/>
      <c r="Z174" s="102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0"/>
      <c r="BK174" s="100"/>
      <c r="BL174" s="100"/>
      <c r="BM174" s="100"/>
      <c r="BN174" s="100"/>
      <c r="BO174" s="100"/>
      <c r="BP174" s="100"/>
      <c r="BQ174" s="100"/>
      <c r="BR174" s="100"/>
      <c r="BS174" s="100"/>
      <c r="BT174" s="100"/>
      <c r="BU174" s="100"/>
      <c r="BV174" s="100"/>
      <c r="BW174" s="100"/>
      <c r="BX174" s="100"/>
    </row>
    <row r="175" customFormat="false" ht="12.8" hidden="false" customHeight="false" outlineLevel="0" collapsed="false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1"/>
      <c r="Z175" s="102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  <c r="AW175" s="100"/>
      <c r="AX175" s="100"/>
      <c r="AY175" s="100"/>
      <c r="AZ175" s="100"/>
      <c r="BA175" s="100"/>
      <c r="BB175" s="100"/>
      <c r="BC175" s="100"/>
      <c r="BD175" s="100"/>
      <c r="BE175" s="100"/>
      <c r="BF175" s="100"/>
      <c r="BG175" s="100"/>
      <c r="BH175" s="100"/>
      <c r="BI175" s="100"/>
      <c r="BJ175" s="100"/>
      <c r="BK175" s="100"/>
      <c r="BL175" s="100"/>
      <c r="BM175" s="100"/>
      <c r="BN175" s="100"/>
      <c r="BO175" s="100"/>
      <c r="BP175" s="100"/>
      <c r="BQ175" s="100"/>
      <c r="BR175" s="100"/>
      <c r="BS175" s="100"/>
      <c r="BT175" s="100"/>
      <c r="BU175" s="100"/>
      <c r="BV175" s="100"/>
      <c r="BW175" s="100"/>
      <c r="BX175" s="100"/>
    </row>
    <row r="176" customFormat="false" ht="12.8" hidden="false" customHeight="false" outlineLevel="0" collapsed="false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1"/>
      <c r="Z176" s="102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  <c r="AW176" s="100"/>
      <c r="AX176" s="100"/>
      <c r="AY176" s="100"/>
      <c r="AZ176" s="100"/>
      <c r="BA176" s="100"/>
      <c r="BB176" s="100"/>
      <c r="BC176" s="100"/>
      <c r="BD176" s="100"/>
      <c r="BE176" s="100"/>
      <c r="BF176" s="100"/>
      <c r="BG176" s="100"/>
      <c r="BH176" s="100"/>
      <c r="BI176" s="100"/>
      <c r="BJ176" s="100"/>
      <c r="BK176" s="100"/>
      <c r="BL176" s="100"/>
      <c r="BM176" s="100"/>
      <c r="BN176" s="100"/>
      <c r="BO176" s="100"/>
      <c r="BP176" s="100"/>
      <c r="BQ176" s="100"/>
      <c r="BR176" s="100"/>
      <c r="BS176" s="100"/>
      <c r="BT176" s="100"/>
      <c r="BU176" s="100"/>
      <c r="BV176" s="100"/>
      <c r="BW176" s="100"/>
      <c r="BX176" s="100"/>
    </row>
    <row r="177" customFormat="false" ht="12.8" hidden="false" customHeight="false" outlineLevel="0" collapsed="false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1"/>
      <c r="Z177" s="102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  <c r="AW177" s="100"/>
      <c r="AX177" s="100"/>
      <c r="AY177" s="100"/>
      <c r="AZ177" s="100"/>
      <c r="BA177" s="100"/>
      <c r="BB177" s="100"/>
      <c r="BC177" s="100"/>
      <c r="BD177" s="100"/>
      <c r="BE177" s="100"/>
      <c r="BF177" s="100"/>
      <c r="BG177" s="100"/>
      <c r="BH177" s="100"/>
      <c r="BI177" s="100"/>
      <c r="BJ177" s="100"/>
      <c r="BK177" s="100"/>
      <c r="BL177" s="100"/>
      <c r="BM177" s="100"/>
      <c r="BN177" s="100"/>
      <c r="BO177" s="100"/>
      <c r="BP177" s="100"/>
      <c r="BQ177" s="100"/>
      <c r="BR177" s="100"/>
      <c r="BS177" s="100"/>
      <c r="BT177" s="100"/>
      <c r="BU177" s="100"/>
      <c r="BV177" s="100"/>
      <c r="BW177" s="100"/>
      <c r="BX177" s="100"/>
    </row>
    <row r="178" customFormat="false" ht="12.8" hidden="false" customHeight="false" outlineLevel="0" collapsed="false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1"/>
      <c r="Z178" s="102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  <c r="AW178" s="100"/>
      <c r="AX178" s="100"/>
      <c r="AY178" s="100"/>
      <c r="AZ178" s="100"/>
      <c r="BA178" s="100"/>
      <c r="BB178" s="100"/>
      <c r="BC178" s="100"/>
      <c r="BD178" s="100"/>
      <c r="BE178" s="100"/>
      <c r="BF178" s="100"/>
      <c r="BG178" s="100"/>
      <c r="BH178" s="100"/>
      <c r="BI178" s="100"/>
      <c r="BJ178" s="100"/>
      <c r="BK178" s="100"/>
      <c r="BL178" s="100"/>
      <c r="BM178" s="100"/>
      <c r="BN178" s="100"/>
      <c r="BO178" s="100"/>
      <c r="BP178" s="100"/>
      <c r="BQ178" s="100"/>
      <c r="BR178" s="100"/>
      <c r="BS178" s="100"/>
      <c r="BT178" s="100"/>
      <c r="BU178" s="100"/>
      <c r="BV178" s="100"/>
      <c r="BW178" s="100"/>
      <c r="BX178" s="100"/>
    </row>
    <row r="179" customFormat="false" ht="12.8" hidden="false" customHeight="false" outlineLevel="0" collapsed="false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1"/>
      <c r="Z179" s="102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  <c r="AW179" s="100"/>
      <c r="AX179" s="100"/>
      <c r="AY179" s="100"/>
      <c r="AZ179" s="100"/>
      <c r="BA179" s="100"/>
      <c r="BB179" s="100"/>
      <c r="BC179" s="100"/>
      <c r="BD179" s="100"/>
      <c r="BE179" s="100"/>
      <c r="BF179" s="100"/>
      <c r="BG179" s="100"/>
      <c r="BH179" s="100"/>
      <c r="BI179" s="100"/>
      <c r="BJ179" s="100"/>
      <c r="BK179" s="100"/>
      <c r="BL179" s="100"/>
      <c r="BM179" s="100"/>
      <c r="BN179" s="100"/>
      <c r="BO179" s="100"/>
      <c r="BP179" s="100"/>
      <c r="BQ179" s="100"/>
      <c r="BR179" s="100"/>
      <c r="BS179" s="100"/>
      <c r="BT179" s="100"/>
      <c r="BU179" s="100"/>
      <c r="BV179" s="100"/>
      <c r="BW179" s="100"/>
      <c r="BX179" s="100"/>
    </row>
    <row r="180" customFormat="false" ht="12.8" hidden="false" customHeight="false" outlineLevel="0" collapsed="false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1"/>
      <c r="Z180" s="102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  <c r="AW180" s="100"/>
      <c r="AX180" s="100"/>
      <c r="AY180" s="100"/>
      <c r="AZ180" s="100"/>
      <c r="BA180" s="100"/>
      <c r="BB180" s="100"/>
      <c r="BC180" s="100"/>
      <c r="BD180" s="100"/>
      <c r="BE180" s="100"/>
      <c r="BF180" s="100"/>
      <c r="BG180" s="100"/>
      <c r="BH180" s="100"/>
      <c r="BI180" s="100"/>
      <c r="BJ180" s="100"/>
      <c r="BK180" s="100"/>
      <c r="BL180" s="100"/>
      <c r="BM180" s="100"/>
      <c r="BN180" s="100"/>
      <c r="BO180" s="100"/>
      <c r="BP180" s="100"/>
      <c r="BQ180" s="100"/>
      <c r="BR180" s="100"/>
      <c r="BS180" s="100"/>
      <c r="BT180" s="100"/>
      <c r="BU180" s="100"/>
      <c r="BV180" s="100"/>
      <c r="BW180" s="100"/>
      <c r="BX180" s="100"/>
    </row>
    <row r="181" customFormat="false" ht="12.8" hidden="false" customHeight="false" outlineLevel="0" collapsed="false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1"/>
      <c r="Z181" s="102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0"/>
      <c r="BK181" s="100"/>
      <c r="BL181" s="100"/>
      <c r="BM181" s="100"/>
      <c r="BN181" s="100"/>
      <c r="BO181" s="100"/>
      <c r="BP181" s="100"/>
      <c r="BQ181" s="100"/>
      <c r="BR181" s="100"/>
      <c r="BS181" s="100"/>
      <c r="BT181" s="100"/>
      <c r="BU181" s="100"/>
      <c r="BV181" s="100"/>
      <c r="BW181" s="100"/>
      <c r="BX181" s="100"/>
    </row>
    <row r="182" customFormat="false" ht="12.8" hidden="false" customHeight="false" outlineLevel="0" collapsed="false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1"/>
      <c r="Z182" s="102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  <c r="AW182" s="100"/>
      <c r="AX182" s="100"/>
      <c r="AY182" s="100"/>
      <c r="AZ182" s="100"/>
      <c r="BA182" s="100"/>
      <c r="BB182" s="100"/>
      <c r="BC182" s="100"/>
      <c r="BD182" s="100"/>
      <c r="BE182" s="100"/>
      <c r="BF182" s="100"/>
      <c r="BG182" s="100"/>
      <c r="BH182" s="100"/>
      <c r="BI182" s="100"/>
      <c r="BJ182" s="100"/>
      <c r="BK182" s="100"/>
      <c r="BL182" s="100"/>
      <c r="BM182" s="100"/>
      <c r="BN182" s="100"/>
      <c r="BO182" s="100"/>
      <c r="BP182" s="100"/>
      <c r="BQ182" s="100"/>
      <c r="BR182" s="100"/>
      <c r="BS182" s="100"/>
      <c r="BT182" s="100"/>
      <c r="BU182" s="100"/>
      <c r="BV182" s="100"/>
      <c r="BW182" s="100"/>
      <c r="BX182" s="100"/>
    </row>
    <row r="183" customFormat="false" ht="12.8" hidden="false" customHeight="false" outlineLevel="0" collapsed="false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1"/>
      <c r="Z183" s="102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0"/>
      <c r="BK183" s="100"/>
      <c r="BL183" s="100"/>
      <c r="BM183" s="100"/>
      <c r="BN183" s="100"/>
      <c r="BO183" s="100"/>
      <c r="BP183" s="100"/>
      <c r="BQ183" s="100"/>
      <c r="BR183" s="100"/>
      <c r="BS183" s="100"/>
      <c r="BT183" s="100"/>
      <c r="BU183" s="100"/>
      <c r="BV183" s="100"/>
      <c r="BW183" s="100"/>
      <c r="BX183" s="100"/>
    </row>
    <row r="184" customFormat="false" ht="12.8" hidden="false" customHeight="false" outlineLevel="0" collapsed="false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1"/>
      <c r="Z184" s="102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  <c r="AW184" s="100"/>
      <c r="AX184" s="100"/>
      <c r="AY184" s="100"/>
      <c r="AZ184" s="100"/>
      <c r="BA184" s="100"/>
      <c r="BB184" s="100"/>
      <c r="BC184" s="100"/>
      <c r="BD184" s="100"/>
      <c r="BE184" s="100"/>
      <c r="BF184" s="100"/>
      <c r="BG184" s="100"/>
      <c r="BH184" s="100"/>
      <c r="BI184" s="100"/>
      <c r="BJ184" s="100"/>
      <c r="BK184" s="100"/>
      <c r="BL184" s="100"/>
      <c r="BM184" s="100"/>
      <c r="BN184" s="100"/>
      <c r="BO184" s="100"/>
      <c r="BP184" s="100"/>
      <c r="BQ184" s="100"/>
      <c r="BR184" s="100"/>
      <c r="BS184" s="100"/>
      <c r="BT184" s="100"/>
      <c r="BU184" s="100"/>
      <c r="BV184" s="100"/>
      <c r="BW184" s="100"/>
      <c r="BX184" s="100"/>
    </row>
    <row r="185" customFormat="false" ht="12.8" hidden="false" customHeight="false" outlineLevel="0" collapsed="false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1"/>
      <c r="Z185" s="102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  <c r="AW185" s="100"/>
      <c r="AX185" s="100"/>
      <c r="AY185" s="100"/>
      <c r="AZ185" s="100"/>
      <c r="BA185" s="100"/>
      <c r="BB185" s="100"/>
      <c r="BC185" s="100"/>
      <c r="BD185" s="100"/>
      <c r="BE185" s="100"/>
      <c r="BF185" s="100"/>
      <c r="BG185" s="100"/>
      <c r="BH185" s="100"/>
      <c r="BI185" s="100"/>
      <c r="BJ185" s="100"/>
      <c r="BK185" s="100"/>
      <c r="BL185" s="100"/>
      <c r="BM185" s="100"/>
      <c r="BN185" s="100"/>
      <c r="BO185" s="100"/>
      <c r="BP185" s="100"/>
      <c r="BQ185" s="100"/>
      <c r="BR185" s="100"/>
      <c r="BS185" s="100"/>
      <c r="BT185" s="100"/>
      <c r="BU185" s="100"/>
      <c r="BV185" s="100"/>
      <c r="BW185" s="100"/>
      <c r="BX185" s="100"/>
    </row>
    <row r="186" customFormat="false" ht="12.8" hidden="false" customHeight="false" outlineLevel="0" collapsed="false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1"/>
      <c r="Z186" s="102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  <c r="AW186" s="100"/>
      <c r="AX186" s="100"/>
      <c r="AY186" s="100"/>
      <c r="AZ186" s="100"/>
      <c r="BA186" s="100"/>
      <c r="BB186" s="100"/>
      <c r="BC186" s="100"/>
      <c r="BD186" s="100"/>
      <c r="BE186" s="100"/>
      <c r="BF186" s="100"/>
      <c r="BG186" s="100"/>
      <c r="BH186" s="100"/>
      <c r="BI186" s="100"/>
      <c r="BJ186" s="100"/>
      <c r="BK186" s="100"/>
      <c r="BL186" s="100"/>
      <c r="BM186" s="100"/>
      <c r="BN186" s="100"/>
      <c r="BO186" s="100"/>
      <c r="BP186" s="100"/>
      <c r="BQ186" s="100"/>
      <c r="BR186" s="100"/>
      <c r="BS186" s="100"/>
      <c r="BT186" s="100"/>
      <c r="BU186" s="100"/>
      <c r="BV186" s="100"/>
      <c r="BW186" s="100"/>
      <c r="BX186" s="100"/>
    </row>
    <row r="187" customFormat="false" ht="12.8" hidden="false" customHeight="false" outlineLevel="0" collapsed="false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1"/>
      <c r="Z187" s="102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0"/>
      <c r="AZ187" s="100"/>
      <c r="BA187" s="100"/>
      <c r="BB187" s="100"/>
      <c r="BC187" s="100"/>
      <c r="BD187" s="100"/>
      <c r="BE187" s="100"/>
      <c r="BF187" s="100"/>
      <c r="BG187" s="100"/>
      <c r="BH187" s="100"/>
      <c r="BI187" s="100"/>
      <c r="BJ187" s="100"/>
      <c r="BK187" s="100"/>
      <c r="BL187" s="100"/>
      <c r="BM187" s="100"/>
      <c r="BN187" s="100"/>
      <c r="BO187" s="100"/>
      <c r="BP187" s="100"/>
      <c r="BQ187" s="100"/>
      <c r="BR187" s="100"/>
      <c r="BS187" s="100"/>
      <c r="BT187" s="100"/>
      <c r="BU187" s="100"/>
      <c r="BV187" s="100"/>
      <c r="BW187" s="100"/>
      <c r="BX187" s="100"/>
    </row>
    <row r="188" customFormat="false" ht="12.8" hidden="false" customHeight="false" outlineLevel="0" collapsed="false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1"/>
      <c r="Z188" s="102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  <c r="BE188" s="100"/>
      <c r="BF188" s="100"/>
      <c r="BG188" s="100"/>
      <c r="BH188" s="100"/>
      <c r="BI188" s="100"/>
      <c r="BJ188" s="100"/>
      <c r="BK188" s="100"/>
      <c r="BL188" s="100"/>
      <c r="BM188" s="100"/>
      <c r="BN188" s="100"/>
      <c r="BO188" s="100"/>
      <c r="BP188" s="100"/>
      <c r="BQ188" s="100"/>
      <c r="BR188" s="100"/>
      <c r="BS188" s="100"/>
      <c r="BT188" s="100"/>
      <c r="BU188" s="100"/>
      <c r="BV188" s="100"/>
      <c r="BW188" s="100"/>
      <c r="BX188" s="100"/>
    </row>
    <row r="189" customFormat="false" ht="12.8" hidden="false" customHeight="false" outlineLevel="0" collapsed="false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1"/>
      <c r="Z189" s="102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0"/>
      <c r="BK189" s="100"/>
      <c r="BL189" s="100"/>
      <c r="BM189" s="100"/>
      <c r="BN189" s="100"/>
      <c r="BO189" s="100"/>
      <c r="BP189" s="100"/>
      <c r="BQ189" s="100"/>
      <c r="BR189" s="100"/>
      <c r="BS189" s="100"/>
      <c r="BT189" s="100"/>
      <c r="BU189" s="100"/>
      <c r="BV189" s="100"/>
      <c r="BW189" s="100"/>
      <c r="BX189" s="100"/>
    </row>
    <row r="190" customFormat="false" ht="12.8" hidden="false" customHeight="false" outlineLevel="0" collapsed="false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1"/>
      <c r="Z190" s="102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  <c r="BB190" s="100"/>
      <c r="BC190" s="100"/>
      <c r="BD190" s="100"/>
      <c r="BE190" s="100"/>
      <c r="BF190" s="100"/>
      <c r="BG190" s="100"/>
      <c r="BH190" s="100"/>
      <c r="BI190" s="100"/>
      <c r="BJ190" s="100"/>
      <c r="BK190" s="100"/>
      <c r="BL190" s="100"/>
      <c r="BM190" s="100"/>
      <c r="BN190" s="100"/>
      <c r="BO190" s="100"/>
      <c r="BP190" s="100"/>
      <c r="BQ190" s="100"/>
      <c r="BR190" s="100"/>
      <c r="BS190" s="100"/>
      <c r="BT190" s="100"/>
      <c r="BU190" s="100"/>
      <c r="BV190" s="100"/>
      <c r="BW190" s="100"/>
      <c r="BX190" s="100"/>
    </row>
    <row r="191" customFormat="false" ht="12.8" hidden="false" customHeight="false" outlineLevel="0" collapsed="false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1"/>
      <c r="Z191" s="102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0"/>
      <c r="AZ191" s="100"/>
      <c r="BA191" s="100"/>
      <c r="BB191" s="100"/>
      <c r="BC191" s="100"/>
      <c r="BD191" s="100"/>
      <c r="BE191" s="100"/>
      <c r="BF191" s="100"/>
      <c r="BG191" s="100"/>
      <c r="BH191" s="100"/>
      <c r="BI191" s="100"/>
      <c r="BJ191" s="100"/>
      <c r="BK191" s="100"/>
      <c r="BL191" s="100"/>
      <c r="BM191" s="100"/>
      <c r="BN191" s="100"/>
      <c r="BO191" s="100"/>
      <c r="BP191" s="100"/>
      <c r="BQ191" s="100"/>
      <c r="BR191" s="100"/>
      <c r="BS191" s="100"/>
      <c r="BT191" s="100"/>
      <c r="BU191" s="100"/>
      <c r="BV191" s="100"/>
      <c r="BW191" s="100"/>
      <c r="BX191" s="100"/>
    </row>
    <row r="192" customFormat="false" ht="12.8" hidden="false" customHeight="false" outlineLevel="0" collapsed="false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1"/>
      <c r="Z192" s="102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  <c r="AW192" s="100"/>
      <c r="AX192" s="100"/>
      <c r="AY192" s="100"/>
      <c r="AZ192" s="100"/>
      <c r="BA192" s="100"/>
      <c r="BB192" s="100"/>
      <c r="BC192" s="100"/>
      <c r="BD192" s="100"/>
      <c r="BE192" s="100"/>
      <c r="BF192" s="100"/>
      <c r="BG192" s="100"/>
      <c r="BH192" s="100"/>
      <c r="BI192" s="100"/>
      <c r="BJ192" s="100"/>
      <c r="BK192" s="100"/>
      <c r="BL192" s="100"/>
      <c r="BM192" s="100"/>
      <c r="BN192" s="100"/>
      <c r="BO192" s="100"/>
      <c r="BP192" s="100"/>
      <c r="BQ192" s="100"/>
      <c r="BR192" s="100"/>
      <c r="BS192" s="100"/>
      <c r="BT192" s="100"/>
      <c r="BU192" s="100"/>
      <c r="BV192" s="100"/>
      <c r="BW192" s="100"/>
      <c r="BX192" s="100"/>
    </row>
    <row r="193" customFormat="false" ht="12.8" hidden="false" customHeight="false" outlineLevel="0" collapsed="false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1"/>
      <c r="Z193" s="102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  <c r="AW193" s="100"/>
      <c r="AX193" s="100"/>
      <c r="AY193" s="100"/>
      <c r="AZ193" s="100"/>
      <c r="BA193" s="100"/>
      <c r="BB193" s="100"/>
      <c r="BC193" s="100"/>
      <c r="BD193" s="100"/>
      <c r="BE193" s="100"/>
      <c r="BF193" s="100"/>
      <c r="BG193" s="100"/>
      <c r="BH193" s="100"/>
      <c r="BI193" s="100"/>
      <c r="BJ193" s="100"/>
      <c r="BK193" s="100"/>
      <c r="BL193" s="100"/>
      <c r="BM193" s="100"/>
      <c r="BN193" s="100"/>
      <c r="BO193" s="100"/>
      <c r="BP193" s="100"/>
      <c r="BQ193" s="100"/>
      <c r="BR193" s="100"/>
      <c r="BS193" s="100"/>
      <c r="BT193" s="100"/>
      <c r="BU193" s="100"/>
      <c r="BV193" s="100"/>
      <c r="BW193" s="100"/>
      <c r="BX193" s="100"/>
    </row>
    <row r="194" customFormat="false" ht="12.8" hidden="false" customHeight="false" outlineLevel="0" collapsed="false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1"/>
      <c r="Z194" s="102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  <c r="AW194" s="100"/>
      <c r="AX194" s="100"/>
      <c r="AY194" s="100"/>
      <c r="AZ194" s="100"/>
      <c r="BA194" s="100"/>
      <c r="BB194" s="100"/>
      <c r="BC194" s="100"/>
      <c r="BD194" s="100"/>
      <c r="BE194" s="100"/>
      <c r="BF194" s="100"/>
      <c r="BG194" s="100"/>
      <c r="BH194" s="100"/>
      <c r="BI194" s="100"/>
      <c r="BJ194" s="100"/>
      <c r="BK194" s="100"/>
      <c r="BL194" s="100"/>
      <c r="BM194" s="100"/>
      <c r="BN194" s="100"/>
      <c r="BO194" s="100"/>
      <c r="BP194" s="100"/>
      <c r="BQ194" s="100"/>
      <c r="BR194" s="100"/>
      <c r="BS194" s="100"/>
      <c r="BT194" s="100"/>
      <c r="BU194" s="100"/>
      <c r="BV194" s="100"/>
      <c r="BW194" s="100"/>
      <c r="BX194" s="100"/>
    </row>
    <row r="195" customFormat="false" ht="12.8" hidden="false" customHeight="false" outlineLevel="0" collapsed="false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1"/>
      <c r="Z195" s="102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  <c r="AW195" s="100"/>
      <c r="AX195" s="100"/>
      <c r="AY195" s="100"/>
      <c r="AZ195" s="100"/>
      <c r="BA195" s="100"/>
      <c r="BB195" s="100"/>
      <c r="BC195" s="100"/>
      <c r="BD195" s="100"/>
      <c r="BE195" s="100"/>
      <c r="BF195" s="100"/>
      <c r="BG195" s="100"/>
      <c r="BH195" s="100"/>
      <c r="BI195" s="100"/>
      <c r="BJ195" s="100"/>
      <c r="BK195" s="100"/>
      <c r="BL195" s="100"/>
      <c r="BM195" s="100"/>
      <c r="BN195" s="100"/>
      <c r="BO195" s="100"/>
      <c r="BP195" s="100"/>
      <c r="BQ195" s="100"/>
      <c r="BR195" s="100"/>
      <c r="BS195" s="100"/>
      <c r="BT195" s="100"/>
      <c r="BU195" s="100"/>
      <c r="BV195" s="100"/>
      <c r="BW195" s="100"/>
      <c r="BX195" s="100"/>
    </row>
    <row r="196" customFormat="false" ht="12.8" hidden="false" customHeight="false" outlineLevel="0" collapsed="false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1"/>
      <c r="Z196" s="102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  <c r="AW196" s="100"/>
      <c r="AX196" s="100"/>
      <c r="AY196" s="100"/>
      <c r="AZ196" s="100"/>
      <c r="BA196" s="100"/>
      <c r="BB196" s="100"/>
      <c r="BC196" s="100"/>
      <c r="BD196" s="100"/>
      <c r="BE196" s="100"/>
      <c r="BF196" s="100"/>
      <c r="BG196" s="100"/>
      <c r="BH196" s="100"/>
      <c r="BI196" s="100"/>
      <c r="BJ196" s="100"/>
      <c r="BK196" s="100"/>
      <c r="BL196" s="100"/>
      <c r="BM196" s="100"/>
      <c r="BN196" s="100"/>
      <c r="BO196" s="100"/>
      <c r="BP196" s="100"/>
      <c r="BQ196" s="100"/>
      <c r="BR196" s="100"/>
      <c r="BS196" s="100"/>
      <c r="BT196" s="100"/>
      <c r="BU196" s="100"/>
      <c r="BV196" s="100"/>
      <c r="BW196" s="100"/>
      <c r="BX196" s="100"/>
    </row>
    <row r="197" customFormat="false" ht="12.8" hidden="false" customHeight="false" outlineLevel="0" collapsed="false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1"/>
      <c r="Z197" s="102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  <c r="AW197" s="100"/>
      <c r="AX197" s="100"/>
      <c r="AY197" s="100"/>
      <c r="AZ197" s="100"/>
      <c r="BA197" s="100"/>
      <c r="BB197" s="100"/>
      <c r="BC197" s="100"/>
      <c r="BD197" s="100"/>
      <c r="BE197" s="100"/>
      <c r="BF197" s="100"/>
      <c r="BG197" s="100"/>
      <c r="BH197" s="100"/>
      <c r="BI197" s="100"/>
      <c r="BJ197" s="100"/>
      <c r="BK197" s="100"/>
      <c r="BL197" s="100"/>
      <c r="BM197" s="100"/>
      <c r="BN197" s="100"/>
      <c r="BO197" s="100"/>
      <c r="BP197" s="100"/>
      <c r="BQ197" s="100"/>
      <c r="BR197" s="100"/>
      <c r="BS197" s="100"/>
      <c r="BT197" s="100"/>
      <c r="BU197" s="100"/>
      <c r="BV197" s="100"/>
      <c r="BW197" s="100"/>
      <c r="BX197" s="100"/>
    </row>
    <row r="198" customFormat="false" ht="12.8" hidden="false" customHeight="false" outlineLevel="0" collapsed="false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1"/>
      <c r="Z198" s="102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  <c r="AW198" s="100"/>
      <c r="AX198" s="100"/>
      <c r="AY198" s="100"/>
      <c r="AZ198" s="100"/>
      <c r="BA198" s="100"/>
      <c r="BB198" s="100"/>
      <c r="BC198" s="100"/>
      <c r="BD198" s="100"/>
      <c r="BE198" s="100"/>
      <c r="BF198" s="100"/>
      <c r="BG198" s="100"/>
      <c r="BH198" s="100"/>
      <c r="BI198" s="100"/>
      <c r="BJ198" s="100"/>
      <c r="BK198" s="100"/>
      <c r="BL198" s="100"/>
      <c r="BM198" s="100"/>
      <c r="BN198" s="100"/>
      <c r="BO198" s="100"/>
      <c r="BP198" s="100"/>
      <c r="BQ198" s="100"/>
      <c r="BR198" s="100"/>
      <c r="BS198" s="100"/>
      <c r="BT198" s="100"/>
      <c r="BU198" s="100"/>
      <c r="BV198" s="100"/>
      <c r="BW198" s="100"/>
      <c r="BX198" s="100"/>
    </row>
    <row r="199" customFormat="false" ht="12.8" hidden="false" customHeight="false" outlineLevel="0" collapsed="false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1"/>
      <c r="Z199" s="102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0"/>
      <c r="AZ199" s="100"/>
      <c r="BA199" s="100"/>
      <c r="BB199" s="100"/>
      <c r="BC199" s="100"/>
      <c r="BD199" s="100"/>
      <c r="BE199" s="100"/>
      <c r="BF199" s="100"/>
      <c r="BG199" s="100"/>
      <c r="BH199" s="100"/>
      <c r="BI199" s="100"/>
      <c r="BJ199" s="100"/>
      <c r="BK199" s="100"/>
      <c r="BL199" s="100"/>
      <c r="BM199" s="100"/>
      <c r="BN199" s="100"/>
      <c r="BO199" s="100"/>
      <c r="BP199" s="100"/>
      <c r="BQ199" s="100"/>
      <c r="BR199" s="100"/>
      <c r="BS199" s="100"/>
      <c r="BT199" s="100"/>
      <c r="BU199" s="100"/>
      <c r="BV199" s="100"/>
      <c r="BW199" s="100"/>
      <c r="BX199" s="100"/>
    </row>
    <row r="200" customFormat="false" ht="12.8" hidden="false" customHeight="false" outlineLevel="0" collapsed="false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1"/>
      <c r="Z200" s="102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  <c r="BB200" s="100"/>
      <c r="BC200" s="100"/>
      <c r="BD200" s="100"/>
      <c r="BE200" s="100"/>
      <c r="BF200" s="100"/>
      <c r="BG200" s="100"/>
      <c r="BH200" s="100"/>
      <c r="BI200" s="100"/>
      <c r="BJ200" s="100"/>
      <c r="BK200" s="100"/>
      <c r="BL200" s="100"/>
      <c r="BM200" s="100"/>
      <c r="BN200" s="100"/>
      <c r="BO200" s="100"/>
      <c r="BP200" s="100"/>
      <c r="BQ200" s="100"/>
      <c r="BR200" s="100"/>
      <c r="BS200" s="100"/>
      <c r="BT200" s="100"/>
      <c r="BU200" s="100"/>
      <c r="BV200" s="100"/>
      <c r="BW200" s="100"/>
      <c r="BX200" s="100"/>
    </row>
    <row r="201" customFormat="false" ht="12.8" hidden="false" customHeight="false" outlineLevel="0" collapsed="false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1"/>
      <c r="Z201" s="102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  <c r="AW201" s="100"/>
      <c r="AX201" s="100"/>
      <c r="AY201" s="100"/>
      <c r="AZ201" s="100"/>
      <c r="BA201" s="100"/>
      <c r="BB201" s="100"/>
      <c r="BC201" s="100"/>
      <c r="BD201" s="100"/>
      <c r="BE201" s="100"/>
      <c r="BF201" s="100"/>
      <c r="BG201" s="100"/>
      <c r="BH201" s="100"/>
      <c r="BI201" s="100"/>
      <c r="BJ201" s="100"/>
      <c r="BK201" s="100"/>
      <c r="BL201" s="100"/>
      <c r="BM201" s="100"/>
      <c r="BN201" s="100"/>
      <c r="BO201" s="100"/>
      <c r="BP201" s="100"/>
      <c r="BQ201" s="100"/>
      <c r="BR201" s="100"/>
      <c r="BS201" s="100"/>
      <c r="BT201" s="100"/>
      <c r="BU201" s="100"/>
      <c r="BV201" s="100"/>
      <c r="BW201" s="100"/>
      <c r="BX201" s="100"/>
    </row>
    <row r="202" customFormat="false" ht="12.8" hidden="false" customHeight="false" outlineLevel="0" collapsed="false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1"/>
      <c r="Z202" s="102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  <c r="AW202" s="100"/>
      <c r="AX202" s="100"/>
      <c r="AY202" s="100"/>
      <c r="AZ202" s="100"/>
      <c r="BA202" s="100"/>
      <c r="BB202" s="100"/>
      <c r="BC202" s="100"/>
      <c r="BD202" s="100"/>
      <c r="BE202" s="100"/>
      <c r="BF202" s="100"/>
      <c r="BG202" s="100"/>
      <c r="BH202" s="100"/>
      <c r="BI202" s="100"/>
      <c r="BJ202" s="100"/>
      <c r="BK202" s="100"/>
      <c r="BL202" s="100"/>
      <c r="BM202" s="100"/>
      <c r="BN202" s="100"/>
      <c r="BO202" s="100"/>
      <c r="BP202" s="100"/>
      <c r="BQ202" s="100"/>
      <c r="BR202" s="100"/>
      <c r="BS202" s="100"/>
      <c r="BT202" s="100"/>
      <c r="BU202" s="100"/>
      <c r="BV202" s="100"/>
      <c r="BW202" s="100"/>
      <c r="BX202" s="100"/>
    </row>
    <row r="203" customFormat="false" ht="12.8" hidden="false" customHeight="false" outlineLevel="0" collapsed="false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1"/>
      <c r="Z203" s="102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  <c r="AW203" s="100"/>
      <c r="AX203" s="100"/>
      <c r="AY203" s="100"/>
      <c r="AZ203" s="100"/>
      <c r="BA203" s="100"/>
      <c r="BB203" s="100"/>
      <c r="BC203" s="100"/>
      <c r="BD203" s="100"/>
      <c r="BE203" s="100"/>
      <c r="BF203" s="100"/>
      <c r="BG203" s="100"/>
      <c r="BH203" s="100"/>
      <c r="BI203" s="100"/>
      <c r="BJ203" s="100"/>
      <c r="BK203" s="100"/>
      <c r="BL203" s="100"/>
      <c r="BM203" s="100"/>
      <c r="BN203" s="100"/>
      <c r="BO203" s="100"/>
      <c r="BP203" s="100"/>
      <c r="BQ203" s="100"/>
      <c r="BR203" s="100"/>
      <c r="BS203" s="100"/>
      <c r="BT203" s="100"/>
      <c r="BU203" s="100"/>
      <c r="BV203" s="100"/>
      <c r="BW203" s="100"/>
      <c r="BX203" s="100"/>
    </row>
    <row r="204" customFormat="false" ht="12.8" hidden="false" customHeight="false" outlineLevel="0" collapsed="false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1"/>
      <c r="Z204" s="102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  <c r="BB204" s="100"/>
      <c r="BC204" s="100"/>
      <c r="BD204" s="100"/>
      <c r="BE204" s="100"/>
      <c r="BF204" s="100"/>
      <c r="BG204" s="100"/>
      <c r="BH204" s="100"/>
      <c r="BI204" s="100"/>
      <c r="BJ204" s="100"/>
      <c r="BK204" s="100"/>
      <c r="BL204" s="100"/>
      <c r="BM204" s="100"/>
      <c r="BN204" s="100"/>
      <c r="BO204" s="100"/>
      <c r="BP204" s="100"/>
      <c r="BQ204" s="100"/>
      <c r="BR204" s="100"/>
      <c r="BS204" s="100"/>
      <c r="BT204" s="100"/>
      <c r="BU204" s="100"/>
      <c r="BV204" s="100"/>
      <c r="BW204" s="100"/>
      <c r="BX204" s="100"/>
    </row>
    <row r="205" customFormat="false" ht="12.8" hidden="false" customHeight="false" outlineLevel="0" collapsed="false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1"/>
      <c r="Z205" s="102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  <c r="BB205" s="100"/>
      <c r="BC205" s="100"/>
      <c r="BD205" s="100"/>
      <c r="BE205" s="100"/>
      <c r="BF205" s="100"/>
      <c r="BG205" s="100"/>
      <c r="BH205" s="100"/>
      <c r="BI205" s="100"/>
      <c r="BJ205" s="100"/>
      <c r="BK205" s="100"/>
      <c r="BL205" s="100"/>
      <c r="BM205" s="100"/>
      <c r="BN205" s="100"/>
      <c r="BO205" s="100"/>
      <c r="BP205" s="100"/>
      <c r="BQ205" s="100"/>
      <c r="BR205" s="100"/>
      <c r="BS205" s="100"/>
      <c r="BT205" s="100"/>
      <c r="BU205" s="100"/>
      <c r="BV205" s="100"/>
      <c r="BW205" s="100"/>
      <c r="BX205" s="100"/>
    </row>
    <row r="206" customFormat="false" ht="12.8" hidden="false" customHeight="false" outlineLevel="0" collapsed="false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1"/>
      <c r="Z206" s="102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  <c r="AW206" s="100"/>
      <c r="AX206" s="100"/>
      <c r="AY206" s="100"/>
      <c r="AZ206" s="100"/>
      <c r="BA206" s="100"/>
      <c r="BB206" s="100"/>
      <c r="BC206" s="100"/>
      <c r="BD206" s="100"/>
      <c r="BE206" s="100"/>
      <c r="BF206" s="100"/>
      <c r="BG206" s="100"/>
      <c r="BH206" s="100"/>
      <c r="BI206" s="100"/>
      <c r="BJ206" s="100"/>
      <c r="BK206" s="100"/>
      <c r="BL206" s="100"/>
      <c r="BM206" s="100"/>
      <c r="BN206" s="100"/>
      <c r="BO206" s="100"/>
      <c r="BP206" s="100"/>
      <c r="BQ206" s="100"/>
      <c r="BR206" s="100"/>
      <c r="BS206" s="100"/>
      <c r="BT206" s="100"/>
      <c r="BU206" s="100"/>
      <c r="BV206" s="100"/>
      <c r="BW206" s="100"/>
      <c r="BX206" s="100"/>
    </row>
    <row r="207" customFormat="false" ht="12.8" hidden="false" customHeight="false" outlineLevel="0" collapsed="false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1"/>
      <c r="Z207" s="102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  <c r="AW207" s="100"/>
      <c r="AX207" s="100"/>
      <c r="AY207" s="100"/>
      <c r="AZ207" s="100"/>
      <c r="BA207" s="100"/>
      <c r="BB207" s="100"/>
      <c r="BC207" s="100"/>
      <c r="BD207" s="100"/>
      <c r="BE207" s="100"/>
      <c r="BF207" s="100"/>
      <c r="BG207" s="100"/>
      <c r="BH207" s="100"/>
      <c r="BI207" s="100"/>
      <c r="BJ207" s="100"/>
      <c r="BK207" s="100"/>
      <c r="BL207" s="100"/>
      <c r="BM207" s="100"/>
      <c r="BN207" s="100"/>
      <c r="BO207" s="100"/>
      <c r="BP207" s="100"/>
      <c r="BQ207" s="100"/>
      <c r="BR207" s="100"/>
      <c r="BS207" s="100"/>
      <c r="BT207" s="100"/>
      <c r="BU207" s="100"/>
      <c r="BV207" s="100"/>
      <c r="BW207" s="100"/>
      <c r="BX207" s="100"/>
    </row>
    <row r="208" customFormat="false" ht="12.8" hidden="false" customHeight="false" outlineLevel="0" collapsed="false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1"/>
      <c r="Z208" s="102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  <c r="AW208" s="100"/>
      <c r="AX208" s="100"/>
      <c r="AY208" s="100"/>
      <c r="AZ208" s="100"/>
      <c r="BA208" s="100"/>
      <c r="BB208" s="100"/>
      <c r="BC208" s="100"/>
      <c r="BD208" s="100"/>
      <c r="BE208" s="100"/>
      <c r="BF208" s="100"/>
      <c r="BG208" s="100"/>
      <c r="BH208" s="100"/>
      <c r="BI208" s="100"/>
      <c r="BJ208" s="100"/>
      <c r="BK208" s="100"/>
      <c r="BL208" s="100"/>
      <c r="BM208" s="100"/>
      <c r="BN208" s="100"/>
      <c r="BO208" s="100"/>
      <c r="BP208" s="100"/>
      <c r="BQ208" s="100"/>
      <c r="BR208" s="100"/>
      <c r="BS208" s="100"/>
      <c r="BT208" s="100"/>
      <c r="BU208" s="100"/>
      <c r="BV208" s="100"/>
      <c r="BW208" s="100"/>
      <c r="BX208" s="100"/>
    </row>
    <row r="209" customFormat="false" ht="12.8" hidden="false" customHeight="false" outlineLevel="0" collapsed="false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1"/>
      <c r="Z209" s="102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100"/>
      <c r="AY209" s="100"/>
      <c r="AZ209" s="100"/>
      <c r="BA209" s="100"/>
      <c r="BB209" s="100"/>
      <c r="BC209" s="100"/>
      <c r="BD209" s="100"/>
      <c r="BE209" s="100"/>
      <c r="BF209" s="100"/>
      <c r="BG209" s="100"/>
      <c r="BH209" s="100"/>
      <c r="BI209" s="100"/>
      <c r="BJ209" s="100"/>
      <c r="BK209" s="100"/>
      <c r="BL209" s="100"/>
      <c r="BM209" s="100"/>
      <c r="BN209" s="100"/>
      <c r="BO209" s="100"/>
      <c r="BP209" s="100"/>
      <c r="BQ209" s="100"/>
      <c r="BR209" s="100"/>
      <c r="BS209" s="100"/>
      <c r="BT209" s="100"/>
      <c r="BU209" s="100"/>
      <c r="BV209" s="100"/>
      <c r="BW209" s="100"/>
      <c r="BX209" s="100"/>
    </row>
    <row r="210" customFormat="false" ht="12.8" hidden="false" customHeight="false" outlineLevel="0" collapsed="false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1"/>
      <c r="Z210" s="102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  <c r="AW210" s="100"/>
      <c r="AX210" s="100"/>
      <c r="AY210" s="100"/>
      <c r="AZ210" s="100"/>
      <c r="BA210" s="100"/>
      <c r="BB210" s="100"/>
      <c r="BC210" s="100"/>
      <c r="BD210" s="100"/>
      <c r="BE210" s="100"/>
      <c r="BF210" s="100"/>
      <c r="BG210" s="100"/>
      <c r="BH210" s="100"/>
      <c r="BI210" s="100"/>
      <c r="BJ210" s="100"/>
      <c r="BK210" s="100"/>
      <c r="BL210" s="100"/>
      <c r="BM210" s="100"/>
      <c r="BN210" s="100"/>
      <c r="BO210" s="100"/>
      <c r="BP210" s="100"/>
      <c r="BQ210" s="100"/>
      <c r="BR210" s="100"/>
      <c r="BS210" s="100"/>
      <c r="BT210" s="100"/>
      <c r="BU210" s="100"/>
      <c r="BV210" s="100"/>
      <c r="BW210" s="100"/>
      <c r="BX210" s="100"/>
    </row>
    <row r="211" customFormat="false" ht="12.8" hidden="false" customHeight="false" outlineLevel="0" collapsed="false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1"/>
      <c r="Z211" s="102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  <c r="AW211" s="100"/>
      <c r="AX211" s="100"/>
      <c r="AY211" s="100"/>
      <c r="AZ211" s="100"/>
      <c r="BA211" s="100"/>
      <c r="BB211" s="100"/>
      <c r="BC211" s="100"/>
      <c r="BD211" s="100"/>
      <c r="BE211" s="100"/>
      <c r="BF211" s="100"/>
      <c r="BG211" s="100"/>
      <c r="BH211" s="100"/>
      <c r="BI211" s="100"/>
      <c r="BJ211" s="100"/>
      <c r="BK211" s="100"/>
      <c r="BL211" s="100"/>
      <c r="BM211" s="100"/>
      <c r="BN211" s="100"/>
      <c r="BO211" s="100"/>
      <c r="BP211" s="100"/>
      <c r="BQ211" s="100"/>
      <c r="BR211" s="100"/>
      <c r="BS211" s="100"/>
      <c r="BT211" s="100"/>
      <c r="BU211" s="100"/>
      <c r="BV211" s="100"/>
      <c r="BW211" s="100"/>
      <c r="BX211" s="100"/>
    </row>
    <row r="212" customFormat="false" ht="12.8" hidden="false" customHeight="false" outlineLevel="0" collapsed="false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1"/>
      <c r="Z212" s="102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  <c r="AW212" s="100"/>
      <c r="AX212" s="100"/>
      <c r="AY212" s="100"/>
      <c r="AZ212" s="100"/>
      <c r="BA212" s="100"/>
      <c r="BB212" s="100"/>
      <c r="BC212" s="100"/>
      <c r="BD212" s="100"/>
      <c r="BE212" s="100"/>
      <c r="BF212" s="100"/>
      <c r="BG212" s="100"/>
      <c r="BH212" s="100"/>
      <c r="BI212" s="100"/>
      <c r="BJ212" s="100"/>
      <c r="BK212" s="100"/>
      <c r="BL212" s="100"/>
      <c r="BM212" s="100"/>
      <c r="BN212" s="100"/>
      <c r="BO212" s="100"/>
      <c r="BP212" s="100"/>
      <c r="BQ212" s="100"/>
      <c r="BR212" s="100"/>
      <c r="BS212" s="100"/>
      <c r="BT212" s="100"/>
      <c r="BU212" s="100"/>
      <c r="BV212" s="100"/>
      <c r="BW212" s="100"/>
      <c r="BX212" s="100"/>
    </row>
    <row r="213" customFormat="false" ht="12.8" hidden="false" customHeight="false" outlineLevel="0" collapsed="false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1"/>
      <c r="Z213" s="102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  <c r="BB213" s="100"/>
      <c r="BC213" s="100"/>
      <c r="BD213" s="100"/>
      <c r="BE213" s="100"/>
      <c r="BF213" s="100"/>
      <c r="BG213" s="100"/>
      <c r="BH213" s="100"/>
      <c r="BI213" s="100"/>
      <c r="BJ213" s="100"/>
      <c r="BK213" s="100"/>
      <c r="BL213" s="100"/>
      <c r="BM213" s="100"/>
      <c r="BN213" s="100"/>
      <c r="BO213" s="100"/>
      <c r="BP213" s="100"/>
      <c r="BQ213" s="100"/>
      <c r="BR213" s="100"/>
      <c r="BS213" s="100"/>
      <c r="BT213" s="100"/>
      <c r="BU213" s="100"/>
      <c r="BV213" s="100"/>
      <c r="BW213" s="100"/>
      <c r="BX213" s="100"/>
    </row>
    <row r="214" customFormat="false" ht="12.8" hidden="false" customHeight="false" outlineLevel="0" collapsed="false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1"/>
      <c r="Z214" s="102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  <c r="BB214" s="100"/>
      <c r="BC214" s="100"/>
      <c r="BD214" s="100"/>
      <c r="BE214" s="100"/>
      <c r="BF214" s="100"/>
      <c r="BG214" s="100"/>
      <c r="BH214" s="100"/>
      <c r="BI214" s="100"/>
      <c r="BJ214" s="100"/>
      <c r="BK214" s="100"/>
      <c r="BL214" s="100"/>
      <c r="BM214" s="100"/>
      <c r="BN214" s="100"/>
      <c r="BO214" s="100"/>
      <c r="BP214" s="100"/>
      <c r="BQ214" s="100"/>
      <c r="BR214" s="100"/>
      <c r="BS214" s="100"/>
      <c r="BT214" s="100"/>
      <c r="BU214" s="100"/>
      <c r="BV214" s="100"/>
      <c r="BW214" s="100"/>
      <c r="BX214" s="100"/>
    </row>
    <row r="215" customFormat="false" ht="12.8" hidden="false" customHeight="false" outlineLevel="0" collapsed="false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1"/>
      <c r="Z215" s="102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  <c r="AW215" s="100"/>
      <c r="AX215" s="100"/>
      <c r="AY215" s="100"/>
      <c r="AZ215" s="100"/>
      <c r="BA215" s="100"/>
      <c r="BB215" s="100"/>
      <c r="BC215" s="100"/>
      <c r="BD215" s="100"/>
      <c r="BE215" s="100"/>
      <c r="BF215" s="100"/>
      <c r="BG215" s="100"/>
      <c r="BH215" s="100"/>
      <c r="BI215" s="100"/>
      <c r="BJ215" s="100"/>
      <c r="BK215" s="100"/>
      <c r="BL215" s="100"/>
      <c r="BM215" s="100"/>
      <c r="BN215" s="100"/>
      <c r="BO215" s="100"/>
      <c r="BP215" s="100"/>
      <c r="BQ215" s="100"/>
      <c r="BR215" s="100"/>
      <c r="BS215" s="100"/>
      <c r="BT215" s="100"/>
      <c r="BU215" s="100"/>
      <c r="BV215" s="100"/>
      <c r="BW215" s="100"/>
      <c r="BX215" s="100"/>
    </row>
    <row r="216" customFormat="false" ht="12.8" hidden="false" customHeight="false" outlineLevel="0" collapsed="false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1"/>
      <c r="Z216" s="102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  <c r="BB216" s="100"/>
      <c r="BC216" s="100"/>
      <c r="BD216" s="100"/>
      <c r="BE216" s="100"/>
      <c r="BF216" s="100"/>
      <c r="BG216" s="100"/>
      <c r="BH216" s="100"/>
      <c r="BI216" s="100"/>
      <c r="BJ216" s="100"/>
      <c r="BK216" s="100"/>
      <c r="BL216" s="100"/>
      <c r="BM216" s="100"/>
      <c r="BN216" s="100"/>
      <c r="BO216" s="100"/>
      <c r="BP216" s="100"/>
      <c r="BQ216" s="100"/>
      <c r="BR216" s="100"/>
      <c r="BS216" s="100"/>
      <c r="BT216" s="100"/>
      <c r="BU216" s="100"/>
      <c r="BV216" s="100"/>
      <c r="BW216" s="100"/>
      <c r="BX216" s="100"/>
    </row>
    <row r="217" customFormat="false" ht="12.8" hidden="false" customHeight="false" outlineLevel="0" collapsed="false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1"/>
      <c r="Z217" s="102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  <c r="BB217" s="100"/>
      <c r="BC217" s="100"/>
      <c r="BD217" s="100"/>
      <c r="BE217" s="100"/>
      <c r="BF217" s="100"/>
      <c r="BG217" s="100"/>
      <c r="BH217" s="100"/>
      <c r="BI217" s="100"/>
      <c r="BJ217" s="100"/>
      <c r="BK217" s="100"/>
      <c r="BL217" s="100"/>
      <c r="BM217" s="100"/>
      <c r="BN217" s="100"/>
      <c r="BO217" s="100"/>
      <c r="BP217" s="100"/>
      <c r="BQ217" s="100"/>
      <c r="BR217" s="100"/>
      <c r="BS217" s="100"/>
      <c r="BT217" s="100"/>
      <c r="BU217" s="100"/>
      <c r="BV217" s="100"/>
      <c r="BW217" s="100"/>
      <c r="BX217" s="100"/>
    </row>
    <row r="218" customFormat="false" ht="12.8" hidden="false" customHeight="false" outlineLevel="0" collapsed="false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1"/>
      <c r="Z218" s="102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  <c r="AS218" s="100"/>
      <c r="AT218" s="100"/>
      <c r="AU218" s="100"/>
      <c r="AV218" s="100"/>
      <c r="AW218" s="100"/>
      <c r="AX218" s="100"/>
      <c r="AY218" s="100"/>
      <c r="AZ218" s="100"/>
      <c r="BA218" s="100"/>
      <c r="BB218" s="100"/>
      <c r="BC218" s="100"/>
      <c r="BD218" s="100"/>
      <c r="BE218" s="100"/>
      <c r="BF218" s="100"/>
      <c r="BG218" s="100"/>
      <c r="BH218" s="100"/>
      <c r="BI218" s="100"/>
      <c r="BJ218" s="100"/>
      <c r="BK218" s="100"/>
      <c r="BL218" s="100"/>
      <c r="BM218" s="100"/>
      <c r="BN218" s="100"/>
      <c r="BO218" s="100"/>
      <c r="BP218" s="100"/>
      <c r="BQ218" s="100"/>
      <c r="BR218" s="100"/>
      <c r="BS218" s="100"/>
      <c r="BT218" s="100"/>
      <c r="BU218" s="100"/>
      <c r="BV218" s="100"/>
      <c r="BW218" s="100"/>
      <c r="BX218" s="100"/>
    </row>
    <row r="219" customFormat="false" ht="12.8" hidden="false" customHeight="false" outlineLevel="0" collapsed="false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1"/>
      <c r="Z219" s="102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  <c r="AW219" s="100"/>
      <c r="AX219" s="100"/>
      <c r="AY219" s="100"/>
      <c r="AZ219" s="100"/>
      <c r="BA219" s="100"/>
      <c r="BB219" s="100"/>
      <c r="BC219" s="100"/>
      <c r="BD219" s="100"/>
      <c r="BE219" s="100"/>
      <c r="BF219" s="100"/>
      <c r="BG219" s="100"/>
      <c r="BH219" s="100"/>
      <c r="BI219" s="100"/>
      <c r="BJ219" s="100"/>
      <c r="BK219" s="100"/>
      <c r="BL219" s="100"/>
      <c r="BM219" s="100"/>
      <c r="BN219" s="100"/>
      <c r="BO219" s="100"/>
      <c r="BP219" s="100"/>
      <c r="BQ219" s="100"/>
      <c r="BR219" s="100"/>
      <c r="BS219" s="100"/>
      <c r="BT219" s="100"/>
      <c r="BU219" s="100"/>
      <c r="BV219" s="100"/>
      <c r="BW219" s="100"/>
      <c r="BX219" s="100"/>
    </row>
    <row r="220" customFormat="false" ht="12.8" hidden="false" customHeight="false" outlineLevel="0" collapsed="false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1"/>
      <c r="Z220" s="102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  <c r="AW220" s="100"/>
      <c r="AX220" s="100"/>
      <c r="AY220" s="100"/>
      <c r="AZ220" s="100"/>
      <c r="BA220" s="100"/>
      <c r="BB220" s="100"/>
      <c r="BC220" s="100"/>
      <c r="BD220" s="100"/>
      <c r="BE220" s="100"/>
      <c r="BF220" s="100"/>
      <c r="BG220" s="100"/>
      <c r="BH220" s="100"/>
      <c r="BI220" s="100"/>
      <c r="BJ220" s="100"/>
      <c r="BK220" s="100"/>
      <c r="BL220" s="100"/>
      <c r="BM220" s="100"/>
      <c r="BN220" s="100"/>
      <c r="BO220" s="100"/>
      <c r="BP220" s="100"/>
      <c r="BQ220" s="100"/>
      <c r="BR220" s="100"/>
      <c r="BS220" s="100"/>
      <c r="BT220" s="100"/>
      <c r="BU220" s="100"/>
      <c r="BV220" s="100"/>
      <c r="BW220" s="100"/>
      <c r="BX220" s="100"/>
    </row>
    <row r="221" customFormat="false" ht="12.8" hidden="false" customHeight="false" outlineLevel="0" collapsed="false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1"/>
      <c r="Z221" s="102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  <c r="AW221" s="100"/>
      <c r="AX221" s="100"/>
      <c r="AY221" s="100"/>
      <c r="AZ221" s="100"/>
      <c r="BA221" s="100"/>
      <c r="BB221" s="100"/>
      <c r="BC221" s="100"/>
      <c r="BD221" s="100"/>
      <c r="BE221" s="100"/>
      <c r="BF221" s="100"/>
      <c r="BG221" s="100"/>
      <c r="BH221" s="100"/>
      <c r="BI221" s="100"/>
      <c r="BJ221" s="100"/>
      <c r="BK221" s="100"/>
      <c r="BL221" s="100"/>
      <c r="BM221" s="100"/>
      <c r="BN221" s="100"/>
      <c r="BO221" s="100"/>
      <c r="BP221" s="100"/>
      <c r="BQ221" s="100"/>
      <c r="BR221" s="100"/>
      <c r="BS221" s="100"/>
      <c r="BT221" s="100"/>
      <c r="BU221" s="100"/>
      <c r="BV221" s="100"/>
      <c r="BW221" s="100"/>
      <c r="BX221" s="100"/>
    </row>
    <row r="222" customFormat="false" ht="12.8" hidden="false" customHeight="false" outlineLevel="0" collapsed="false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1"/>
      <c r="Z222" s="102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0"/>
      <c r="AS222" s="100"/>
      <c r="AT222" s="100"/>
      <c r="AU222" s="100"/>
      <c r="AV222" s="100"/>
      <c r="AW222" s="100"/>
      <c r="AX222" s="100"/>
      <c r="AY222" s="100"/>
      <c r="AZ222" s="100"/>
      <c r="BA222" s="100"/>
      <c r="BB222" s="100"/>
      <c r="BC222" s="100"/>
      <c r="BD222" s="100"/>
      <c r="BE222" s="100"/>
      <c r="BF222" s="100"/>
      <c r="BG222" s="100"/>
      <c r="BH222" s="100"/>
      <c r="BI222" s="100"/>
      <c r="BJ222" s="100"/>
      <c r="BK222" s="100"/>
      <c r="BL222" s="100"/>
      <c r="BM222" s="100"/>
      <c r="BN222" s="100"/>
      <c r="BO222" s="100"/>
      <c r="BP222" s="100"/>
      <c r="BQ222" s="100"/>
      <c r="BR222" s="100"/>
      <c r="BS222" s="100"/>
      <c r="BT222" s="100"/>
      <c r="BU222" s="100"/>
      <c r="BV222" s="100"/>
      <c r="BW222" s="100"/>
      <c r="BX222" s="100"/>
    </row>
    <row r="223" customFormat="false" ht="12.8" hidden="false" customHeight="false" outlineLevel="0" collapsed="false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1"/>
      <c r="Z223" s="102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  <c r="AW223" s="100"/>
      <c r="AX223" s="100"/>
      <c r="AY223" s="100"/>
      <c r="AZ223" s="100"/>
      <c r="BA223" s="100"/>
      <c r="BB223" s="100"/>
      <c r="BC223" s="100"/>
      <c r="BD223" s="100"/>
      <c r="BE223" s="100"/>
      <c r="BF223" s="100"/>
      <c r="BG223" s="100"/>
      <c r="BH223" s="100"/>
      <c r="BI223" s="100"/>
      <c r="BJ223" s="100"/>
      <c r="BK223" s="100"/>
      <c r="BL223" s="100"/>
      <c r="BM223" s="100"/>
      <c r="BN223" s="100"/>
      <c r="BO223" s="100"/>
      <c r="BP223" s="100"/>
      <c r="BQ223" s="100"/>
      <c r="BR223" s="100"/>
      <c r="BS223" s="100"/>
      <c r="BT223" s="100"/>
      <c r="BU223" s="100"/>
      <c r="BV223" s="100"/>
      <c r="BW223" s="100"/>
      <c r="BX223" s="100"/>
    </row>
    <row r="224" customFormat="false" ht="12.8" hidden="false" customHeight="false" outlineLevel="0" collapsed="false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1"/>
      <c r="Z224" s="102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  <c r="AW224" s="100"/>
      <c r="AX224" s="100"/>
      <c r="AY224" s="100"/>
      <c r="AZ224" s="100"/>
      <c r="BA224" s="100"/>
      <c r="BB224" s="100"/>
      <c r="BC224" s="100"/>
      <c r="BD224" s="100"/>
      <c r="BE224" s="100"/>
      <c r="BF224" s="100"/>
      <c r="BG224" s="100"/>
      <c r="BH224" s="100"/>
      <c r="BI224" s="100"/>
      <c r="BJ224" s="100"/>
      <c r="BK224" s="100"/>
      <c r="BL224" s="100"/>
      <c r="BM224" s="100"/>
      <c r="BN224" s="100"/>
      <c r="BO224" s="100"/>
      <c r="BP224" s="100"/>
      <c r="BQ224" s="100"/>
      <c r="BR224" s="100"/>
      <c r="BS224" s="100"/>
      <c r="BT224" s="100"/>
      <c r="BU224" s="100"/>
      <c r="BV224" s="100"/>
      <c r="BW224" s="100"/>
      <c r="BX224" s="100"/>
    </row>
    <row r="225" customFormat="false" ht="12.8" hidden="false" customHeight="false" outlineLevel="0" collapsed="false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1"/>
      <c r="Z225" s="102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  <c r="AW225" s="100"/>
      <c r="AX225" s="100"/>
      <c r="AY225" s="100"/>
      <c r="AZ225" s="100"/>
      <c r="BA225" s="100"/>
      <c r="BB225" s="100"/>
      <c r="BC225" s="100"/>
      <c r="BD225" s="100"/>
      <c r="BE225" s="100"/>
      <c r="BF225" s="100"/>
      <c r="BG225" s="100"/>
      <c r="BH225" s="100"/>
      <c r="BI225" s="100"/>
      <c r="BJ225" s="100"/>
      <c r="BK225" s="100"/>
      <c r="BL225" s="100"/>
      <c r="BM225" s="100"/>
      <c r="BN225" s="100"/>
      <c r="BO225" s="100"/>
      <c r="BP225" s="100"/>
      <c r="BQ225" s="100"/>
      <c r="BR225" s="100"/>
      <c r="BS225" s="100"/>
      <c r="BT225" s="100"/>
      <c r="BU225" s="100"/>
      <c r="BV225" s="100"/>
      <c r="BW225" s="100"/>
      <c r="BX225" s="100"/>
    </row>
    <row r="226" customFormat="false" ht="12.8" hidden="false" customHeight="false" outlineLevel="0" collapsed="false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1"/>
      <c r="Z226" s="102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  <c r="AS226" s="100"/>
      <c r="AT226" s="100"/>
      <c r="AU226" s="100"/>
      <c r="AV226" s="100"/>
      <c r="AW226" s="100"/>
      <c r="AX226" s="100"/>
      <c r="AY226" s="100"/>
      <c r="AZ226" s="100"/>
      <c r="BA226" s="100"/>
      <c r="BB226" s="100"/>
      <c r="BC226" s="100"/>
      <c r="BD226" s="100"/>
      <c r="BE226" s="100"/>
      <c r="BF226" s="100"/>
      <c r="BG226" s="100"/>
      <c r="BH226" s="100"/>
      <c r="BI226" s="100"/>
      <c r="BJ226" s="100"/>
      <c r="BK226" s="100"/>
      <c r="BL226" s="100"/>
      <c r="BM226" s="100"/>
      <c r="BN226" s="100"/>
      <c r="BO226" s="100"/>
      <c r="BP226" s="100"/>
      <c r="BQ226" s="100"/>
      <c r="BR226" s="100"/>
      <c r="BS226" s="100"/>
      <c r="BT226" s="100"/>
      <c r="BU226" s="100"/>
      <c r="BV226" s="100"/>
      <c r="BW226" s="100"/>
      <c r="BX226" s="100"/>
    </row>
    <row r="227" customFormat="false" ht="12.8" hidden="false" customHeight="false" outlineLevel="0" collapsed="false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1"/>
      <c r="Z227" s="102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0"/>
      <c r="AS227" s="100"/>
      <c r="AT227" s="100"/>
      <c r="AU227" s="100"/>
      <c r="AV227" s="100"/>
      <c r="AW227" s="100"/>
      <c r="AX227" s="100"/>
      <c r="AY227" s="100"/>
      <c r="AZ227" s="100"/>
      <c r="BA227" s="100"/>
      <c r="BB227" s="100"/>
      <c r="BC227" s="100"/>
      <c r="BD227" s="100"/>
      <c r="BE227" s="100"/>
      <c r="BF227" s="100"/>
      <c r="BG227" s="100"/>
      <c r="BH227" s="100"/>
      <c r="BI227" s="100"/>
      <c r="BJ227" s="100"/>
      <c r="BK227" s="100"/>
      <c r="BL227" s="100"/>
      <c r="BM227" s="100"/>
      <c r="BN227" s="100"/>
      <c r="BO227" s="100"/>
      <c r="BP227" s="100"/>
      <c r="BQ227" s="100"/>
      <c r="BR227" s="100"/>
      <c r="BS227" s="100"/>
      <c r="BT227" s="100"/>
      <c r="BU227" s="100"/>
      <c r="BV227" s="100"/>
      <c r="BW227" s="100"/>
      <c r="BX227" s="100"/>
    </row>
  </sheetData>
  <mergeCells count="10">
    <mergeCell ref="AF1:AS1"/>
    <mergeCell ref="I2:N2"/>
    <mergeCell ref="O2:T2"/>
    <mergeCell ref="X2:Z2"/>
    <mergeCell ref="AA2:AB2"/>
    <mergeCell ref="AC2:AE2"/>
    <mergeCell ref="AJ2:AL2"/>
    <mergeCell ref="AN2:AS2"/>
    <mergeCell ref="AT2:AU2"/>
    <mergeCell ref="AV2:BX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J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10.73046875" defaultRowHeight="12.8" zeroHeight="false" outlineLevelRow="0" outlineLevelCol="0"/>
  <cols>
    <col collapsed="false" customWidth="true" hidden="false" outlineLevel="0" max="2" min="1" style="0" width="13.86"/>
    <col collapsed="false" customWidth="true" hidden="false" outlineLevel="0" max="3" min="3" style="0" width="21.43"/>
    <col collapsed="false" customWidth="true" hidden="false" outlineLevel="0" max="4" min="4" style="0" width="23.95"/>
    <col collapsed="false" customWidth="true" hidden="false" outlineLevel="0" max="5" min="5" style="0" width="12.6"/>
    <col collapsed="false" customWidth="true" hidden="false" outlineLevel="0" max="6" min="6" style="0" width="15.12"/>
    <col collapsed="false" customWidth="true" hidden="false" outlineLevel="0" max="7" min="7" style="0" width="16.38"/>
    <col collapsed="false" customWidth="true" hidden="false" outlineLevel="0" max="8" min="8" style="0" width="17.64"/>
    <col collapsed="false" customWidth="true" hidden="false" outlineLevel="0" max="10" min="9" style="0" width="15.12"/>
    <col collapsed="false" customWidth="true" hidden="false" outlineLevel="0" max="12" min="11" style="0" width="12.6"/>
    <col collapsed="false" customWidth="true" hidden="false" outlineLevel="0" max="13" min="13" style="0" width="28.98"/>
    <col collapsed="false" customWidth="true" hidden="false" outlineLevel="0" max="17" min="14" style="0" width="12.6"/>
    <col collapsed="false" customWidth="true" hidden="false" outlineLevel="0" max="18" min="18" style="0" width="11.34"/>
    <col collapsed="false" customWidth="true" hidden="false" outlineLevel="0" max="19" min="19" style="0" width="12.6"/>
    <col collapsed="false" customWidth="true" hidden="false" outlineLevel="0" max="20" min="20" style="0" width="26.47"/>
    <col collapsed="false" customWidth="true" hidden="false" outlineLevel="0" max="21" min="21" style="0" width="15.12"/>
    <col collapsed="false" customWidth="true" hidden="false" outlineLevel="0" max="24" min="22" style="0" width="10.08"/>
    <col collapsed="false" customWidth="true" hidden="false" outlineLevel="0" max="25" min="25" style="0" width="26.47"/>
    <col collapsed="false" customWidth="true" hidden="false" outlineLevel="0" max="26" min="26" style="0" width="16.38"/>
    <col collapsed="false" customWidth="true" hidden="false" outlineLevel="0" max="27" min="27" style="0" width="12.6"/>
    <col collapsed="false" customWidth="true" hidden="false" outlineLevel="0" max="28" min="28" style="0" width="22.69"/>
    <col collapsed="false" customWidth="true" hidden="false" outlineLevel="0" max="29" min="29" style="0" width="15.12"/>
    <col collapsed="false" customWidth="true" hidden="false" outlineLevel="0" max="31" min="30" style="0" width="10.08"/>
    <col collapsed="false" customWidth="true" hidden="false" outlineLevel="0" max="33" min="32" style="0" width="11.34"/>
    <col collapsed="false" customWidth="true" hidden="false" outlineLevel="0" max="34" min="34" style="0" width="15.12"/>
    <col collapsed="false" customWidth="true" hidden="false" outlineLevel="0" max="35" min="35" style="0" width="10.08"/>
    <col collapsed="false" customWidth="true" hidden="false" outlineLevel="0" max="38" min="36" style="0" width="11.34"/>
    <col collapsed="false" customWidth="true" hidden="false" outlineLevel="0" max="39" min="39" style="0" width="15.12"/>
    <col collapsed="false" customWidth="true" hidden="false" outlineLevel="0" max="40" min="40" style="0" width="10.08"/>
    <col collapsed="false" customWidth="true" hidden="false" outlineLevel="0" max="41" min="41" style="0" width="12.6"/>
    <col collapsed="false" customWidth="true" hidden="false" outlineLevel="0" max="42" min="42" style="0" width="11.34"/>
    <col collapsed="false" customWidth="true" hidden="false" outlineLevel="0" max="43" min="43" style="0" width="13.86"/>
    <col collapsed="false" customWidth="true" hidden="false" outlineLevel="0" max="44" min="44" style="0" width="11.34"/>
    <col collapsed="false" customWidth="true" hidden="false" outlineLevel="0" max="45" min="45" style="0" width="15.12"/>
    <col collapsed="false" customWidth="true" hidden="false" outlineLevel="0" max="46" min="46" style="0" width="10.08"/>
    <col collapsed="false" customWidth="true" hidden="false" outlineLevel="0" max="48" min="47" style="0" width="12.6"/>
    <col collapsed="false" customWidth="true" hidden="false" outlineLevel="0" max="50" min="49" style="0" width="10.08"/>
    <col collapsed="false" customWidth="true" hidden="false" outlineLevel="0" max="51" min="51" style="0" width="15.12"/>
    <col collapsed="false" customWidth="true" hidden="false" outlineLevel="0" max="52" min="52" style="0" width="10.08"/>
    <col collapsed="false" customWidth="true" hidden="false" outlineLevel="0" max="54" min="53" style="0" width="12.6"/>
    <col collapsed="false" customWidth="true" hidden="false" outlineLevel="0" max="55" min="55" style="0" width="13.86"/>
    <col collapsed="false" customWidth="true" hidden="false" outlineLevel="0" max="56" min="56" style="0" width="11.34"/>
    <col collapsed="false" customWidth="true" hidden="false" outlineLevel="0" max="57" min="57" style="0" width="15.12"/>
    <col collapsed="false" customWidth="true" hidden="false" outlineLevel="0" max="58" min="58" style="0" width="10.08"/>
    <col collapsed="false" customWidth="true" hidden="false" outlineLevel="0" max="60" min="59" style="0" width="12.6"/>
    <col collapsed="false" customWidth="true" hidden="false" outlineLevel="0" max="61" min="61" style="0" width="13.86"/>
    <col collapsed="false" customWidth="true" hidden="false" outlineLevel="0" max="62" min="62" style="0" width="11.34"/>
  </cols>
  <sheetData>
    <row r="1" customFormat="false" ht="12.8" hidden="false" customHeight="false" outlineLevel="0" collapsed="false">
      <c r="A1" s="103"/>
      <c r="B1" s="103"/>
      <c r="C1" s="103"/>
      <c r="D1" s="103"/>
      <c r="E1" s="104"/>
      <c r="F1" s="104"/>
      <c r="G1" s="104"/>
      <c r="H1" s="104"/>
      <c r="I1" s="104"/>
      <c r="J1" s="104"/>
      <c r="K1" s="104"/>
      <c r="L1" s="103"/>
      <c r="M1" s="104"/>
      <c r="N1" s="104"/>
      <c r="O1" s="104"/>
      <c r="P1" s="104"/>
      <c r="Q1" s="104"/>
      <c r="R1" s="104"/>
      <c r="S1" s="4"/>
      <c r="T1" s="4"/>
      <c r="U1" s="4"/>
      <c r="V1" s="4"/>
      <c r="W1" s="4"/>
      <c r="X1" s="4"/>
      <c r="Y1" s="4"/>
      <c r="Z1" s="103"/>
      <c r="AA1" s="103"/>
      <c r="AB1" s="103"/>
      <c r="AC1" s="10" t="s">
        <v>344</v>
      </c>
      <c r="AD1" s="10"/>
      <c r="AE1" s="10"/>
      <c r="AF1" s="10"/>
      <c r="AG1" s="10"/>
      <c r="AH1" s="10" t="s">
        <v>345</v>
      </c>
      <c r="AI1" s="10"/>
      <c r="AJ1" s="10"/>
      <c r="AK1" s="10"/>
      <c r="AL1" s="10"/>
      <c r="AM1" s="104"/>
      <c r="AN1" s="4"/>
      <c r="AO1" s="4"/>
      <c r="AP1" s="4"/>
      <c r="AQ1" s="4"/>
      <c r="AR1" s="4"/>
      <c r="AS1" s="104"/>
      <c r="AT1" s="4"/>
      <c r="AU1" s="4"/>
      <c r="AV1" s="4"/>
      <c r="AW1" s="4"/>
      <c r="AX1" s="4"/>
      <c r="AY1" s="104"/>
      <c r="AZ1" s="4"/>
      <c r="BA1" s="4"/>
      <c r="BB1" s="4"/>
      <c r="BC1" s="4"/>
      <c r="BD1" s="4"/>
      <c r="BE1" s="104"/>
      <c r="BF1" s="4"/>
      <c r="BG1" s="4"/>
      <c r="BH1" s="4"/>
      <c r="BI1" s="4"/>
      <c r="BJ1" s="4"/>
    </row>
    <row r="2" customFormat="false" ht="12.8" hidden="false" customHeight="false" outlineLevel="0" collapsed="false">
      <c r="A2" s="103"/>
      <c r="B2" s="103"/>
      <c r="C2" s="103"/>
      <c r="D2" s="103"/>
      <c r="E2" s="104"/>
      <c r="F2" s="104"/>
      <c r="G2" s="104"/>
      <c r="H2" s="104"/>
      <c r="I2" s="104"/>
      <c r="J2" s="104"/>
      <c r="K2" s="104"/>
      <c r="L2" s="103"/>
      <c r="M2" s="105" t="s">
        <v>0</v>
      </c>
      <c r="N2" s="105"/>
      <c r="O2" s="105"/>
      <c r="P2" s="105"/>
      <c r="Q2" s="105"/>
      <c r="R2" s="106" t="s">
        <v>346</v>
      </c>
      <c r="S2" s="106"/>
      <c r="T2" s="106"/>
      <c r="U2" s="106"/>
      <c r="V2" s="106"/>
      <c r="W2" s="106"/>
      <c r="X2" s="106"/>
      <c r="Y2" s="106"/>
      <c r="Z2" s="103"/>
      <c r="AA2" s="103"/>
      <c r="AB2" s="103"/>
      <c r="AC2" s="27" t="s">
        <v>347</v>
      </c>
      <c r="AD2" s="27"/>
      <c r="AE2" s="27"/>
      <c r="AF2" s="27"/>
      <c r="AG2" s="27"/>
      <c r="AH2" s="105" t="s">
        <v>348</v>
      </c>
      <c r="AI2" s="105"/>
      <c r="AJ2" s="105"/>
      <c r="AK2" s="105"/>
      <c r="AL2" s="105"/>
      <c r="AM2" s="105" t="s">
        <v>349</v>
      </c>
      <c r="AN2" s="105"/>
      <c r="AO2" s="105"/>
      <c r="AP2" s="105"/>
      <c r="AQ2" s="105"/>
      <c r="AR2" s="105"/>
      <c r="AS2" s="105" t="s">
        <v>350</v>
      </c>
      <c r="AT2" s="105"/>
      <c r="AU2" s="105"/>
      <c r="AV2" s="105"/>
      <c r="AW2" s="105"/>
      <c r="AX2" s="105"/>
      <c r="AY2" s="105" t="s">
        <v>351</v>
      </c>
      <c r="AZ2" s="105"/>
      <c r="BA2" s="105"/>
      <c r="BB2" s="105"/>
      <c r="BC2" s="105"/>
      <c r="BD2" s="105"/>
      <c r="BE2" s="105" t="s">
        <v>352</v>
      </c>
      <c r="BF2" s="105"/>
      <c r="BG2" s="105"/>
      <c r="BH2" s="105"/>
      <c r="BI2" s="105"/>
      <c r="BJ2" s="105"/>
    </row>
    <row r="3" customFormat="false" ht="12.8" hidden="false" customHeight="false" outlineLevel="0" collapsed="false">
      <c r="A3" s="103"/>
      <c r="B3" s="103"/>
      <c r="C3" s="103"/>
      <c r="D3" s="103"/>
      <c r="E3" s="104"/>
      <c r="F3" s="104"/>
      <c r="G3" s="104"/>
      <c r="H3" s="104"/>
      <c r="I3" s="104"/>
      <c r="J3" s="104"/>
      <c r="K3" s="104"/>
      <c r="L3" s="104"/>
      <c r="M3" s="7" t="s">
        <v>6</v>
      </c>
      <c r="N3" s="39"/>
      <c r="O3" s="105" t="s">
        <v>9</v>
      </c>
      <c r="P3" s="105"/>
      <c r="Q3" s="105"/>
      <c r="R3" s="107"/>
      <c r="S3" s="52"/>
      <c r="T3" s="52"/>
      <c r="U3" s="52"/>
      <c r="V3" s="10" t="s">
        <v>353</v>
      </c>
      <c r="W3" s="10"/>
      <c r="X3" s="10"/>
      <c r="Y3" s="52"/>
      <c r="Z3" s="106" t="s">
        <v>354</v>
      </c>
      <c r="AA3" s="106"/>
      <c r="AB3" s="106"/>
      <c r="AC3" s="105" t="s">
        <v>355</v>
      </c>
      <c r="AD3" s="105"/>
      <c r="AE3" s="105" t="s">
        <v>356</v>
      </c>
      <c r="AF3" s="105"/>
      <c r="AG3" s="105"/>
      <c r="AH3" s="105" t="s">
        <v>355</v>
      </c>
      <c r="AI3" s="105"/>
      <c r="AJ3" s="105" t="s">
        <v>356</v>
      </c>
      <c r="AK3" s="105"/>
      <c r="AL3" s="105"/>
      <c r="AM3" s="105" t="s">
        <v>355</v>
      </c>
      <c r="AN3" s="105"/>
      <c r="AO3" s="105" t="s">
        <v>356</v>
      </c>
      <c r="AP3" s="105"/>
      <c r="AQ3" s="105"/>
      <c r="AR3" s="105"/>
      <c r="AS3" s="105" t="s">
        <v>355</v>
      </c>
      <c r="AT3" s="105"/>
      <c r="AU3" s="105" t="s">
        <v>356</v>
      </c>
      <c r="AV3" s="105"/>
      <c r="AW3" s="105"/>
      <c r="AX3" s="105"/>
      <c r="AY3" s="105" t="s">
        <v>355</v>
      </c>
      <c r="AZ3" s="105"/>
      <c r="BA3" s="105" t="s">
        <v>356</v>
      </c>
      <c r="BB3" s="105"/>
      <c r="BC3" s="105"/>
      <c r="BD3" s="105"/>
      <c r="BE3" s="105" t="s">
        <v>355</v>
      </c>
      <c r="BF3" s="105"/>
      <c r="BG3" s="105" t="s">
        <v>356</v>
      </c>
      <c r="BH3" s="105"/>
      <c r="BI3" s="105"/>
      <c r="BJ3" s="105"/>
    </row>
    <row r="4" customFormat="false" ht="12.8" hidden="false" customHeight="false" outlineLevel="0" collapsed="false">
      <c r="A4" s="33" t="s">
        <v>12</v>
      </c>
      <c r="B4" s="32" t="s">
        <v>13</v>
      </c>
      <c r="C4" s="32" t="s">
        <v>14</v>
      </c>
      <c r="D4" s="32" t="s">
        <v>15</v>
      </c>
      <c r="E4" s="32" t="s">
        <v>16</v>
      </c>
      <c r="F4" s="32" t="s">
        <v>17</v>
      </c>
      <c r="G4" s="105" t="s">
        <v>357</v>
      </c>
      <c r="H4" s="105" t="s">
        <v>358</v>
      </c>
      <c r="I4" s="105" t="s">
        <v>38</v>
      </c>
      <c r="J4" s="105" t="s">
        <v>39</v>
      </c>
      <c r="K4" s="105" t="s">
        <v>359</v>
      </c>
      <c r="L4" s="108" t="s">
        <v>360</v>
      </c>
      <c r="M4" s="105" t="s">
        <v>42</v>
      </c>
      <c r="N4" s="105" t="s">
        <v>43</v>
      </c>
      <c r="O4" s="105" t="s">
        <v>49</v>
      </c>
      <c r="P4" s="105" t="s">
        <v>52</v>
      </c>
      <c r="Q4" s="105" t="s">
        <v>53</v>
      </c>
      <c r="R4" s="106" t="s">
        <v>15</v>
      </c>
      <c r="S4" s="105" t="s">
        <v>361</v>
      </c>
      <c r="T4" s="10" t="s">
        <v>362</v>
      </c>
      <c r="U4" s="10" t="s">
        <v>363</v>
      </c>
      <c r="V4" s="10" t="s">
        <v>364</v>
      </c>
      <c r="W4" s="10" t="s">
        <v>365</v>
      </c>
      <c r="X4" s="10" t="s">
        <v>366</v>
      </c>
      <c r="Y4" s="10" t="s">
        <v>367</v>
      </c>
      <c r="Z4" s="106" t="s">
        <v>15</v>
      </c>
      <c r="AA4" s="105" t="s">
        <v>361</v>
      </c>
      <c r="AB4" s="105" t="s">
        <v>368</v>
      </c>
      <c r="AC4" s="109" t="s">
        <v>369</v>
      </c>
      <c r="AD4" s="105" t="s">
        <v>370</v>
      </c>
      <c r="AE4" s="39" t="s">
        <v>371</v>
      </c>
      <c r="AF4" s="39" t="s">
        <v>372</v>
      </c>
      <c r="AG4" s="39" t="s">
        <v>373</v>
      </c>
      <c r="AH4" s="109" t="s">
        <v>369</v>
      </c>
      <c r="AI4" s="105" t="s">
        <v>370</v>
      </c>
      <c r="AJ4" s="39" t="s">
        <v>371</v>
      </c>
      <c r="AK4" s="39" t="s">
        <v>372</v>
      </c>
      <c r="AL4" s="39" t="s">
        <v>373</v>
      </c>
      <c r="AM4" s="105" t="s">
        <v>369</v>
      </c>
      <c r="AN4" s="105" t="s">
        <v>370</v>
      </c>
      <c r="AO4" s="39" t="s">
        <v>371</v>
      </c>
      <c r="AP4" s="39" t="s">
        <v>372</v>
      </c>
      <c r="AQ4" s="39" t="s">
        <v>373</v>
      </c>
      <c r="AR4" s="39" t="s">
        <v>374</v>
      </c>
      <c r="AS4" s="105" t="s">
        <v>369</v>
      </c>
      <c r="AT4" s="105" t="s">
        <v>370</v>
      </c>
      <c r="AU4" s="39" t="s">
        <v>371</v>
      </c>
      <c r="AV4" s="39" t="s">
        <v>372</v>
      </c>
      <c r="AW4" s="39" t="s">
        <v>373</v>
      </c>
      <c r="AX4" s="39" t="s">
        <v>374</v>
      </c>
      <c r="AY4" s="105" t="s">
        <v>369</v>
      </c>
      <c r="AZ4" s="105" t="s">
        <v>370</v>
      </c>
      <c r="BA4" s="39" t="s">
        <v>371</v>
      </c>
      <c r="BB4" s="39" t="s">
        <v>372</v>
      </c>
      <c r="BC4" s="39" t="s">
        <v>373</v>
      </c>
      <c r="BD4" s="39" t="s">
        <v>374</v>
      </c>
      <c r="BE4" s="105" t="s">
        <v>369</v>
      </c>
      <c r="BF4" s="105" t="s">
        <v>370</v>
      </c>
      <c r="BG4" s="39" t="s">
        <v>371</v>
      </c>
      <c r="BH4" s="39" t="s">
        <v>372</v>
      </c>
      <c r="BI4" s="39" t="s">
        <v>373</v>
      </c>
      <c r="BJ4" s="39" t="s">
        <v>374</v>
      </c>
    </row>
    <row r="5" customFormat="false" ht="12.8" hidden="false" customHeight="false" outlineLevel="0" collapsed="false">
      <c r="A5" s="32" t="s">
        <v>52</v>
      </c>
      <c r="B5" s="33" t="s">
        <v>93</v>
      </c>
      <c r="C5" s="110" t="s">
        <v>195</v>
      </c>
      <c r="D5" s="32" t="s">
        <v>196</v>
      </c>
      <c r="E5" s="110" t="s">
        <v>89</v>
      </c>
      <c r="F5" s="33" t="s">
        <v>197</v>
      </c>
      <c r="G5" s="39"/>
      <c r="H5" s="39" t="n">
        <v>1500</v>
      </c>
      <c r="I5" s="37" t="n">
        <v>400</v>
      </c>
      <c r="J5" s="39" t="n">
        <f aca="false">I5*5</f>
        <v>0</v>
      </c>
      <c r="K5" s="37" t="n">
        <v>2</v>
      </c>
      <c r="L5" s="37" t="n">
        <f aca="false">IF(S5,1,0)+IF(AA5,1,0)+AD5+AI5+AN5+AT5+AZ5+BF5</f>
        <v>0</v>
      </c>
      <c r="M5" s="44"/>
      <c r="N5" s="44"/>
      <c r="O5" s="44"/>
      <c r="P5" s="44"/>
      <c r="Q5" s="44"/>
      <c r="R5" s="111"/>
      <c r="S5" s="59"/>
      <c r="T5" s="59"/>
      <c r="U5" s="59"/>
      <c r="V5" s="59"/>
      <c r="W5" s="59"/>
      <c r="X5" s="59"/>
      <c r="Y5" s="59"/>
      <c r="Z5" s="112"/>
      <c r="AA5" s="112"/>
      <c r="AB5" s="32"/>
      <c r="AC5" s="109"/>
      <c r="AD5" s="39"/>
      <c r="AE5" s="112"/>
      <c r="AF5" s="112"/>
      <c r="AG5" s="112"/>
      <c r="AH5" s="113" t="n">
        <v>6</v>
      </c>
      <c r="AI5" s="39" t="n">
        <v>2</v>
      </c>
      <c r="AJ5" s="112" t="s">
        <v>375</v>
      </c>
      <c r="AK5" s="112"/>
      <c r="AL5" s="112"/>
      <c r="AM5" s="32"/>
      <c r="AN5" s="32"/>
      <c r="AO5" s="32"/>
      <c r="AP5" s="32"/>
      <c r="AQ5" s="32"/>
      <c r="AR5" s="32"/>
      <c r="AS5" s="112"/>
      <c r="AT5" s="39"/>
      <c r="AU5" s="114"/>
      <c r="AV5" s="114"/>
      <c r="AW5" s="112"/>
      <c r="AX5" s="112"/>
      <c r="AY5" s="32"/>
      <c r="AZ5" s="32"/>
      <c r="BA5" s="32"/>
      <c r="BB5" s="32"/>
      <c r="BC5" s="32"/>
      <c r="BD5" s="32"/>
      <c r="BE5" s="112"/>
      <c r="BF5" s="32"/>
      <c r="BG5" s="32"/>
      <c r="BH5" s="32"/>
      <c r="BI5" s="32"/>
      <c r="BJ5" s="32"/>
    </row>
    <row r="6" customFormat="false" ht="12.8" hidden="false" customHeight="false" outlineLevel="0" collapsed="false">
      <c r="A6" s="32" t="s">
        <v>53</v>
      </c>
      <c r="B6" s="33" t="s">
        <v>93</v>
      </c>
      <c r="C6" s="110" t="s">
        <v>256</v>
      </c>
      <c r="D6" s="32" t="s">
        <v>257</v>
      </c>
      <c r="E6" s="110" t="s">
        <v>89</v>
      </c>
      <c r="F6" s="33" t="s">
        <v>197</v>
      </c>
      <c r="G6" s="39"/>
      <c r="H6" s="39" t="n">
        <v>3000</v>
      </c>
      <c r="I6" s="37" t="n">
        <v>300</v>
      </c>
      <c r="J6" s="39" t="n">
        <f aca="false">I6*5</f>
        <v>0</v>
      </c>
      <c r="K6" s="37" t="n">
        <v>2</v>
      </c>
      <c r="L6" s="37" t="n">
        <f aca="false">IF(S6,1,0)+IF(AA6,1,0)+AD6+AI6+AN6+AT6+AZ6+BF6</f>
        <v>0</v>
      </c>
      <c r="M6" s="37"/>
      <c r="N6" s="37"/>
      <c r="O6" s="37"/>
      <c r="P6" s="37"/>
      <c r="Q6" s="37"/>
      <c r="R6" s="112"/>
      <c r="S6" s="39"/>
      <c r="T6" s="39"/>
      <c r="U6" s="39"/>
      <c r="V6" s="39"/>
      <c r="W6" s="39"/>
      <c r="X6" s="6"/>
      <c r="Y6" s="39"/>
      <c r="Z6" s="112"/>
      <c r="AA6" s="112"/>
      <c r="AB6" s="32"/>
      <c r="AC6" s="109"/>
      <c r="AD6" s="39"/>
      <c r="AE6" s="112"/>
      <c r="AF6" s="112"/>
      <c r="AG6" s="112"/>
      <c r="AH6" s="113" t="n">
        <v>5</v>
      </c>
      <c r="AI6" s="39" t="n">
        <v>2</v>
      </c>
      <c r="AJ6" s="112" t="s">
        <v>376</v>
      </c>
      <c r="AK6" s="112"/>
      <c r="AL6" s="112"/>
      <c r="AM6" s="32"/>
      <c r="AN6" s="32"/>
      <c r="AO6" s="32"/>
      <c r="AP6" s="32"/>
      <c r="AQ6" s="32"/>
      <c r="AR6" s="32"/>
      <c r="AS6" s="112"/>
      <c r="AT6" s="39"/>
      <c r="AU6" s="114"/>
      <c r="AV6" s="114"/>
      <c r="AW6" s="112"/>
      <c r="AX6" s="112"/>
      <c r="AY6" s="32"/>
      <c r="AZ6" s="32"/>
      <c r="BA6" s="32"/>
      <c r="BB6" s="32"/>
      <c r="BC6" s="32"/>
      <c r="BD6" s="32"/>
      <c r="BE6" s="112"/>
      <c r="BF6" s="32"/>
      <c r="BG6" s="32"/>
      <c r="BH6" s="32"/>
      <c r="BI6" s="32"/>
      <c r="BJ6" s="32"/>
    </row>
    <row r="7" customFormat="false" ht="12.8" hidden="false" customHeight="false" outlineLevel="0" collapsed="false">
      <c r="A7" s="32" t="s">
        <v>258</v>
      </c>
      <c r="B7" s="33" t="s">
        <v>93</v>
      </c>
      <c r="C7" s="110" t="s">
        <v>306</v>
      </c>
      <c r="D7" s="32" t="s">
        <v>307</v>
      </c>
      <c r="E7" s="110" t="s">
        <v>89</v>
      </c>
      <c r="F7" s="33" t="s">
        <v>197</v>
      </c>
      <c r="G7" s="39"/>
      <c r="H7" s="39" t="n">
        <v>6500</v>
      </c>
      <c r="I7" s="37" t="n">
        <v>250</v>
      </c>
      <c r="J7" s="39" t="n">
        <f aca="false">I7*5</f>
        <v>0</v>
      </c>
      <c r="K7" s="37" t="n">
        <v>2</v>
      </c>
      <c r="L7" s="37" t="n">
        <f aca="false">IF(S7,1,0)+IF(AA7,1,0)+AD7+AI7+AN7+AT7+AZ7+BF7</f>
        <v>0</v>
      </c>
      <c r="M7" s="37"/>
      <c r="N7" s="37"/>
      <c r="O7" s="37"/>
      <c r="P7" s="37"/>
      <c r="Q7" s="37"/>
      <c r="R7" s="112"/>
      <c r="S7" s="39"/>
      <c r="T7" s="39"/>
      <c r="U7" s="39"/>
      <c r="V7" s="39"/>
      <c r="W7" s="39"/>
      <c r="X7" s="39"/>
      <c r="Y7" s="39"/>
      <c r="Z7" s="112"/>
      <c r="AA7" s="112"/>
      <c r="AB7" s="32"/>
      <c r="AC7" s="109"/>
      <c r="AD7" s="39"/>
      <c r="AE7" s="112"/>
      <c r="AF7" s="112"/>
      <c r="AG7" s="112"/>
      <c r="AH7" s="113" t="n">
        <v>5</v>
      </c>
      <c r="AI7" s="39" t="n">
        <v>2</v>
      </c>
      <c r="AJ7" s="112" t="s">
        <v>376</v>
      </c>
      <c r="AK7" s="112"/>
      <c r="AL7" s="112"/>
      <c r="AM7" s="32"/>
      <c r="AN7" s="32"/>
      <c r="AO7" s="32"/>
      <c r="AP7" s="32"/>
      <c r="AQ7" s="32"/>
      <c r="AR7" s="32"/>
      <c r="AS7" s="112"/>
      <c r="AT7" s="39"/>
      <c r="AU7" s="114"/>
      <c r="AV7" s="114"/>
      <c r="AW7" s="112"/>
      <c r="AX7" s="112"/>
      <c r="AY7" s="32"/>
      <c r="AZ7" s="32"/>
      <c r="BA7" s="32"/>
      <c r="BB7" s="32"/>
      <c r="BC7" s="32"/>
      <c r="BD7" s="32"/>
      <c r="BE7" s="112"/>
      <c r="BF7" s="32"/>
      <c r="BG7" s="32"/>
      <c r="BH7" s="32"/>
      <c r="BI7" s="32"/>
      <c r="BJ7" s="32"/>
    </row>
    <row r="8" customFormat="false" ht="12.8" hidden="false" customHeight="false" outlineLevel="0" collapsed="false">
      <c r="A8" s="33" t="s">
        <v>328</v>
      </c>
      <c r="B8" s="33" t="s">
        <v>158</v>
      </c>
      <c r="C8" s="33" t="s">
        <v>333</v>
      </c>
      <c r="D8" s="33" t="s">
        <v>334</v>
      </c>
      <c r="E8" s="47" t="s">
        <v>89</v>
      </c>
      <c r="F8" s="33" t="s">
        <v>116</v>
      </c>
      <c r="G8" s="32"/>
      <c r="H8" s="39" t="n">
        <v>200</v>
      </c>
      <c r="I8" s="37" t="n">
        <v>3000</v>
      </c>
      <c r="J8" s="39" t="n">
        <f aca="false">I8*5</f>
        <v>0</v>
      </c>
      <c r="K8" s="37" t="n">
        <v>3</v>
      </c>
      <c r="L8" s="37" t="n">
        <f aca="false">IF(S8,1,0)+IF(AA8,1,0)+AD8+AI8+AN8+AT8+AZ8+BF8</f>
        <v>0</v>
      </c>
      <c r="M8" s="37"/>
      <c r="N8" s="32"/>
      <c r="O8" s="37"/>
      <c r="P8" s="37"/>
      <c r="Q8" s="37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115"/>
      <c r="AD8" s="32"/>
      <c r="AE8" s="32"/>
      <c r="AF8" s="32"/>
      <c r="AG8" s="32"/>
      <c r="AH8" s="32"/>
      <c r="AI8" s="32"/>
      <c r="AJ8" s="32"/>
      <c r="AK8" s="32"/>
      <c r="AL8" s="32"/>
      <c r="AM8" s="39" t="n">
        <v>8</v>
      </c>
      <c r="AN8" s="39" t="n">
        <v>2</v>
      </c>
      <c r="AO8" s="114" t="s">
        <v>377</v>
      </c>
      <c r="AP8" s="114" t="s">
        <v>378</v>
      </c>
      <c r="AQ8" s="114" t="s">
        <v>379</v>
      </c>
      <c r="AR8" s="114" t="s">
        <v>380</v>
      </c>
      <c r="AS8" s="39" t="n">
        <v>8</v>
      </c>
      <c r="AT8" s="39" t="n">
        <v>1</v>
      </c>
      <c r="AU8" s="114" t="s">
        <v>381</v>
      </c>
      <c r="AV8" s="114" t="s">
        <v>382</v>
      </c>
      <c r="AW8" s="114" t="s">
        <v>383</v>
      </c>
      <c r="AX8" s="114" t="s">
        <v>384</v>
      </c>
      <c r="AY8" s="114"/>
      <c r="AZ8" s="32"/>
      <c r="BA8" s="32"/>
      <c r="BB8" s="32"/>
      <c r="BC8" s="32"/>
      <c r="BD8" s="32"/>
      <c r="BE8" s="39" t="n">
        <v>8</v>
      </c>
      <c r="BF8" s="39" t="n">
        <v>1</v>
      </c>
      <c r="BG8" s="114" t="s">
        <v>385</v>
      </c>
      <c r="BH8" s="114" t="s">
        <v>377</v>
      </c>
      <c r="BI8" s="114" t="s">
        <v>386</v>
      </c>
      <c r="BJ8" s="114" t="s">
        <v>378</v>
      </c>
    </row>
    <row r="9" customFormat="false" ht="12.8" hidden="false" customHeight="false" outlineLevel="0" collapsed="false">
      <c r="A9" s="33" t="s">
        <v>337</v>
      </c>
      <c r="B9" s="33" t="s">
        <v>158</v>
      </c>
      <c r="C9" s="33" t="s">
        <v>340</v>
      </c>
      <c r="D9" s="33" t="s">
        <v>341</v>
      </c>
      <c r="E9" s="47" t="s">
        <v>89</v>
      </c>
      <c r="F9" s="33" t="s">
        <v>145</v>
      </c>
      <c r="G9" s="32"/>
      <c r="H9" s="39" t="n">
        <v>200</v>
      </c>
      <c r="I9" s="37" t="n">
        <v>3000</v>
      </c>
      <c r="J9" s="39" t="n">
        <f aca="false">I9*5</f>
        <v>0</v>
      </c>
      <c r="K9" s="37" t="n">
        <v>2</v>
      </c>
      <c r="L9" s="37" t="n">
        <f aca="false">IF(S9,1,0)+IF(AA9,1,0)+AD9+AI9+AN9+AT9+AZ9+BF9</f>
        <v>0</v>
      </c>
      <c r="M9" s="37"/>
      <c r="N9" s="32"/>
      <c r="O9" s="37"/>
      <c r="P9" s="37"/>
      <c r="Q9" s="37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115"/>
      <c r="AD9" s="32"/>
      <c r="AE9" s="32"/>
      <c r="AF9" s="32"/>
      <c r="AG9" s="32"/>
      <c r="AH9" s="32"/>
      <c r="AI9" s="32"/>
      <c r="AJ9" s="32"/>
      <c r="AK9" s="32"/>
      <c r="AL9" s="32"/>
      <c r="AM9" s="39" t="n">
        <v>8</v>
      </c>
      <c r="AN9" s="39" t="n">
        <v>2</v>
      </c>
      <c r="AO9" s="114" t="s">
        <v>377</v>
      </c>
      <c r="AP9" s="114" t="s">
        <v>378</v>
      </c>
      <c r="AQ9" s="114" t="s">
        <v>379</v>
      </c>
      <c r="AR9" s="114" t="s">
        <v>380</v>
      </c>
      <c r="AS9" s="39" t="n">
        <v>8</v>
      </c>
      <c r="AT9" s="39" t="n">
        <v>1</v>
      </c>
      <c r="AU9" s="114" t="s">
        <v>381</v>
      </c>
      <c r="AV9" s="114" t="s">
        <v>382</v>
      </c>
      <c r="AW9" s="114" t="s">
        <v>383</v>
      </c>
      <c r="AX9" s="114" t="s">
        <v>384</v>
      </c>
      <c r="AY9" s="114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</row>
    <row r="10" customFormat="false" ht="12.8" hidden="false" customHeight="false" outlineLevel="0" collapsed="false">
      <c r="A10" s="33" t="s">
        <v>199</v>
      </c>
      <c r="B10" s="33" t="s">
        <v>158</v>
      </c>
      <c r="C10" s="33" t="s">
        <v>206</v>
      </c>
      <c r="D10" s="33" t="s">
        <v>207</v>
      </c>
      <c r="E10" s="47" t="s">
        <v>89</v>
      </c>
      <c r="F10" s="33" t="s">
        <v>130</v>
      </c>
      <c r="G10" s="32"/>
      <c r="H10" s="39" t="n">
        <v>200</v>
      </c>
      <c r="I10" s="37" t="n">
        <v>3000</v>
      </c>
      <c r="J10" s="39" t="n">
        <f aca="false">I10*5</f>
        <v>0</v>
      </c>
      <c r="K10" s="37" t="n">
        <v>3</v>
      </c>
      <c r="L10" s="37" t="n">
        <f aca="false">IF(S10,1,0)+IF(AA10,1,0)+AD10+AI10+AN10+AT10+AZ10+BF10</f>
        <v>0</v>
      </c>
      <c r="M10" s="37"/>
      <c r="N10" s="32"/>
      <c r="O10" s="37"/>
      <c r="P10" s="37"/>
      <c r="Q10" s="37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115"/>
      <c r="AD10" s="32"/>
      <c r="AE10" s="32"/>
      <c r="AF10" s="32"/>
      <c r="AG10" s="32"/>
      <c r="AH10" s="32"/>
      <c r="AI10" s="32"/>
      <c r="AJ10" s="32"/>
      <c r="AK10" s="32"/>
      <c r="AL10" s="32"/>
      <c r="AM10" s="39" t="n">
        <v>8</v>
      </c>
      <c r="AN10" s="39" t="n">
        <v>1</v>
      </c>
      <c r="AO10" s="114" t="s">
        <v>377</v>
      </c>
      <c r="AP10" s="114" t="s">
        <v>378</v>
      </c>
      <c r="AQ10" s="114" t="s">
        <v>379</v>
      </c>
      <c r="AR10" s="114" t="s">
        <v>380</v>
      </c>
      <c r="AS10" s="39" t="n">
        <v>8</v>
      </c>
      <c r="AT10" s="39" t="n">
        <v>2</v>
      </c>
      <c r="AU10" s="114" t="s">
        <v>381</v>
      </c>
      <c r="AV10" s="114" t="s">
        <v>382</v>
      </c>
      <c r="AW10" s="114" t="s">
        <v>383</v>
      </c>
      <c r="AX10" s="114" t="s">
        <v>384</v>
      </c>
      <c r="AY10" s="39" t="n">
        <v>8</v>
      </c>
      <c r="AZ10" s="39" t="n">
        <v>1</v>
      </c>
      <c r="BA10" s="114" t="s">
        <v>385</v>
      </c>
      <c r="BB10" s="114" t="s">
        <v>377</v>
      </c>
      <c r="BC10" s="114" t="s">
        <v>386</v>
      </c>
      <c r="BD10" s="114" t="s">
        <v>378</v>
      </c>
      <c r="BE10" s="32"/>
      <c r="BF10" s="32"/>
      <c r="BG10" s="32"/>
      <c r="BH10" s="32"/>
      <c r="BI10" s="32"/>
      <c r="BJ10" s="32"/>
    </row>
    <row r="11" customFormat="false" ht="12.8" hidden="false" customHeight="false" outlineLevel="0" collapsed="false">
      <c r="A11" s="33" t="s">
        <v>328</v>
      </c>
      <c r="B11" s="33" t="s">
        <v>158</v>
      </c>
      <c r="C11" s="47" t="s">
        <v>332</v>
      </c>
      <c r="D11" s="33" t="s">
        <v>330</v>
      </c>
      <c r="E11" s="47" t="s">
        <v>89</v>
      </c>
      <c r="F11" s="33" t="s">
        <v>101</v>
      </c>
      <c r="G11" s="32"/>
      <c r="H11" s="39" t="n">
        <v>200</v>
      </c>
      <c r="I11" s="37" t="n">
        <v>3000</v>
      </c>
      <c r="J11" s="39" t="n">
        <f aca="false">I11*5</f>
        <v>0</v>
      </c>
      <c r="K11" s="37" t="n">
        <v>2</v>
      </c>
      <c r="L11" s="37" t="n">
        <f aca="false">IF(S11,1,0)+IF(AA11,1,0)+AD11+AI11+AN11+AT11+AZ11+BF11</f>
        <v>0</v>
      </c>
      <c r="M11" s="37"/>
      <c r="N11" s="32"/>
      <c r="O11" s="37"/>
      <c r="P11" s="37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115"/>
      <c r="AD11" s="32"/>
      <c r="AE11" s="32"/>
      <c r="AF11" s="32"/>
      <c r="AG11" s="32"/>
      <c r="AH11" s="32"/>
      <c r="AI11" s="32"/>
      <c r="AJ11" s="32"/>
      <c r="AK11" s="32"/>
      <c r="AL11" s="32"/>
      <c r="AM11" s="39" t="n">
        <v>8</v>
      </c>
      <c r="AN11" s="39" t="n">
        <v>2</v>
      </c>
      <c r="AO11" s="114" t="s">
        <v>377</v>
      </c>
      <c r="AP11" s="114" t="s">
        <v>378</v>
      </c>
      <c r="AQ11" s="114" t="s">
        <v>379</v>
      </c>
      <c r="AR11" s="114" t="s">
        <v>380</v>
      </c>
      <c r="AS11" s="39" t="n">
        <v>8</v>
      </c>
      <c r="AT11" s="39" t="n">
        <v>1</v>
      </c>
      <c r="AU11" s="114" t="s">
        <v>381</v>
      </c>
      <c r="AV11" s="114" t="s">
        <v>382</v>
      </c>
      <c r="AW11" s="114" t="s">
        <v>383</v>
      </c>
      <c r="AX11" s="114" t="s">
        <v>384</v>
      </c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</row>
    <row r="12" customFormat="false" ht="12.8" hidden="false" customHeight="false" outlineLevel="0" collapsed="false">
      <c r="A12" s="33" t="s">
        <v>337</v>
      </c>
      <c r="B12" s="33" t="s">
        <v>98</v>
      </c>
      <c r="C12" s="33" t="s">
        <v>387</v>
      </c>
      <c r="D12" s="33" t="s">
        <v>339</v>
      </c>
      <c r="E12" s="47" t="s">
        <v>89</v>
      </c>
      <c r="F12" s="33" t="s">
        <v>116</v>
      </c>
      <c r="G12" s="32"/>
      <c r="H12" s="39" t="n">
        <v>200</v>
      </c>
      <c r="I12" s="37" t="n">
        <v>3000</v>
      </c>
      <c r="J12" s="39" t="n">
        <f aca="false">I12*5</f>
        <v>0</v>
      </c>
      <c r="K12" s="37" t="n">
        <v>2</v>
      </c>
      <c r="L12" s="37" t="n">
        <f aca="false">IF(S12,1,0)+IF(AA12,1,0)+AD12+AI12+AN12+AT12+AZ12+BF12</f>
        <v>0</v>
      </c>
      <c r="M12" s="37"/>
      <c r="N12" s="32"/>
      <c r="O12" s="37"/>
      <c r="P12" s="37"/>
      <c r="Q12" s="37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115"/>
      <c r="AD12" s="32"/>
      <c r="AE12" s="32"/>
      <c r="AF12" s="32"/>
      <c r="AG12" s="32"/>
      <c r="AH12" s="32"/>
      <c r="AI12" s="32"/>
      <c r="AJ12" s="32"/>
      <c r="AK12" s="32"/>
      <c r="AL12" s="32"/>
      <c r="AM12" s="39" t="n">
        <v>8</v>
      </c>
      <c r="AN12" s="39" t="n">
        <v>2</v>
      </c>
      <c r="AO12" s="114" t="s">
        <v>377</v>
      </c>
      <c r="AP12" s="114" t="s">
        <v>378</v>
      </c>
      <c r="AQ12" s="114" t="s">
        <v>379</v>
      </c>
      <c r="AR12" s="114" t="s">
        <v>380</v>
      </c>
      <c r="AS12" s="39" t="n">
        <v>8</v>
      </c>
      <c r="AT12" s="39" t="n">
        <v>1</v>
      </c>
      <c r="AU12" s="114" t="s">
        <v>381</v>
      </c>
      <c r="AV12" s="114" t="s">
        <v>382</v>
      </c>
      <c r="AW12" s="114" t="s">
        <v>383</v>
      </c>
      <c r="AX12" s="114" t="s">
        <v>384</v>
      </c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</row>
    <row r="13" customFormat="false" ht="12.8" hidden="false" customHeight="false" outlineLevel="0" collapsed="false">
      <c r="A13" s="33" t="s">
        <v>328</v>
      </c>
      <c r="B13" s="33" t="s">
        <v>98</v>
      </c>
      <c r="C13" s="33" t="s">
        <v>329</v>
      </c>
      <c r="D13" s="33" t="s">
        <v>330</v>
      </c>
      <c r="E13" s="47" t="s">
        <v>89</v>
      </c>
      <c r="F13" s="33" t="s">
        <v>116</v>
      </c>
      <c r="G13" s="32"/>
      <c r="H13" s="39" t="n">
        <v>200</v>
      </c>
      <c r="I13" s="37" t="n">
        <v>3000</v>
      </c>
      <c r="J13" s="39" t="n">
        <f aca="false">I13*5</f>
        <v>0</v>
      </c>
      <c r="K13" s="37" t="n">
        <v>2</v>
      </c>
      <c r="L13" s="37" t="n">
        <f aca="false">IF(S13,1,0)+IF(AA13,1,0)+AD13+AI13+AN13+AT13+AZ13+BF13</f>
        <v>0</v>
      </c>
      <c r="M13" s="37"/>
      <c r="N13" s="32"/>
      <c r="O13" s="37"/>
      <c r="P13" s="37"/>
      <c r="Q13" s="37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115"/>
      <c r="AD13" s="32"/>
      <c r="AE13" s="32"/>
      <c r="AF13" s="32"/>
      <c r="AG13" s="32"/>
      <c r="AH13" s="32"/>
      <c r="AI13" s="32"/>
      <c r="AJ13" s="32"/>
      <c r="AK13" s="32"/>
      <c r="AL13" s="32"/>
      <c r="AM13" s="39" t="n">
        <v>8</v>
      </c>
      <c r="AN13" s="39" t="n">
        <v>2</v>
      </c>
      <c r="AO13" s="114" t="s">
        <v>377</v>
      </c>
      <c r="AP13" s="114" t="s">
        <v>378</v>
      </c>
      <c r="AQ13" s="114" t="s">
        <v>379</v>
      </c>
      <c r="AR13" s="114" t="s">
        <v>380</v>
      </c>
      <c r="AS13" s="39" t="n">
        <v>8</v>
      </c>
      <c r="AT13" s="39" t="n">
        <v>1</v>
      </c>
      <c r="AU13" s="114" t="s">
        <v>381</v>
      </c>
      <c r="AV13" s="114" t="s">
        <v>382</v>
      </c>
      <c r="AW13" s="114" t="s">
        <v>383</v>
      </c>
      <c r="AX13" s="114" t="s">
        <v>384</v>
      </c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</row>
    <row r="14" customFormat="false" ht="12.8" hidden="false" customHeight="false" outlineLevel="0" collapsed="false">
      <c r="A14" s="33" t="s">
        <v>199</v>
      </c>
      <c r="B14" s="33" t="s">
        <v>98</v>
      </c>
      <c r="C14" s="33" t="s">
        <v>203</v>
      </c>
      <c r="D14" s="33" t="s">
        <v>204</v>
      </c>
      <c r="E14" s="47" t="s">
        <v>89</v>
      </c>
      <c r="F14" s="33" t="s">
        <v>205</v>
      </c>
      <c r="G14" s="32"/>
      <c r="H14" s="39" t="n">
        <v>200</v>
      </c>
      <c r="I14" s="37" t="n">
        <v>3000</v>
      </c>
      <c r="J14" s="39" t="n">
        <f aca="false">I14*5</f>
        <v>0</v>
      </c>
      <c r="K14" s="37" t="n">
        <v>3</v>
      </c>
      <c r="L14" s="37" t="n">
        <f aca="false">IF(S14,1,0)+IF(AA14,1,0)+AD14+AI14+AN14+AT14+AZ14+BF14</f>
        <v>0</v>
      </c>
      <c r="M14" s="37"/>
      <c r="N14" s="32"/>
      <c r="O14" s="37"/>
      <c r="P14" s="37"/>
      <c r="Q14" s="37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115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9" t="n">
        <v>8</v>
      </c>
      <c r="AT14" s="39" t="n">
        <v>3</v>
      </c>
      <c r="AU14" s="114" t="s">
        <v>381</v>
      </c>
      <c r="AV14" s="114" t="s">
        <v>382</v>
      </c>
      <c r="AW14" s="114" t="s">
        <v>383</v>
      </c>
      <c r="AX14" s="114" t="s">
        <v>384</v>
      </c>
      <c r="AY14" s="39" t="n">
        <v>8</v>
      </c>
      <c r="AZ14" s="39" t="n">
        <v>1</v>
      </c>
      <c r="BA14" s="114" t="s">
        <v>385</v>
      </c>
      <c r="BB14" s="114" t="s">
        <v>377</v>
      </c>
      <c r="BC14" s="114" t="s">
        <v>386</v>
      </c>
      <c r="BD14" s="114" t="s">
        <v>378</v>
      </c>
      <c r="BE14" s="32"/>
      <c r="BF14" s="32"/>
      <c r="BG14" s="32"/>
      <c r="BH14" s="32"/>
      <c r="BI14" s="32"/>
      <c r="BJ14" s="32"/>
    </row>
    <row r="15" customFormat="false" ht="12.8" hidden="false" customHeight="false" outlineLevel="0" collapsed="false">
      <c r="A15" s="33" t="s">
        <v>328</v>
      </c>
      <c r="B15" s="33" t="s">
        <v>81</v>
      </c>
      <c r="C15" s="33" t="s">
        <v>335</v>
      </c>
      <c r="D15" s="33" t="s">
        <v>336</v>
      </c>
      <c r="E15" s="47" t="s">
        <v>89</v>
      </c>
      <c r="F15" s="33" t="s">
        <v>116</v>
      </c>
      <c r="G15" s="32"/>
      <c r="H15" s="39" t="n">
        <v>200</v>
      </c>
      <c r="I15" s="37" t="n">
        <v>3000</v>
      </c>
      <c r="J15" s="39" t="n">
        <f aca="false">I15*5</f>
        <v>0</v>
      </c>
      <c r="K15" s="37" t="n">
        <v>3</v>
      </c>
      <c r="L15" s="37" t="n">
        <f aca="false">IF(S15,1,0)+IF(AA15,1,0)+AD15+AI15+AN15+AT15+AZ15+BF15</f>
        <v>0</v>
      </c>
      <c r="M15" s="37"/>
      <c r="N15" s="32"/>
      <c r="O15" s="37"/>
      <c r="P15" s="37"/>
      <c r="Q15" s="37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115"/>
      <c r="AD15" s="32"/>
      <c r="AE15" s="32"/>
      <c r="AF15" s="32"/>
      <c r="AG15" s="32"/>
      <c r="AH15" s="32"/>
      <c r="AI15" s="32"/>
      <c r="AJ15" s="32"/>
      <c r="AK15" s="32"/>
      <c r="AL15" s="32"/>
      <c r="AM15" s="39" t="n">
        <v>8</v>
      </c>
      <c r="AN15" s="39" t="n">
        <v>2</v>
      </c>
      <c r="AO15" s="114" t="s">
        <v>377</v>
      </c>
      <c r="AP15" s="114" t="s">
        <v>378</v>
      </c>
      <c r="AQ15" s="114" t="s">
        <v>379</v>
      </c>
      <c r="AR15" s="114" t="s">
        <v>380</v>
      </c>
      <c r="AS15" s="39" t="n">
        <v>8</v>
      </c>
      <c r="AT15" s="39" t="n">
        <v>1</v>
      </c>
      <c r="AU15" s="114" t="s">
        <v>381</v>
      </c>
      <c r="AV15" s="114" t="s">
        <v>382</v>
      </c>
      <c r="AW15" s="114" t="s">
        <v>383</v>
      </c>
      <c r="AX15" s="114" t="s">
        <v>384</v>
      </c>
      <c r="AY15" s="32"/>
      <c r="AZ15" s="32"/>
      <c r="BA15" s="32"/>
      <c r="BB15" s="32"/>
      <c r="BC15" s="32"/>
      <c r="BD15" s="32"/>
      <c r="BE15" s="39" t="n">
        <v>8</v>
      </c>
      <c r="BF15" s="39" t="n">
        <v>1</v>
      </c>
      <c r="BG15" s="114" t="s">
        <v>385</v>
      </c>
      <c r="BH15" s="114" t="s">
        <v>377</v>
      </c>
      <c r="BI15" s="114" t="s">
        <v>386</v>
      </c>
      <c r="BJ15" s="114" t="s">
        <v>378</v>
      </c>
    </row>
    <row r="16" customFormat="false" ht="12.8" hidden="false" customHeight="false" outlineLevel="0" collapsed="false">
      <c r="A16" s="33" t="s">
        <v>337</v>
      </c>
      <c r="B16" s="33" t="s">
        <v>81</v>
      </c>
      <c r="C16" s="33" t="s">
        <v>342</v>
      </c>
      <c r="D16" s="33" t="s">
        <v>343</v>
      </c>
      <c r="E16" s="47" t="s">
        <v>89</v>
      </c>
      <c r="F16" s="33" t="s">
        <v>153</v>
      </c>
      <c r="G16" s="32"/>
      <c r="H16" s="39" t="n">
        <v>200</v>
      </c>
      <c r="I16" s="37" t="n">
        <v>3000</v>
      </c>
      <c r="J16" s="39" t="n">
        <f aca="false">I16*5</f>
        <v>0</v>
      </c>
      <c r="K16" s="37" t="n">
        <v>2</v>
      </c>
      <c r="L16" s="37" t="n">
        <f aca="false">IF(S16,1,0)+IF(AA16,1,0)+AD16+AI16+AN16+AT16+AZ16+BF16</f>
        <v>0</v>
      </c>
      <c r="M16" s="37"/>
      <c r="N16" s="32"/>
      <c r="O16" s="37"/>
      <c r="P16" s="37"/>
      <c r="Q16" s="37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115"/>
      <c r="AD16" s="32"/>
      <c r="AE16" s="32"/>
      <c r="AF16" s="32"/>
      <c r="AG16" s="32"/>
      <c r="AH16" s="32"/>
      <c r="AI16" s="32"/>
      <c r="AJ16" s="32"/>
      <c r="AK16" s="32"/>
      <c r="AL16" s="32"/>
      <c r="AM16" s="39" t="n">
        <v>6</v>
      </c>
      <c r="AN16" s="39" t="n">
        <v>2</v>
      </c>
      <c r="AO16" s="114" t="s">
        <v>388</v>
      </c>
      <c r="AP16" s="114" t="s">
        <v>389</v>
      </c>
      <c r="AQ16" s="114" t="s">
        <v>379</v>
      </c>
      <c r="AR16" s="114" t="s">
        <v>380</v>
      </c>
      <c r="AS16" s="39" t="n">
        <v>6</v>
      </c>
      <c r="AT16" s="39" t="n">
        <v>1</v>
      </c>
      <c r="AU16" s="114" t="s">
        <v>390</v>
      </c>
      <c r="AV16" s="114" t="s">
        <v>391</v>
      </c>
      <c r="AW16" s="114" t="s">
        <v>383</v>
      </c>
      <c r="AX16" s="114" t="s">
        <v>384</v>
      </c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</row>
    <row r="17" customFormat="false" ht="12.8" hidden="false" customHeight="false" outlineLevel="0" collapsed="false">
      <c r="A17" s="33" t="s">
        <v>199</v>
      </c>
      <c r="B17" s="33" t="s">
        <v>81</v>
      </c>
      <c r="C17" s="33" t="s">
        <v>208</v>
      </c>
      <c r="D17" s="33" t="s">
        <v>209</v>
      </c>
      <c r="E17" s="47" t="s">
        <v>89</v>
      </c>
      <c r="F17" s="33" t="s">
        <v>210</v>
      </c>
      <c r="G17" s="32"/>
      <c r="H17" s="39" t="n">
        <v>200</v>
      </c>
      <c r="I17" s="37" t="n">
        <v>3000</v>
      </c>
      <c r="J17" s="39" t="n">
        <f aca="false">I17*5</f>
        <v>0</v>
      </c>
      <c r="K17" s="37" t="n">
        <v>3</v>
      </c>
      <c r="L17" s="37" t="n">
        <f aca="false">IF(S17,1,0)+IF(AA17,1,0)+AD17+AI17+AN17+AT17+AZ17+BF17</f>
        <v>0</v>
      </c>
      <c r="M17" s="37"/>
      <c r="N17" s="32"/>
      <c r="O17" s="37"/>
      <c r="P17" s="37"/>
      <c r="Q17" s="37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115"/>
      <c r="AD17" s="32"/>
      <c r="AE17" s="32"/>
      <c r="AF17" s="32"/>
      <c r="AG17" s="32"/>
      <c r="AH17" s="32"/>
      <c r="AI17" s="32"/>
      <c r="AJ17" s="32"/>
      <c r="AK17" s="32"/>
      <c r="AL17" s="32"/>
      <c r="AM17" s="39" t="n">
        <v>8</v>
      </c>
      <c r="AN17" s="39" t="n">
        <v>1</v>
      </c>
      <c r="AO17" s="114" t="s">
        <v>377</v>
      </c>
      <c r="AP17" s="114" t="s">
        <v>378</v>
      </c>
      <c r="AQ17" s="114" t="s">
        <v>379</v>
      </c>
      <c r="AR17" s="114" t="s">
        <v>380</v>
      </c>
      <c r="AS17" s="39" t="n">
        <v>8</v>
      </c>
      <c r="AT17" s="39" t="n">
        <v>2</v>
      </c>
      <c r="AU17" s="114" t="s">
        <v>381</v>
      </c>
      <c r="AV17" s="114" t="s">
        <v>382</v>
      </c>
      <c r="AW17" s="114" t="s">
        <v>383</v>
      </c>
      <c r="AX17" s="114" t="s">
        <v>384</v>
      </c>
      <c r="AY17" s="39" t="n">
        <v>8</v>
      </c>
      <c r="AZ17" s="39" t="n">
        <v>1</v>
      </c>
      <c r="BA17" s="114" t="s">
        <v>385</v>
      </c>
      <c r="BB17" s="114" t="s">
        <v>377</v>
      </c>
      <c r="BC17" s="114" t="s">
        <v>386</v>
      </c>
      <c r="BD17" s="114" t="s">
        <v>378</v>
      </c>
      <c r="BE17" s="32"/>
      <c r="BF17" s="32"/>
      <c r="BG17" s="32"/>
      <c r="BH17" s="32"/>
      <c r="BI17" s="32"/>
      <c r="BJ17" s="32"/>
    </row>
    <row r="18" customFormat="false" ht="12.8" hidden="false" customHeight="false" outlineLevel="0" collapsed="false">
      <c r="A18" s="33" t="s">
        <v>199</v>
      </c>
      <c r="B18" s="33" t="s">
        <v>93</v>
      </c>
      <c r="C18" s="47" t="s">
        <v>211</v>
      </c>
      <c r="D18" s="33" t="s">
        <v>212</v>
      </c>
      <c r="E18" s="47" t="s">
        <v>89</v>
      </c>
      <c r="F18" s="33" t="s">
        <v>148</v>
      </c>
      <c r="G18" s="32"/>
      <c r="H18" s="39" t="n">
        <v>200</v>
      </c>
      <c r="I18" s="37" t="n">
        <v>3000</v>
      </c>
      <c r="J18" s="39" t="n">
        <f aca="false">I18*5</f>
        <v>0</v>
      </c>
      <c r="K18" s="37" t="n">
        <v>3</v>
      </c>
      <c r="L18" s="37" t="n">
        <f aca="false">IF(S18,1,0)+IF(AA18,1,0)+AD18+AI18+AN18+AT18+AZ18+BF18</f>
        <v>0</v>
      </c>
      <c r="M18" s="37"/>
      <c r="N18" s="32"/>
      <c r="O18" s="37"/>
      <c r="P18" s="37"/>
      <c r="Q18" s="37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115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9" t="n">
        <v>8</v>
      </c>
      <c r="AT18" s="39" t="n">
        <v>3</v>
      </c>
      <c r="AU18" s="114" t="s">
        <v>381</v>
      </c>
      <c r="AV18" s="114" t="s">
        <v>382</v>
      </c>
      <c r="AW18" s="114" t="s">
        <v>383</v>
      </c>
      <c r="AX18" s="114" t="s">
        <v>384</v>
      </c>
      <c r="AY18" s="39" t="n">
        <v>8</v>
      </c>
      <c r="AZ18" s="39" t="n">
        <v>1</v>
      </c>
      <c r="BA18" s="114" t="s">
        <v>385</v>
      </c>
      <c r="BB18" s="114" t="s">
        <v>377</v>
      </c>
      <c r="BC18" s="114" t="s">
        <v>386</v>
      </c>
      <c r="BD18" s="114" t="s">
        <v>378</v>
      </c>
      <c r="BE18" s="32"/>
      <c r="BF18" s="32"/>
      <c r="BG18" s="32"/>
      <c r="BH18" s="32"/>
      <c r="BI18" s="32"/>
      <c r="BJ18" s="32"/>
    </row>
    <row r="19" customFormat="false" ht="12.8" hidden="false" customHeight="false" outlineLevel="0" collapsed="false">
      <c r="A19" s="33" t="s">
        <v>328</v>
      </c>
      <c r="B19" s="33" t="s">
        <v>113</v>
      </c>
      <c r="C19" s="33" t="s">
        <v>331</v>
      </c>
      <c r="D19" s="33" t="s">
        <v>201</v>
      </c>
      <c r="E19" s="47" t="s">
        <v>89</v>
      </c>
      <c r="F19" s="33" t="s">
        <v>148</v>
      </c>
      <c r="G19" s="32"/>
      <c r="H19" s="39" t="n">
        <v>200</v>
      </c>
      <c r="I19" s="37" t="n">
        <v>3000</v>
      </c>
      <c r="J19" s="39" t="n">
        <f aca="false">I19*5</f>
        <v>0</v>
      </c>
      <c r="K19" s="37" t="n">
        <v>3</v>
      </c>
      <c r="L19" s="37" t="n">
        <f aca="false">IF(S19,1,0)+IF(AA19,1,0)+AD19+AI19+AN19+AT19+AZ19+BF19</f>
        <v>0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115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9" t="n">
        <v>7</v>
      </c>
      <c r="AT19" s="39" t="n">
        <v>3</v>
      </c>
      <c r="AU19" s="114" t="s">
        <v>390</v>
      </c>
      <c r="AV19" s="114" t="s">
        <v>382</v>
      </c>
      <c r="AW19" s="114" t="s">
        <v>383</v>
      </c>
      <c r="AX19" s="114" t="s">
        <v>384</v>
      </c>
      <c r="AY19" s="39" t="n">
        <v>7</v>
      </c>
      <c r="AZ19" s="39" t="n">
        <v>1</v>
      </c>
      <c r="BA19" s="114" t="s">
        <v>392</v>
      </c>
      <c r="BB19" s="114" t="s">
        <v>377</v>
      </c>
      <c r="BC19" s="114" t="s">
        <v>386</v>
      </c>
      <c r="BD19" s="114" t="s">
        <v>378</v>
      </c>
      <c r="BE19" s="32"/>
      <c r="BF19" s="32"/>
      <c r="BG19" s="32"/>
      <c r="BH19" s="32"/>
      <c r="BI19" s="32"/>
      <c r="BJ19" s="32"/>
    </row>
    <row r="20" customFormat="false" ht="12.8" hidden="false" customHeight="false" outlineLevel="0" collapsed="false">
      <c r="A20" s="33" t="s">
        <v>199</v>
      </c>
      <c r="B20" s="33" t="s">
        <v>98</v>
      </c>
      <c r="C20" s="33" t="s">
        <v>200</v>
      </c>
      <c r="D20" s="33" t="s">
        <v>201</v>
      </c>
      <c r="E20" s="47" t="s">
        <v>89</v>
      </c>
      <c r="F20" s="33" t="s">
        <v>130</v>
      </c>
      <c r="G20" s="32"/>
      <c r="H20" s="39" t="n">
        <v>200</v>
      </c>
      <c r="I20" s="37" t="n">
        <v>3000</v>
      </c>
      <c r="J20" s="39" t="n">
        <f aca="false">I20*5</f>
        <v>0</v>
      </c>
      <c r="K20" s="37" t="n">
        <v>3</v>
      </c>
      <c r="L20" s="37" t="n">
        <f aca="false">IF(S20,1,0)+IF(AA20,1,0)+AD20+AI20+AN20+AT20+AZ20+BF20</f>
        <v>0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115"/>
      <c r="AD20" s="32"/>
      <c r="AE20" s="32"/>
      <c r="AF20" s="32"/>
      <c r="AG20" s="32"/>
      <c r="AH20" s="32"/>
      <c r="AI20" s="32"/>
      <c r="AJ20" s="32"/>
      <c r="AK20" s="32"/>
      <c r="AL20" s="32"/>
      <c r="AM20" s="39" t="n">
        <v>8</v>
      </c>
      <c r="AN20" s="39" t="n">
        <v>2</v>
      </c>
      <c r="AO20" s="114" t="s">
        <v>377</v>
      </c>
      <c r="AP20" s="114" t="s">
        <v>378</v>
      </c>
      <c r="AQ20" s="114" t="s">
        <v>379</v>
      </c>
      <c r="AR20" s="114" t="s">
        <v>380</v>
      </c>
      <c r="AS20" s="39" t="n">
        <v>8</v>
      </c>
      <c r="AT20" s="39" t="n">
        <v>1</v>
      </c>
      <c r="AU20" s="114" t="s">
        <v>381</v>
      </c>
      <c r="AV20" s="114" t="s">
        <v>382</v>
      </c>
      <c r="AW20" s="114" t="s">
        <v>383</v>
      </c>
      <c r="AX20" s="114" t="s">
        <v>384</v>
      </c>
      <c r="AY20" s="39"/>
      <c r="AZ20" s="39"/>
      <c r="BA20" s="114"/>
      <c r="BB20" s="114"/>
      <c r="BC20" s="114"/>
      <c r="BD20" s="114"/>
      <c r="BE20" s="39" t="n">
        <v>8</v>
      </c>
      <c r="BF20" s="39" t="n">
        <v>1</v>
      </c>
      <c r="BG20" s="114" t="s">
        <v>385</v>
      </c>
      <c r="BH20" s="114" t="s">
        <v>377</v>
      </c>
      <c r="BI20" s="114" t="s">
        <v>386</v>
      </c>
      <c r="BJ20" s="114" t="s">
        <v>378</v>
      </c>
    </row>
    <row r="21" customFormat="false" ht="12.8" hidden="false" customHeight="false" outlineLevel="0" collapsed="false">
      <c r="A21" s="33" t="s">
        <v>51</v>
      </c>
      <c r="B21" s="33" t="s">
        <v>93</v>
      </c>
      <c r="C21" s="47" t="s">
        <v>124</v>
      </c>
      <c r="D21" s="33" t="s">
        <v>125</v>
      </c>
      <c r="E21" s="47" t="s">
        <v>89</v>
      </c>
      <c r="F21" s="33" t="s">
        <v>126</v>
      </c>
      <c r="G21" s="32"/>
      <c r="H21" s="39" t="n">
        <v>1500</v>
      </c>
      <c r="I21" s="37" t="n">
        <v>2500</v>
      </c>
      <c r="J21" s="39" t="n">
        <f aca="false">I21*5</f>
        <v>0</v>
      </c>
      <c r="K21" s="37" t="n">
        <v>2</v>
      </c>
      <c r="L21" s="37" t="n">
        <f aca="false">IF(S21,1,0)+IF(AA21,1,0)+AD21+AI21+AN21+AT21+AZ21+BF21</f>
        <v>0</v>
      </c>
      <c r="M21" s="37"/>
      <c r="N21" s="32"/>
      <c r="O21" s="37"/>
      <c r="P21" s="37"/>
      <c r="Q21" s="37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115"/>
      <c r="AD21" s="32"/>
      <c r="AE21" s="32"/>
      <c r="AF21" s="32"/>
      <c r="AG21" s="32"/>
      <c r="AH21" s="32"/>
      <c r="AI21" s="32"/>
      <c r="AJ21" s="32"/>
      <c r="AK21" s="32"/>
      <c r="AL21" s="32"/>
      <c r="AM21" s="39" t="n">
        <v>8</v>
      </c>
      <c r="AN21" s="39" t="n">
        <v>2</v>
      </c>
      <c r="AO21" s="114" t="s">
        <v>377</v>
      </c>
      <c r="AP21" s="114" t="s">
        <v>378</v>
      </c>
      <c r="AQ21" s="114" t="s">
        <v>379</v>
      </c>
      <c r="AR21" s="114" t="s">
        <v>380</v>
      </c>
      <c r="AS21" s="39" t="n">
        <v>8</v>
      </c>
      <c r="AT21" s="39" t="n">
        <v>1</v>
      </c>
      <c r="AU21" s="114" t="s">
        <v>381</v>
      </c>
      <c r="AV21" s="114" t="s">
        <v>382</v>
      </c>
      <c r="AW21" s="114" t="s">
        <v>383</v>
      </c>
      <c r="AX21" s="114" t="s">
        <v>384</v>
      </c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</row>
    <row r="22" customFormat="false" ht="12.8" hidden="false" customHeight="false" outlineLevel="0" collapsed="false">
      <c r="A22" s="33" t="s">
        <v>51</v>
      </c>
      <c r="B22" s="33" t="s">
        <v>93</v>
      </c>
      <c r="C22" s="47" t="s">
        <v>124</v>
      </c>
      <c r="D22" s="33" t="s">
        <v>127</v>
      </c>
      <c r="E22" s="47" t="s">
        <v>87</v>
      </c>
      <c r="F22" s="33" t="s">
        <v>128</v>
      </c>
      <c r="G22" s="32"/>
      <c r="H22" s="39" t="n">
        <v>1500</v>
      </c>
      <c r="I22" s="37" t="n">
        <v>2500</v>
      </c>
      <c r="J22" s="39" t="n">
        <f aca="false">I22*5</f>
        <v>0</v>
      </c>
      <c r="K22" s="37" t="n">
        <v>2</v>
      </c>
      <c r="L22" s="37" t="n">
        <f aca="false">IF(S22,1,0)+IF(AA22,1,0)+AD22+AI22+AN22+AT22+AZ22+BF22</f>
        <v>0</v>
      </c>
      <c r="M22" s="37"/>
      <c r="N22" s="32"/>
      <c r="O22" s="37"/>
      <c r="P22" s="37"/>
      <c r="Q22" s="37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115"/>
      <c r="AD22" s="32"/>
      <c r="AE22" s="32"/>
      <c r="AF22" s="32"/>
      <c r="AG22" s="32"/>
      <c r="AH22" s="32"/>
      <c r="AI22" s="32"/>
      <c r="AJ22" s="32"/>
      <c r="AK22" s="32"/>
      <c r="AL22" s="32"/>
      <c r="AM22" s="39" t="n">
        <v>8</v>
      </c>
      <c r="AN22" s="39" t="n">
        <v>2</v>
      </c>
      <c r="AO22" s="114" t="s">
        <v>377</v>
      </c>
      <c r="AP22" s="114" t="s">
        <v>378</v>
      </c>
      <c r="AQ22" s="114" t="s">
        <v>379</v>
      </c>
      <c r="AR22" s="114" t="s">
        <v>380</v>
      </c>
      <c r="AS22" s="39" t="n">
        <v>8</v>
      </c>
      <c r="AT22" s="39" t="n">
        <v>1</v>
      </c>
      <c r="AU22" s="114" t="s">
        <v>381</v>
      </c>
      <c r="AV22" s="114" t="s">
        <v>382</v>
      </c>
      <c r="AW22" s="114" t="s">
        <v>383</v>
      </c>
      <c r="AX22" s="114" t="s">
        <v>384</v>
      </c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</row>
    <row r="23" customFormat="false" ht="12.8" hidden="false" customHeight="false" outlineLevel="0" collapsed="false">
      <c r="A23" s="33" t="s">
        <v>51</v>
      </c>
      <c r="B23" s="33" t="s">
        <v>98</v>
      </c>
      <c r="C23" s="33" t="s">
        <v>110</v>
      </c>
      <c r="D23" s="33" t="s">
        <v>111</v>
      </c>
      <c r="E23" s="47" t="s">
        <v>89</v>
      </c>
      <c r="F23" s="33" t="s">
        <v>112</v>
      </c>
      <c r="G23" s="32"/>
      <c r="H23" s="39" t="n">
        <v>1500</v>
      </c>
      <c r="I23" s="37" t="n">
        <v>2500</v>
      </c>
      <c r="J23" s="39" t="n">
        <f aca="false">I23*5</f>
        <v>0</v>
      </c>
      <c r="K23" s="37" t="n">
        <v>2</v>
      </c>
      <c r="L23" s="37" t="n">
        <f aca="false">IF(S23,1,0)+IF(AA23,1,0)+AD23+AI23+AN23+AT23+AZ23+BF23</f>
        <v>0</v>
      </c>
      <c r="M23" s="37"/>
      <c r="N23" s="32"/>
      <c r="O23" s="37"/>
      <c r="P23" s="37"/>
      <c r="Q23" s="37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115"/>
      <c r="AD23" s="32"/>
      <c r="AE23" s="32"/>
      <c r="AF23" s="32"/>
      <c r="AG23" s="32"/>
      <c r="AH23" s="32"/>
      <c r="AI23" s="32"/>
      <c r="AJ23" s="32"/>
      <c r="AK23" s="32"/>
      <c r="AL23" s="32"/>
      <c r="AM23" s="39" t="n">
        <v>8</v>
      </c>
      <c r="AN23" s="39" t="n">
        <v>2</v>
      </c>
      <c r="AO23" s="114" t="s">
        <v>377</v>
      </c>
      <c r="AP23" s="114" t="s">
        <v>378</v>
      </c>
      <c r="AQ23" s="114" t="s">
        <v>379</v>
      </c>
      <c r="AR23" s="114" t="s">
        <v>380</v>
      </c>
      <c r="AS23" s="39" t="n">
        <v>8</v>
      </c>
      <c r="AT23" s="39" t="n">
        <v>1</v>
      </c>
      <c r="AU23" s="114" t="s">
        <v>381</v>
      </c>
      <c r="AV23" s="114" t="s">
        <v>382</v>
      </c>
      <c r="AW23" s="114" t="s">
        <v>383</v>
      </c>
      <c r="AX23" s="114" t="s">
        <v>384</v>
      </c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</row>
    <row r="24" customFormat="false" ht="12.8" hidden="false" customHeight="false" outlineLevel="0" collapsed="false">
      <c r="A24" s="33" t="s">
        <v>51</v>
      </c>
      <c r="B24" s="33" t="s">
        <v>98</v>
      </c>
      <c r="C24" s="33" t="s">
        <v>104</v>
      </c>
      <c r="D24" s="33" t="s">
        <v>105</v>
      </c>
      <c r="E24" s="47" t="s">
        <v>89</v>
      </c>
      <c r="F24" s="33" t="s">
        <v>106</v>
      </c>
      <c r="G24" s="32"/>
      <c r="H24" s="39" t="n">
        <v>1500</v>
      </c>
      <c r="I24" s="37" t="n">
        <v>2500</v>
      </c>
      <c r="J24" s="39" t="n">
        <f aca="false">I24*5</f>
        <v>0</v>
      </c>
      <c r="K24" s="37" t="n">
        <v>2</v>
      </c>
      <c r="L24" s="37" t="n">
        <f aca="false">IF(S24,1,0)+IF(AA24,1,0)+AD24+AI24+AN24+AT24+AZ24+BF24</f>
        <v>0</v>
      </c>
      <c r="M24" s="37"/>
      <c r="N24" s="32"/>
      <c r="O24" s="37"/>
      <c r="P24" s="37"/>
      <c r="Q24" s="37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115"/>
      <c r="AD24" s="32"/>
      <c r="AE24" s="32"/>
      <c r="AF24" s="32"/>
      <c r="AG24" s="32"/>
      <c r="AH24" s="32"/>
      <c r="AI24" s="32"/>
      <c r="AJ24" s="32"/>
      <c r="AK24" s="32"/>
      <c r="AL24" s="32"/>
      <c r="AM24" s="39" t="n">
        <v>8</v>
      </c>
      <c r="AN24" s="39" t="n">
        <v>2</v>
      </c>
      <c r="AO24" s="114" t="s">
        <v>377</v>
      </c>
      <c r="AP24" s="114" t="s">
        <v>378</v>
      </c>
      <c r="AQ24" s="114" t="s">
        <v>379</v>
      </c>
      <c r="AR24" s="114" t="s">
        <v>380</v>
      </c>
      <c r="AS24" s="39" t="n">
        <v>8</v>
      </c>
      <c r="AT24" s="39" t="n">
        <v>1</v>
      </c>
      <c r="AU24" s="114" t="s">
        <v>381</v>
      </c>
      <c r="AV24" s="114" t="s">
        <v>382</v>
      </c>
      <c r="AW24" s="114" t="s">
        <v>383</v>
      </c>
      <c r="AX24" s="114" t="s">
        <v>384</v>
      </c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</row>
    <row r="25" customFormat="false" ht="12.8" hidden="false" customHeight="false" outlineLevel="0" collapsed="false">
      <c r="A25" s="33" t="s">
        <v>51</v>
      </c>
      <c r="B25" s="33" t="s">
        <v>98</v>
      </c>
      <c r="C25" s="33" t="s">
        <v>104</v>
      </c>
      <c r="D25" s="33" t="s">
        <v>108</v>
      </c>
      <c r="E25" s="47" t="s">
        <v>87</v>
      </c>
      <c r="F25" s="33" t="s">
        <v>109</v>
      </c>
      <c r="G25" s="32"/>
      <c r="H25" s="39" t="n">
        <v>1500</v>
      </c>
      <c r="I25" s="37" t="n">
        <v>2500</v>
      </c>
      <c r="J25" s="39" t="n">
        <f aca="false">I25*5</f>
        <v>0</v>
      </c>
      <c r="K25" s="37" t="n">
        <v>2</v>
      </c>
      <c r="L25" s="37" t="n">
        <f aca="false">IF(S25,1,0)+IF(AA25,1,0)+AD25+AI25+AN25+AT25+AZ25+BF25</f>
        <v>0</v>
      </c>
      <c r="M25" s="37"/>
      <c r="N25" s="32"/>
      <c r="O25" s="37"/>
      <c r="P25" s="37"/>
      <c r="Q25" s="37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115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</row>
    <row r="26" customFormat="false" ht="12.8" hidden="false" customHeight="false" outlineLevel="0" collapsed="false">
      <c r="A26" s="33" t="s">
        <v>51</v>
      </c>
      <c r="B26" s="33" t="s">
        <v>98</v>
      </c>
      <c r="C26" s="33" t="s">
        <v>99</v>
      </c>
      <c r="D26" s="33" t="s">
        <v>100</v>
      </c>
      <c r="E26" s="47" t="s">
        <v>89</v>
      </c>
      <c r="F26" s="33" t="s">
        <v>101</v>
      </c>
      <c r="G26" s="32"/>
      <c r="H26" s="39" t="n">
        <v>1500</v>
      </c>
      <c r="I26" s="37" t="n">
        <v>2500</v>
      </c>
      <c r="J26" s="39" t="n">
        <f aca="false">I26*5</f>
        <v>0</v>
      </c>
      <c r="K26" s="37" t="n">
        <v>2</v>
      </c>
      <c r="L26" s="37" t="n">
        <f aca="false">IF(S26,1,0)+IF(AA26,1,0)+AD26+AI26+AN26+AT26+AZ26+BF26</f>
        <v>0</v>
      </c>
      <c r="M26" s="37"/>
      <c r="N26" s="32"/>
      <c r="O26" s="37"/>
      <c r="P26" s="37"/>
      <c r="Q26" s="37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115"/>
      <c r="AD26" s="32"/>
      <c r="AE26" s="32"/>
      <c r="AF26" s="32"/>
      <c r="AG26" s="32"/>
      <c r="AH26" s="32"/>
      <c r="AI26" s="32"/>
      <c r="AJ26" s="32"/>
      <c r="AK26" s="32"/>
      <c r="AL26" s="32"/>
      <c r="AM26" s="39" t="n">
        <v>8</v>
      </c>
      <c r="AN26" s="39" t="n">
        <v>2</v>
      </c>
      <c r="AO26" s="114" t="s">
        <v>377</v>
      </c>
      <c r="AP26" s="114" t="s">
        <v>378</v>
      </c>
      <c r="AQ26" s="114" t="s">
        <v>379</v>
      </c>
      <c r="AR26" s="114" t="s">
        <v>380</v>
      </c>
      <c r="AS26" s="39" t="n">
        <v>8</v>
      </c>
      <c r="AT26" s="39" t="n">
        <v>1</v>
      </c>
      <c r="AU26" s="114" t="s">
        <v>381</v>
      </c>
      <c r="AV26" s="114" t="s">
        <v>382</v>
      </c>
      <c r="AW26" s="114" t="s">
        <v>383</v>
      </c>
      <c r="AX26" s="114" t="s">
        <v>384</v>
      </c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</row>
    <row r="27" customFormat="false" ht="12.8" hidden="false" customHeight="false" outlineLevel="0" collapsed="false">
      <c r="A27" s="33" t="s">
        <v>51</v>
      </c>
      <c r="B27" s="33" t="s">
        <v>81</v>
      </c>
      <c r="C27" s="47" t="s">
        <v>117</v>
      </c>
      <c r="D27" s="33" t="s">
        <v>118</v>
      </c>
      <c r="E27" s="47" t="s">
        <v>89</v>
      </c>
      <c r="F27" s="33" t="s">
        <v>112</v>
      </c>
      <c r="G27" s="32"/>
      <c r="H27" s="39" t="n">
        <v>1500</v>
      </c>
      <c r="I27" s="37" t="n">
        <v>2500</v>
      </c>
      <c r="J27" s="39" t="n">
        <f aca="false">I27*5</f>
        <v>0</v>
      </c>
      <c r="K27" s="37" t="n">
        <v>2</v>
      </c>
      <c r="L27" s="37" t="n">
        <f aca="false">IF(S27,1,0)+IF(AA27,1,0)+AD27+AI27+AN27+AT27+AZ27+BF27</f>
        <v>0</v>
      </c>
      <c r="M27" s="37"/>
      <c r="N27" s="32"/>
      <c r="O27" s="37"/>
      <c r="P27" s="37"/>
      <c r="Q27" s="37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115"/>
      <c r="AD27" s="32"/>
      <c r="AE27" s="32"/>
      <c r="AF27" s="32"/>
      <c r="AG27" s="32"/>
      <c r="AH27" s="32"/>
      <c r="AI27" s="32"/>
      <c r="AJ27" s="32"/>
      <c r="AK27" s="32"/>
      <c r="AL27" s="32"/>
      <c r="AM27" s="39" t="n">
        <v>8</v>
      </c>
      <c r="AN27" s="39" t="n">
        <v>1</v>
      </c>
      <c r="AO27" s="114" t="s">
        <v>377</v>
      </c>
      <c r="AP27" s="114" t="s">
        <v>378</v>
      </c>
      <c r="AQ27" s="114" t="s">
        <v>379</v>
      </c>
      <c r="AR27" s="114" t="s">
        <v>380</v>
      </c>
      <c r="AS27" s="39" t="n">
        <v>8</v>
      </c>
      <c r="AT27" s="39" t="n">
        <v>2</v>
      </c>
      <c r="AU27" s="114" t="s">
        <v>381</v>
      </c>
      <c r="AV27" s="114" t="s">
        <v>382</v>
      </c>
      <c r="AW27" s="114" t="s">
        <v>383</v>
      </c>
      <c r="AX27" s="114" t="s">
        <v>384</v>
      </c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</row>
    <row r="28" customFormat="false" ht="12.8" hidden="false" customHeight="false" outlineLevel="0" collapsed="false">
      <c r="A28" s="33" t="s">
        <v>51</v>
      </c>
      <c r="B28" s="33" t="s">
        <v>93</v>
      </c>
      <c r="C28" s="47" t="s">
        <v>122</v>
      </c>
      <c r="D28" s="33" t="s">
        <v>123</v>
      </c>
      <c r="E28" s="47" t="s">
        <v>89</v>
      </c>
      <c r="F28" s="33" t="s">
        <v>101</v>
      </c>
      <c r="G28" s="32"/>
      <c r="H28" s="39" t="n">
        <v>1500</v>
      </c>
      <c r="I28" s="37" t="n">
        <v>2500</v>
      </c>
      <c r="J28" s="39" t="n">
        <f aca="false">I28*5</f>
        <v>0</v>
      </c>
      <c r="K28" s="37" t="n">
        <v>3</v>
      </c>
      <c r="L28" s="37" t="n">
        <f aca="false">IF(S28,1,0)+IF(AA28,1,0)+AD28+AI28+AN28+AT28+AZ28+BF28</f>
        <v>0</v>
      </c>
      <c r="M28" s="37"/>
      <c r="N28" s="32"/>
      <c r="O28" s="37"/>
      <c r="P28" s="37"/>
      <c r="Q28" s="37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115"/>
      <c r="AD28" s="32"/>
      <c r="AE28" s="32"/>
      <c r="AF28" s="32"/>
      <c r="AG28" s="32"/>
      <c r="AH28" s="32"/>
      <c r="AI28" s="32"/>
      <c r="AJ28" s="32"/>
      <c r="AK28" s="32"/>
      <c r="AL28" s="32"/>
      <c r="AM28" s="39" t="n">
        <v>8</v>
      </c>
      <c r="AN28" s="39" t="n">
        <v>1</v>
      </c>
      <c r="AO28" s="114" t="s">
        <v>377</v>
      </c>
      <c r="AP28" s="114" t="s">
        <v>378</v>
      </c>
      <c r="AQ28" s="114" t="s">
        <v>379</v>
      </c>
      <c r="AR28" s="114" t="s">
        <v>380</v>
      </c>
      <c r="AS28" s="39" t="n">
        <v>8</v>
      </c>
      <c r="AT28" s="39" t="n">
        <v>2</v>
      </c>
      <c r="AU28" s="114" t="s">
        <v>381</v>
      </c>
      <c r="AV28" s="114" t="s">
        <v>382</v>
      </c>
      <c r="AW28" s="114" t="s">
        <v>383</v>
      </c>
      <c r="AX28" s="114" t="s">
        <v>384</v>
      </c>
      <c r="AY28" s="39" t="n">
        <v>8</v>
      </c>
      <c r="AZ28" s="39" t="n">
        <v>1</v>
      </c>
      <c r="BA28" s="114" t="s">
        <v>385</v>
      </c>
      <c r="BB28" s="114" t="s">
        <v>377</v>
      </c>
      <c r="BC28" s="114" t="s">
        <v>386</v>
      </c>
      <c r="BD28" s="114" t="s">
        <v>378</v>
      </c>
      <c r="BE28" s="32"/>
      <c r="BF28" s="32"/>
      <c r="BG28" s="32"/>
      <c r="BH28" s="32"/>
      <c r="BI28" s="32"/>
      <c r="BJ28" s="32"/>
    </row>
    <row r="29" customFormat="false" ht="12.8" hidden="false" customHeight="false" outlineLevel="0" collapsed="false">
      <c r="A29" s="33" t="s">
        <v>51</v>
      </c>
      <c r="B29" s="33" t="s">
        <v>81</v>
      </c>
      <c r="C29" s="33" t="s">
        <v>119</v>
      </c>
      <c r="D29" s="33" t="s">
        <v>120</v>
      </c>
      <c r="E29" s="47" t="s">
        <v>89</v>
      </c>
      <c r="F29" s="33" t="s">
        <v>121</v>
      </c>
      <c r="G29" s="32" t="s">
        <v>393</v>
      </c>
      <c r="H29" s="39" t="n">
        <v>1500</v>
      </c>
      <c r="I29" s="37" t="n">
        <v>2500</v>
      </c>
      <c r="J29" s="39" t="n">
        <f aca="false">I29*5</f>
        <v>0</v>
      </c>
      <c r="K29" s="37" t="n">
        <v>4</v>
      </c>
      <c r="L29" s="37" t="n">
        <f aca="false">IF(S29,1,0)+IF(AA29,1,0)+AD29+AI29+AN29+AT29+AZ29+BF29</f>
        <v>0</v>
      </c>
      <c r="M29" s="112" t="n">
        <v>-0.35</v>
      </c>
      <c r="N29" s="32"/>
      <c r="O29" s="41"/>
      <c r="P29" s="41" t="n">
        <v>0.15</v>
      </c>
      <c r="Q29" s="41" t="n">
        <v>0.15</v>
      </c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115"/>
      <c r="AD29" s="32"/>
      <c r="AE29" s="32"/>
      <c r="AF29" s="32"/>
      <c r="AG29" s="32"/>
      <c r="AH29" s="32"/>
      <c r="AI29" s="32"/>
      <c r="AJ29" s="32"/>
      <c r="AK29" s="32"/>
      <c r="AL29" s="32"/>
      <c r="AM29" s="39" t="n">
        <v>8</v>
      </c>
      <c r="AN29" s="39" t="n">
        <v>1</v>
      </c>
      <c r="AO29" s="114" t="s">
        <v>377</v>
      </c>
      <c r="AP29" s="114" t="s">
        <v>378</v>
      </c>
      <c r="AQ29" s="114" t="s">
        <v>379</v>
      </c>
      <c r="AR29" s="114" t="s">
        <v>380</v>
      </c>
      <c r="AS29" s="39" t="n">
        <v>8</v>
      </c>
      <c r="AT29" s="39" t="n">
        <v>2</v>
      </c>
      <c r="AU29" s="114" t="s">
        <v>381</v>
      </c>
      <c r="AV29" s="114" t="s">
        <v>382</v>
      </c>
      <c r="AW29" s="114" t="s">
        <v>383</v>
      </c>
      <c r="AX29" s="114" t="s">
        <v>384</v>
      </c>
      <c r="AY29" s="39" t="n">
        <v>8</v>
      </c>
      <c r="AZ29" s="39" t="n">
        <v>1</v>
      </c>
      <c r="BA29" s="114" t="s">
        <v>385</v>
      </c>
      <c r="BB29" s="114" t="s">
        <v>377</v>
      </c>
      <c r="BC29" s="114" t="s">
        <v>386</v>
      </c>
      <c r="BD29" s="114" t="s">
        <v>378</v>
      </c>
      <c r="BE29" s="39" t="n">
        <v>8</v>
      </c>
      <c r="BF29" s="39" t="n">
        <v>1</v>
      </c>
      <c r="BG29" s="114" t="s">
        <v>385</v>
      </c>
      <c r="BH29" s="114" t="s">
        <v>377</v>
      </c>
      <c r="BI29" s="114" t="s">
        <v>386</v>
      </c>
      <c r="BJ29" s="114" t="s">
        <v>378</v>
      </c>
    </row>
    <row r="30" customFormat="false" ht="12.8" hidden="false" customHeight="false" outlineLevel="0" collapsed="false">
      <c r="A30" s="33" t="s">
        <v>51</v>
      </c>
      <c r="B30" s="33" t="s">
        <v>113</v>
      </c>
      <c r="C30" s="33" t="s">
        <v>114</v>
      </c>
      <c r="D30" s="33" t="s">
        <v>115</v>
      </c>
      <c r="E30" s="47" t="s">
        <v>89</v>
      </c>
      <c r="F30" s="33" t="s">
        <v>116</v>
      </c>
      <c r="G30" s="32"/>
      <c r="H30" s="39" t="n">
        <v>1500</v>
      </c>
      <c r="I30" s="37" t="n">
        <v>2500</v>
      </c>
      <c r="J30" s="39" t="n">
        <f aca="false">I30*5</f>
        <v>0</v>
      </c>
      <c r="K30" s="37" t="n">
        <v>2</v>
      </c>
      <c r="L30" s="37" t="n">
        <f aca="false">IF(S30,1,0)+IF(AA30,1,0)+AD30+AI30+AN30+AT30+AZ30+BF30</f>
        <v>0</v>
      </c>
      <c r="M30" s="37"/>
      <c r="N30" s="32"/>
      <c r="O30" s="37"/>
      <c r="P30" s="37"/>
      <c r="Q30" s="37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115"/>
      <c r="AD30" s="32"/>
      <c r="AE30" s="32"/>
      <c r="AF30" s="32"/>
      <c r="AG30" s="32"/>
      <c r="AH30" s="32"/>
      <c r="AI30" s="32"/>
      <c r="AJ30" s="32"/>
      <c r="AK30" s="32"/>
      <c r="AL30" s="32"/>
      <c r="AM30" s="39" t="n">
        <v>10</v>
      </c>
      <c r="AN30" s="39" t="n">
        <v>2</v>
      </c>
      <c r="AO30" s="114" t="s">
        <v>377</v>
      </c>
      <c r="AP30" s="114" t="s">
        <v>378</v>
      </c>
      <c r="AQ30" s="114" t="s">
        <v>394</v>
      </c>
      <c r="AR30" s="114" t="s">
        <v>395</v>
      </c>
      <c r="AS30" s="39" t="n">
        <v>10</v>
      </c>
      <c r="AT30" s="39" t="n">
        <v>1</v>
      </c>
      <c r="AU30" s="114" t="s">
        <v>381</v>
      </c>
      <c r="AV30" s="114" t="s">
        <v>382</v>
      </c>
      <c r="AW30" s="114" t="s">
        <v>396</v>
      </c>
      <c r="AX30" s="114" t="s">
        <v>397</v>
      </c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</row>
    <row r="31" customFormat="false" ht="12.8" hidden="false" customHeight="false" outlineLevel="0" collapsed="false">
      <c r="A31" s="33" t="s">
        <v>51</v>
      </c>
      <c r="B31" s="33" t="s">
        <v>93</v>
      </c>
      <c r="C31" s="47" t="s">
        <v>129</v>
      </c>
      <c r="D31" s="33" t="s">
        <v>108</v>
      </c>
      <c r="E31" s="47" t="s">
        <v>89</v>
      </c>
      <c r="F31" s="33" t="s">
        <v>130</v>
      </c>
      <c r="G31" s="32"/>
      <c r="H31" s="39" t="n">
        <v>1500</v>
      </c>
      <c r="I31" s="37" t="n">
        <v>2500</v>
      </c>
      <c r="J31" s="39" t="n">
        <f aca="false">I31*5</f>
        <v>0</v>
      </c>
      <c r="K31" s="37" t="n">
        <v>2</v>
      </c>
      <c r="L31" s="37" t="n">
        <f aca="false">IF(S31,1,0)+IF(AA31,1,0)+AD31+AI31+AN31+AT31+AZ31+BF31</f>
        <v>0</v>
      </c>
      <c r="M31" s="37"/>
      <c r="N31" s="32"/>
      <c r="O31" s="37"/>
      <c r="P31" s="37"/>
      <c r="Q31" s="37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115"/>
      <c r="AD31" s="32"/>
      <c r="AE31" s="32"/>
      <c r="AF31" s="32"/>
      <c r="AG31" s="32"/>
      <c r="AH31" s="32"/>
      <c r="AI31" s="32"/>
      <c r="AJ31" s="32"/>
      <c r="AK31" s="32"/>
      <c r="AL31" s="32"/>
      <c r="AM31" s="39" t="n">
        <v>8</v>
      </c>
      <c r="AN31" s="39" t="n">
        <v>2</v>
      </c>
      <c r="AO31" s="114" t="s">
        <v>377</v>
      </c>
      <c r="AP31" s="114" t="s">
        <v>378</v>
      </c>
      <c r="AQ31" s="114" t="s">
        <v>379</v>
      </c>
      <c r="AR31" s="114" t="s">
        <v>380</v>
      </c>
      <c r="AS31" s="39" t="n">
        <v>8</v>
      </c>
      <c r="AT31" s="39" t="n">
        <v>1</v>
      </c>
      <c r="AU31" s="114" t="s">
        <v>381</v>
      </c>
      <c r="AV31" s="114" t="s">
        <v>382</v>
      </c>
      <c r="AW31" s="114" t="s">
        <v>383</v>
      </c>
      <c r="AX31" s="114" t="s">
        <v>384</v>
      </c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</row>
    <row r="32" customFormat="false" ht="12.8" hidden="false" customHeight="false" outlineLevel="0" collapsed="false">
      <c r="A32" s="32" t="s">
        <v>52</v>
      </c>
      <c r="B32" s="33" t="s">
        <v>81</v>
      </c>
      <c r="C32" s="33" t="s">
        <v>185</v>
      </c>
      <c r="D32" s="32" t="s">
        <v>186</v>
      </c>
      <c r="E32" s="110" t="s">
        <v>89</v>
      </c>
      <c r="F32" s="32" t="s">
        <v>153</v>
      </c>
      <c r="G32" s="32"/>
      <c r="H32" s="39" t="n">
        <v>3500</v>
      </c>
      <c r="I32" s="37" t="n">
        <v>800</v>
      </c>
      <c r="J32" s="39" t="n">
        <f aca="false">I32*5</f>
        <v>0</v>
      </c>
      <c r="K32" s="37" t="n">
        <v>2</v>
      </c>
      <c r="L32" s="37" t="n">
        <f aca="false">IF(S32,1,0)+IF(AA32,1,0)+AD32+AI32+AN32+AT32+AZ32+BF32</f>
        <v>0</v>
      </c>
      <c r="M32" s="37"/>
      <c r="N32" s="32"/>
      <c r="O32" s="37"/>
      <c r="P32" s="37"/>
      <c r="Q32" s="37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113" t="n">
        <v>6</v>
      </c>
      <c r="AD32" s="39" t="n">
        <v>2</v>
      </c>
      <c r="AE32" s="112" t="s">
        <v>398</v>
      </c>
      <c r="AF32" s="112" t="s">
        <v>399</v>
      </c>
      <c r="AG32" s="112" t="s">
        <v>378</v>
      </c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</row>
    <row r="33" customFormat="false" ht="12.8" hidden="false" customHeight="false" outlineLevel="0" collapsed="false">
      <c r="A33" s="32" t="s">
        <v>52</v>
      </c>
      <c r="B33" s="33" t="s">
        <v>81</v>
      </c>
      <c r="C33" s="33" t="s">
        <v>185</v>
      </c>
      <c r="D33" s="32" t="s">
        <v>187</v>
      </c>
      <c r="E33" s="110" t="s">
        <v>87</v>
      </c>
      <c r="F33" s="32" t="s">
        <v>188</v>
      </c>
      <c r="G33" s="32"/>
      <c r="H33" s="39" t="n">
        <v>3500</v>
      </c>
      <c r="I33" s="37" t="n">
        <v>800</v>
      </c>
      <c r="J33" s="39" t="n">
        <f aca="false">I33*5</f>
        <v>0</v>
      </c>
      <c r="K33" s="32"/>
      <c r="L33" s="37" t="n">
        <f aca="false">IF(S33,1,0)+IF(AA33,1,0)+AD33+AI33+AN33+AT33+AZ33+BF33</f>
        <v>0</v>
      </c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115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</row>
    <row r="34" customFormat="false" ht="12.8" hidden="false" customHeight="false" outlineLevel="0" collapsed="false">
      <c r="A34" s="32" t="s">
        <v>52</v>
      </c>
      <c r="B34" s="33" t="s">
        <v>81</v>
      </c>
      <c r="C34" s="33" t="s">
        <v>185</v>
      </c>
      <c r="D34" s="32" t="s">
        <v>162</v>
      </c>
      <c r="E34" s="110" t="s">
        <v>88</v>
      </c>
      <c r="F34" s="32" t="s">
        <v>163</v>
      </c>
      <c r="G34" s="32"/>
      <c r="H34" s="39" t="n">
        <v>3500</v>
      </c>
      <c r="I34" s="37" t="n">
        <v>800</v>
      </c>
      <c r="J34" s="39" t="n">
        <f aca="false">I34*5</f>
        <v>0</v>
      </c>
      <c r="K34" s="32"/>
      <c r="L34" s="37" t="n">
        <f aca="false">IF(S34,1,0)+IF(AA34,1,0)+AD34+AI34+AN34+AT34+AZ34+BF34</f>
        <v>0</v>
      </c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115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</row>
    <row r="35" customFormat="false" ht="12.8" hidden="false" customHeight="false" outlineLevel="0" collapsed="false">
      <c r="A35" s="32" t="s">
        <v>52</v>
      </c>
      <c r="B35" s="33" t="s">
        <v>81</v>
      </c>
      <c r="C35" s="33" t="s">
        <v>171</v>
      </c>
      <c r="D35" s="32" t="s">
        <v>172</v>
      </c>
      <c r="E35" s="110" t="s">
        <v>89</v>
      </c>
      <c r="F35" s="32" t="s">
        <v>139</v>
      </c>
      <c r="G35" s="32"/>
      <c r="H35" s="39" t="n">
        <v>3500</v>
      </c>
      <c r="I35" s="37" t="n">
        <v>800</v>
      </c>
      <c r="J35" s="39" t="n">
        <f aca="false">I35*5</f>
        <v>0</v>
      </c>
      <c r="K35" s="37" t="n">
        <v>2</v>
      </c>
      <c r="L35" s="37" t="n">
        <f aca="false">IF(S35,1,0)+IF(AA35,1,0)+AD35+AI35+AN35+AT35+AZ35+BF35</f>
        <v>0</v>
      </c>
      <c r="M35" s="37"/>
      <c r="N35" s="32"/>
      <c r="O35" s="37"/>
      <c r="P35" s="37"/>
      <c r="Q35" s="37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113" t="n">
        <v>6</v>
      </c>
      <c r="AD35" s="39" t="n">
        <v>2</v>
      </c>
      <c r="AE35" s="112" t="s">
        <v>398</v>
      </c>
      <c r="AF35" s="112" t="s">
        <v>399</v>
      </c>
      <c r="AG35" s="112" t="s">
        <v>378</v>
      </c>
      <c r="AH35" s="113" t="n">
        <v>6</v>
      </c>
      <c r="AI35" s="39" t="n">
        <v>1</v>
      </c>
      <c r="AJ35" s="112" t="s">
        <v>398</v>
      </c>
      <c r="AK35" s="112" t="s">
        <v>399</v>
      </c>
      <c r="AL35" s="112" t="s">
        <v>378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</row>
    <row r="36" customFormat="false" ht="12.8" hidden="false" customHeight="false" outlineLevel="0" collapsed="false">
      <c r="A36" s="32" t="s">
        <v>52</v>
      </c>
      <c r="B36" s="33" t="s">
        <v>81</v>
      </c>
      <c r="C36" s="32" t="s">
        <v>171</v>
      </c>
      <c r="D36" s="32" t="s">
        <v>173</v>
      </c>
      <c r="E36" s="110" t="s">
        <v>87</v>
      </c>
      <c r="F36" s="32" t="s">
        <v>163</v>
      </c>
      <c r="G36" s="32"/>
      <c r="H36" s="39" t="n">
        <v>3500</v>
      </c>
      <c r="I36" s="37" t="n">
        <v>800</v>
      </c>
      <c r="J36" s="39" t="n">
        <f aca="false">I36*5</f>
        <v>0</v>
      </c>
      <c r="K36" s="32"/>
      <c r="L36" s="37" t="n">
        <f aca="false">IF(S36,1,0)+IF(AA36,1,0)+AD36+AI36+AN36+AT36+AZ36+BF36</f>
        <v>0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115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</row>
    <row r="37" customFormat="false" ht="12.8" hidden="false" customHeight="false" outlineLevel="0" collapsed="false">
      <c r="A37" s="32" t="s">
        <v>52</v>
      </c>
      <c r="B37" s="33" t="s">
        <v>158</v>
      </c>
      <c r="C37" s="32" t="s">
        <v>159</v>
      </c>
      <c r="D37" s="32" t="s">
        <v>160</v>
      </c>
      <c r="E37" s="110" t="s">
        <v>89</v>
      </c>
      <c r="F37" s="32" t="s">
        <v>116</v>
      </c>
      <c r="G37" s="32"/>
      <c r="H37" s="39" t="n">
        <v>3500</v>
      </c>
      <c r="I37" s="37" t="n">
        <v>900</v>
      </c>
      <c r="J37" s="39" t="n">
        <f aca="false">I37*5</f>
        <v>0</v>
      </c>
      <c r="K37" s="37" t="n">
        <v>2</v>
      </c>
      <c r="L37" s="37" t="n">
        <f aca="false">IF(S37,1,0)+IF(AA37,1,0)+AD37+AI37+AN37+AT37+AZ37+BF37</f>
        <v>0</v>
      </c>
      <c r="M37" s="37"/>
      <c r="N37" s="32"/>
      <c r="O37" s="37"/>
      <c r="P37" s="37"/>
      <c r="Q37" s="37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113" t="n">
        <v>6</v>
      </c>
      <c r="AD37" s="39" t="n">
        <v>1</v>
      </c>
      <c r="AE37" s="112" t="s">
        <v>398</v>
      </c>
      <c r="AF37" s="112" t="s">
        <v>399</v>
      </c>
      <c r="AG37" s="112" t="s">
        <v>378</v>
      </c>
      <c r="AH37" s="113" t="n">
        <v>6</v>
      </c>
      <c r="AI37" s="39" t="n">
        <v>1</v>
      </c>
      <c r="AJ37" s="112" t="s">
        <v>398</v>
      </c>
      <c r="AK37" s="112" t="s">
        <v>399</v>
      </c>
      <c r="AL37" s="112" t="s">
        <v>378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</row>
    <row r="38" customFormat="false" ht="12.8" hidden="false" customHeight="false" outlineLevel="0" collapsed="false">
      <c r="A38" s="32" t="s">
        <v>52</v>
      </c>
      <c r="B38" s="32" t="s">
        <v>158</v>
      </c>
      <c r="C38" s="32" t="s">
        <v>159</v>
      </c>
      <c r="D38" s="32" t="s">
        <v>161</v>
      </c>
      <c r="E38" s="110" t="s">
        <v>87</v>
      </c>
      <c r="F38" s="32" t="s">
        <v>126</v>
      </c>
      <c r="G38" s="32"/>
      <c r="H38" s="39" t="n">
        <v>3500</v>
      </c>
      <c r="I38" s="37" t="n">
        <v>900</v>
      </c>
      <c r="J38" s="39" t="n">
        <f aca="false">I38*5</f>
        <v>0</v>
      </c>
      <c r="K38" s="32"/>
      <c r="L38" s="37" t="n">
        <f aca="false">IF(S38,1,0)+IF(AA38,1,0)+AD38+AI38+AN38+AT38+AZ38+BF38</f>
        <v>0</v>
      </c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115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</row>
    <row r="39" customFormat="false" ht="12.8" hidden="false" customHeight="false" outlineLevel="0" collapsed="false">
      <c r="A39" s="32" t="s">
        <v>52</v>
      </c>
      <c r="B39" s="32" t="s">
        <v>158</v>
      </c>
      <c r="C39" s="32" t="s">
        <v>159</v>
      </c>
      <c r="D39" s="32" t="s">
        <v>162</v>
      </c>
      <c r="E39" s="110" t="s">
        <v>88</v>
      </c>
      <c r="F39" s="32" t="s">
        <v>163</v>
      </c>
      <c r="G39" s="32"/>
      <c r="H39" s="39" t="n">
        <v>3500</v>
      </c>
      <c r="I39" s="37" t="n">
        <v>900</v>
      </c>
      <c r="J39" s="39" t="n">
        <f aca="false">I39*5</f>
        <v>0</v>
      </c>
      <c r="K39" s="32"/>
      <c r="L39" s="37" t="n">
        <f aca="false">IF(S39,1,0)+IF(AA39,1,0)+AD39+AI39+AN39+AT39+AZ39+BF39</f>
        <v>0</v>
      </c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115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</row>
    <row r="40" customFormat="false" ht="12.8" hidden="false" customHeight="false" outlineLevel="0" collapsed="false">
      <c r="A40" s="32" t="s">
        <v>52</v>
      </c>
      <c r="B40" s="33" t="s">
        <v>81</v>
      </c>
      <c r="C40" s="33" t="s">
        <v>174</v>
      </c>
      <c r="D40" s="32" t="s">
        <v>175</v>
      </c>
      <c r="E40" s="110" t="s">
        <v>89</v>
      </c>
      <c r="F40" s="32" t="s">
        <v>176</v>
      </c>
      <c r="G40" s="32"/>
      <c r="H40" s="39" t="n">
        <v>3500</v>
      </c>
      <c r="I40" s="37" t="n">
        <v>900</v>
      </c>
      <c r="J40" s="39" t="n">
        <f aca="false">I40*5</f>
        <v>0</v>
      </c>
      <c r="K40" s="37" t="n">
        <v>2</v>
      </c>
      <c r="L40" s="37" t="n">
        <f aca="false">IF(S40,1,0)+IF(AA40,1,0)+AD40+AI40+AN40+AT40+AZ40+BF40</f>
        <v>0</v>
      </c>
      <c r="M40" s="37"/>
      <c r="N40" s="32"/>
      <c r="O40" s="37"/>
      <c r="P40" s="37"/>
      <c r="Q40" s="37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113" t="n">
        <v>6</v>
      </c>
      <c r="AD40" s="39" t="n">
        <v>1</v>
      </c>
      <c r="AE40" s="112" t="s">
        <v>398</v>
      </c>
      <c r="AF40" s="112" t="s">
        <v>399</v>
      </c>
      <c r="AG40" s="112" t="s">
        <v>378</v>
      </c>
      <c r="AH40" s="113" t="n">
        <v>6</v>
      </c>
      <c r="AI40" s="39" t="n">
        <v>1</v>
      </c>
      <c r="AJ40" s="112" t="s">
        <v>398</v>
      </c>
      <c r="AK40" s="112" t="s">
        <v>399</v>
      </c>
      <c r="AL40" s="112" t="s">
        <v>378</v>
      </c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</row>
    <row r="41" customFormat="false" ht="12.8" hidden="false" customHeight="false" outlineLevel="0" collapsed="false">
      <c r="A41" s="32" t="s">
        <v>52</v>
      </c>
      <c r="B41" s="33" t="s">
        <v>81</v>
      </c>
      <c r="C41" s="32" t="s">
        <v>174</v>
      </c>
      <c r="D41" s="32" t="s">
        <v>177</v>
      </c>
      <c r="E41" s="110" t="s">
        <v>87</v>
      </c>
      <c r="F41" s="32" t="s">
        <v>178</v>
      </c>
      <c r="G41" s="32"/>
      <c r="H41" s="39" t="n">
        <v>3500</v>
      </c>
      <c r="I41" s="37" t="n">
        <v>900</v>
      </c>
      <c r="J41" s="39" t="n">
        <f aca="false">I41*5</f>
        <v>0</v>
      </c>
      <c r="K41" s="32"/>
      <c r="L41" s="37" t="n">
        <f aca="false">IF(S41,1,0)+IF(AA41,1,0)+AD41+AI41+AN41+AT41+AZ41+BF41</f>
        <v>0</v>
      </c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115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</row>
    <row r="42" customFormat="false" ht="12.8" hidden="false" customHeight="false" outlineLevel="0" collapsed="false">
      <c r="A42" s="32" t="s">
        <v>52</v>
      </c>
      <c r="B42" s="33" t="s">
        <v>81</v>
      </c>
      <c r="C42" s="32" t="s">
        <v>174</v>
      </c>
      <c r="D42" s="32" t="s">
        <v>179</v>
      </c>
      <c r="E42" s="110" t="s">
        <v>88</v>
      </c>
      <c r="F42" s="32" t="s">
        <v>180</v>
      </c>
      <c r="G42" s="32"/>
      <c r="H42" s="39" t="n">
        <v>3500</v>
      </c>
      <c r="I42" s="37" t="n">
        <v>900</v>
      </c>
      <c r="J42" s="39" t="n">
        <f aca="false">I42*5</f>
        <v>0</v>
      </c>
      <c r="K42" s="32"/>
      <c r="L42" s="37" t="n">
        <f aca="false">IF(S42,1,0)+IF(AA42,1,0)+AD42+AI42+AN42+AT42+AZ42+BF42</f>
        <v>0</v>
      </c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115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</row>
    <row r="43" customFormat="false" ht="12.8" hidden="false" customHeight="false" outlineLevel="0" collapsed="false">
      <c r="A43" s="32" t="s">
        <v>52</v>
      </c>
      <c r="B43" s="33" t="s">
        <v>98</v>
      </c>
      <c r="C43" s="32" t="s">
        <v>140</v>
      </c>
      <c r="D43" s="32" t="s">
        <v>141</v>
      </c>
      <c r="E43" s="110" t="s">
        <v>89</v>
      </c>
      <c r="F43" s="32" t="s">
        <v>116</v>
      </c>
      <c r="G43" s="32"/>
      <c r="H43" s="39" t="n">
        <v>3500</v>
      </c>
      <c r="I43" s="37" t="n">
        <v>800</v>
      </c>
      <c r="J43" s="39" t="n">
        <f aca="false">I43*5</f>
        <v>0</v>
      </c>
      <c r="K43" s="37" t="n">
        <v>2</v>
      </c>
      <c r="L43" s="37" t="n">
        <f aca="false">IF(S43,1,0)+IF(AA43,1,0)+AD43+AI43+AN43+AT43+AZ43+BF43</f>
        <v>0</v>
      </c>
      <c r="M43" s="37"/>
      <c r="N43" s="41" t="n">
        <v>0.35</v>
      </c>
      <c r="O43" s="37"/>
      <c r="P43" s="37"/>
      <c r="Q43" s="37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113" t="n">
        <v>6</v>
      </c>
      <c r="AD43" s="39" t="n">
        <v>1</v>
      </c>
      <c r="AE43" s="112" t="s">
        <v>398</v>
      </c>
      <c r="AF43" s="112" t="s">
        <v>399</v>
      </c>
      <c r="AG43" s="112" t="s">
        <v>378</v>
      </c>
      <c r="AH43" s="113" t="n">
        <v>6</v>
      </c>
      <c r="AI43" s="39" t="n">
        <v>1</v>
      </c>
      <c r="AJ43" s="112" t="s">
        <v>398</v>
      </c>
      <c r="AK43" s="112" t="s">
        <v>399</v>
      </c>
      <c r="AL43" s="112" t="s">
        <v>378</v>
      </c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</row>
    <row r="44" customFormat="false" ht="12.8" hidden="false" customHeight="false" outlineLevel="0" collapsed="false">
      <c r="A44" s="32" t="s">
        <v>52</v>
      </c>
      <c r="B44" s="32" t="s">
        <v>98</v>
      </c>
      <c r="C44" s="32" t="s">
        <v>140</v>
      </c>
      <c r="D44" s="32" t="s">
        <v>142</v>
      </c>
      <c r="E44" s="110" t="s">
        <v>87</v>
      </c>
      <c r="F44" s="32" t="s">
        <v>143</v>
      </c>
      <c r="G44" s="32"/>
      <c r="H44" s="39" t="n">
        <v>3500</v>
      </c>
      <c r="I44" s="37" t="n">
        <v>800</v>
      </c>
      <c r="J44" s="39" t="n">
        <f aca="false">I44*5</f>
        <v>0</v>
      </c>
      <c r="K44" s="32"/>
      <c r="L44" s="37" t="n">
        <f aca="false">IF(S44,1,0)+IF(AA44,1,0)+AD44+AI44+AN44+AT44+AZ44+BF44</f>
        <v>0</v>
      </c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115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</row>
    <row r="45" customFormat="false" ht="12.8" hidden="false" customHeight="false" outlineLevel="0" collapsed="false">
      <c r="A45" s="32" t="s">
        <v>52</v>
      </c>
      <c r="B45" s="32" t="s">
        <v>98</v>
      </c>
      <c r="C45" s="32" t="s">
        <v>140</v>
      </c>
      <c r="D45" s="32" t="s">
        <v>144</v>
      </c>
      <c r="E45" s="110" t="s">
        <v>88</v>
      </c>
      <c r="F45" s="32" t="s">
        <v>145</v>
      </c>
      <c r="G45" s="32"/>
      <c r="H45" s="39" t="n">
        <v>3500</v>
      </c>
      <c r="I45" s="37" t="n">
        <v>800</v>
      </c>
      <c r="J45" s="39" t="n">
        <f aca="false">I45*5</f>
        <v>0</v>
      </c>
      <c r="K45" s="32"/>
      <c r="L45" s="37" t="n">
        <f aca="false">IF(S45,1,0)+IF(AA45,1,0)+AD45+AI45+AN45+AT45+AZ45+BF45</f>
        <v>0</v>
      </c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115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</row>
    <row r="46" customFormat="false" ht="12.8" hidden="false" customHeight="false" outlineLevel="0" collapsed="false">
      <c r="A46" s="32" t="s">
        <v>52</v>
      </c>
      <c r="B46" s="32" t="s">
        <v>98</v>
      </c>
      <c r="C46" s="32" t="s">
        <v>132</v>
      </c>
      <c r="D46" s="32" t="s">
        <v>133</v>
      </c>
      <c r="E46" s="110" t="s">
        <v>89</v>
      </c>
      <c r="F46" s="32" t="s">
        <v>134</v>
      </c>
      <c r="G46" s="32"/>
      <c r="H46" s="39" t="n">
        <v>3500</v>
      </c>
      <c r="I46" s="37" t="n">
        <v>1100</v>
      </c>
      <c r="J46" s="39" t="n">
        <f aca="false">I46*5</f>
        <v>0</v>
      </c>
      <c r="K46" s="37" t="n">
        <v>4</v>
      </c>
      <c r="L46" s="37" t="n">
        <f aca="false">IF(S46,1,0)+IF(AA46,1,0)+AD46+AI46+AN46+AT46+AZ46+BF46</f>
        <v>0</v>
      </c>
      <c r="M46" s="37"/>
      <c r="N46" s="41" t="n">
        <v>0.35</v>
      </c>
      <c r="O46" s="37"/>
      <c r="P46" s="37"/>
      <c r="Q46" s="37"/>
      <c r="R46" s="116" t="s">
        <v>400</v>
      </c>
      <c r="S46" s="39" t="n">
        <v>10</v>
      </c>
      <c r="T46" s="105" t="s">
        <v>401</v>
      </c>
      <c r="U46" s="105" t="s">
        <v>92</v>
      </c>
      <c r="V46" s="39"/>
      <c r="W46" s="39" t="n">
        <v>40</v>
      </c>
      <c r="X46" s="39"/>
      <c r="Y46" s="105" t="s">
        <v>402</v>
      </c>
      <c r="Z46" s="116" t="s">
        <v>403</v>
      </c>
      <c r="AA46" s="39" t="n">
        <v>6</v>
      </c>
      <c r="AB46" s="105" t="s">
        <v>404</v>
      </c>
      <c r="AC46" s="113" t="n">
        <v>6</v>
      </c>
      <c r="AD46" s="39" t="n">
        <v>1</v>
      </c>
      <c r="AE46" s="112" t="s">
        <v>398</v>
      </c>
      <c r="AF46" s="112" t="s">
        <v>399</v>
      </c>
      <c r="AG46" s="112" t="s">
        <v>378</v>
      </c>
      <c r="AH46" s="113" t="n">
        <v>6</v>
      </c>
      <c r="AI46" s="39" t="n">
        <v>1</v>
      </c>
      <c r="AJ46" s="112" t="s">
        <v>398</v>
      </c>
      <c r="AK46" s="112" t="s">
        <v>399</v>
      </c>
      <c r="AL46" s="112" t="s">
        <v>378</v>
      </c>
      <c r="AM46" s="32"/>
      <c r="AN46" s="32"/>
      <c r="AO46" s="32"/>
      <c r="AP46" s="32"/>
      <c r="AQ46" s="32"/>
      <c r="AR46" s="32"/>
      <c r="AS46" s="39" t="n">
        <v>6</v>
      </c>
      <c r="AT46" s="39" t="n">
        <v>1</v>
      </c>
      <c r="AU46" s="114" t="s">
        <v>390</v>
      </c>
      <c r="AV46" s="114" t="s">
        <v>391</v>
      </c>
      <c r="AW46" s="114" t="s">
        <v>383</v>
      </c>
      <c r="AX46" s="114" t="s">
        <v>384</v>
      </c>
      <c r="AY46" s="32"/>
      <c r="AZ46" s="32"/>
      <c r="BA46" s="32"/>
      <c r="BB46" s="32"/>
      <c r="BC46" s="32"/>
      <c r="BD46" s="32"/>
      <c r="BE46" s="114"/>
      <c r="BF46" s="32"/>
      <c r="BG46" s="32"/>
      <c r="BH46" s="32"/>
      <c r="BI46" s="32"/>
      <c r="BJ46" s="32"/>
    </row>
    <row r="47" customFormat="false" ht="12.8" hidden="false" customHeight="false" outlineLevel="0" collapsed="false">
      <c r="A47" s="32" t="s">
        <v>52</v>
      </c>
      <c r="B47" s="32" t="s">
        <v>98</v>
      </c>
      <c r="C47" s="32" t="s">
        <v>132</v>
      </c>
      <c r="D47" s="32" t="s">
        <v>136</v>
      </c>
      <c r="E47" s="110" t="s">
        <v>87</v>
      </c>
      <c r="F47" s="32" t="s">
        <v>137</v>
      </c>
      <c r="G47" s="32"/>
      <c r="H47" s="39" t="n">
        <v>3500</v>
      </c>
      <c r="I47" s="37" t="n">
        <v>950</v>
      </c>
      <c r="J47" s="39" t="n">
        <f aca="false">I47*5</f>
        <v>0</v>
      </c>
      <c r="K47" s="32"/>
      <c r="L47" s="37" t="n">
        <f aca="false">IF(S47,1,0)+IF(AA47,1,0)+AD47+AI47+AN47+AT47+AZ47+BF47</f>
        <v>0</v>
      </c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115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</row>
    <row r="48" customFormat="false" ht="12.8" hidden="false" customHeight="false" outlineLevel="0" collapsed="false">
      <c r="A48" s="32" t="s">
        <v>52</v>
      </c>
      <c r="B48" s="32" t="s">
        <v>98</v>
      </c>
      <c r="C48" s="32" t="s">
        <v>132</v>
      </c>
      <c r="D48" s="32" t="s">
        <v>138</v>
      </c>
      <c r="E48" s="110" t="s">
        <v>88</v>
      </c>
      <c r="F48" s="33" t="s">
        <v>139</v>
      </c>
      <c r="G48" s="32"/>
      <c r="H48" s="39" t="n">
        <v>3500</v>
      </c>
      <c r="I48" s="37" t="n">
        <v>1100</v>
      </c>
      <c r="J48" s="39" t="n">
        <f aca="false">I48*5</f>
        <v>0</v>
      </c>
      <c r="K48" s="37" t="n">
        <v>2</v>
      </c>
      <c r="L48" s="37" t="n">
        <f aca="false">IF(S48,1,0)+IF(AA48,1,0)+AD48+AI48+AN48+AT48+AZ48+BF48</f>
        <v>0</v>
      </c>
      <c r="M48" s="37"/>
      <c r="N48" s="32"/>
      <c r="O48" s="37"/>
      <c r="P48" s="37"/>
      <c r="Q48" s="37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115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</row>
    <row r="49" customFormat="false" ht="12.8" hidden="false" customHeight="false" outlineLevel="0" collapsed="false">
      <c r="A49" s="32" t="s">
        <v>52</v>
      </c>
      <c r="B49" s="32" t="s">
        <v>158</v>
      </c>
      <c r="C49" s="32" t="s">
        <v>168</v>
      </c>
      <c r="D49" s="32" t="s">
        <v>169</v>
      </c>
      <c r="E49" s="110" t="s">
        <v>89</v>
      </c>
      <c r="F49" s="32" t="s">
        <v>170</v>
      </c>
      <c r="G49" s="32"/>
      <c r="H49" s="39" t="n">
        <v>3500</v>
      </c>
      <c r="I49" s="37" t="n">
        <v>900</v>
      </c>
      <c r="J49" s="39" t="n">
        <f aca="false">I49*5</f>
        <v>0</v>
      </c>
      <c r="K49" s="37" t="n">
        <v>2</v>
      </c>
      <c r="L49" s="37" t="n">
        <f aca="false">IF(S49,1,0)+IF(AA49,1,0)+AD49+AI49+AN49+AT49+AZ49+BF49</f>
        <v>0</v>
      </c>
      <c r="M49" s="37"/>
      <c r="N49" s="32"/>
      <c r="O49" s="37"/>
      <c r="P49" s="37"/>
      <c r="Q49" s="37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113" t="n">
        <v>6</v>
      </c>
      <c r="AD49" s="39" t="n">
        <v>2</v>
      </c>
      <c r="AE49" s="112" t="s">
        <v>398</v>
      </c>
      <c r="AF49" s="112" t="s">
        <v>399</v>
      </c>
      <c r="AG49" s="112" t="s">
        <v>378</v>
      </c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</row>
    <row r="50" customFormat="false" ht="12.8" hidden="false" customHeight="false" outlineLevel="0" collapsed="false">
      <c r="A50" s="32" t="s">
        <v>52</v>
      </c>
      <c r="B50" s="32" t="s">
        <v>158</v>
      </c>
      <c r="C50" s="32" t="s">
        <v>168</v>
      </c>
      <c r="D50" s="32" t="s">
        <v>162</v>
      </c>
      <c r="E50" s="110" t="s">
        <v>87</v>
      </c>
      <c r="F50" s="32" t="s">
        <v>163</v>
      </c>
      <c r="G50" s="32"/>
      <c r="H50" s="39" t="n">
        <v>3500</v>
      </c>
      <c r="I50" s="37" t="n">
        <v>900</v>
      </c>
      <c r="J50" s="39" t="n">
        <f aca="false">I50*5</f>
        <v>0</v>
      </c>
      <c r="K50" s="37" t="n">
        <v>2</v>
      </c>
      <c r="L50" s="37" t="n">
        <f aca="false">IF(S50,1,0)+IF(AA50,1,0)+AD50+AI50+AN50+AT50+AZ50+BF50</f>
        <v>0</v>
      </c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115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</row>
    <row r="51" customFormat="false" ht="12.8" hidden="false" customHeight="false" outlineLevel="0" collapsed="false">
      <c r="A51" s="32" t="s">
        <v>52</v>
      </c>
      <c r="B51" s="32" t="s">
        <v>158</v>
      </c>
      <c r="C51" s="32" t="s">
        <v>164</v>
      </c>
      <c r="D51" s="32" t="s">
        <v>161</v>
      </c>
      <c r="E51" s="110" t="s">
        <v>89</v>
      </c>
      <c r="F51" s="32" t="s">
        <v>165</v>
      </c>
      <c r="G51" s="32"/>
      <c r="H51" s="39" t="n">
        <v>3500</v>
      </c>
      <c r="I51" s="37" t="n">
        <v>1000</v>
      </c>
      <c r="J51" s="39" t="n">
        <f aca="false">I51*5</f>
        <v>0</v>
      </c>
      <c r="K51" s="37" t="n">
        <v>2</v>
      </c>
      <c r="L51" s="37" t="n">
        <f aca="false">IF(S51,1,0)+IF(AA51,1,0)+AD51+AI51+AN51+AT51+AZ51+BF51</f>
        <v>0</v>
      </c>
      <c r="M51" s="37"/>
      <c r="N51" s="32"/>
      <c r="O51" s="37"/>
      <c r="P51" s="37"/>
      <c r="Q51" s="37"/>
      <c r="R51" s="32"/>
      <c r="S51" s="32"/>
      <c r="T51" s="32"/>
      <c r="U51" s="32"/>
      <c r="V51" s="32"/>
      <c r="W51" s="32"/>
      <c r="X51" s="32"/>
      <c r="Y51" s="32"/>
      <c r="Z51" s="33" t="s">
        <v>405</v>
      </c>
      <c r="AA51" s="39" t="n">
        <v>6</v>
      </c>
      <c r="AB51" s="33" t="s">
        <v>406</v>
      </c>
      <c r="AC51" s="113" t="n">
        <v>6</v>
      </c>
      <c r="AD51" s="39" t="n">
        <v>1</v>
      </c>
      <c r="AE51" s="112" t="s">
        <v>398</v>
      </c>
      <c r="AF51" s="112" t="s">
        <v>399</v>
      </c>
      <c r="AG51" s="112" t="s">
        <v>378</v>
      </c>
      <c r="AH51" s="113" t="n">
        <v>6</v>
      </c>
      <c r="AI51" s="39" t="n">
        <v>1</v>
      </c>
      <c r="AJ51" s="112" t="s">
        <v>398</v>
      </c>
      <c r="AK51" s="112" t="s">
        <v>399</v>
      </c>
      <c r="AL51" s="112" t="s">
        <v>378</v>
      </c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</row>
    <row r="52" customFormat="false" ht="12.8" hidden="false" customHeight="false" outlineLevel="0" collapsed="false">
      <c r="A52" s="32" t="s">
        <v>52</v>
      </c>
      <c r="B52" s="32" t="s">
        <v>158</v>
      </c>
      <c r="C52" s="32" t="s">
        <v>164</v>
      </c>
      <c r="D52" s="32" t="s">
        <v>166</v>
      </c>
      <c r="E52" s="110" t="s">
        <v>87</v>
      </c>
      <c r="F52" s="32" t="s">
        <v>109</v>
      </c>
      <c r="G52" s="32"/>
      <c r="H52" s="39" t="n">
        <v>3500</v>
      </c>
      <c r="I52" s="37" t="n">
        <v>1000</v>
      </c>
      <c r="J52" s="39" t="n">
        <f aca="false">I52*5</f>
        <v>0</v>
      </c>
      <c r="K52" s="32"/>
      <c r="L52" s="37" t="n">
        <f aca="false">IF(S52,1,0)+IF(AA52,1,0)+AD52+AI52+AN52+AT52+AZ52+BF52</f>
        <v>0</v>
      </c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115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</row>
    <row r="53" customFormat="false" ht="12.8" hidden="false" customHeight="false" outlineLevel="0" collapsed="false">
      <c r="A53" s="32" t="s">
        <v>52</v>
      </c>
      <c r="B53" s="32" t="s">
        <v>158</v>
      </c>
      <c r="C53" s="32" t="s">
        <v>164</v>
      </c>
      <c r="D53" s="32" t="s">
        <v>167</v>
      </c>
      <c r="E53" s="110" t="s">
        <v>88</v>
      </c>
      <c r="F53" s="32" t="s">
        <v>163</v>
      </c>
      <c r="G53" s="32"/>
      <c r="H53" s="39" t="n">
        <v>3500</v>
      </c>
      <c r="I53" s="37" t="n">
        <v>1000</v>
      </c>
      <c r="J53" s="39" t="n">
        <f aca="false">I53*5</f>
        <v>0</v>
      </c>
      <c r="K53" s="37" t="n">
        <v>2</v>
      </c>
      <c r="L53" s="37" t="n">
        <f aca="false">IF(S53,1,0)+IF(AA53,1,0)+AD53+AI53+AN53+AT53+AZ53+BF53</f>
        <v>0</v>
      </c>
      <c r="M53" s="37"/>
      <c r="N53" s="32"/>
      <c r="O53" s="37"/>
      <c r="P53" s="37"/>
      <c r="Q53" s="37"/>
      <c r="R53" s="32"/>
      <c r="S53" s="32"/>
      <c r="T53" s="32"/>
      <c r="U53" s="32"/>
      <c r="V53" s="32"/>
      <c r="W53" s="32"/>
      <c r="X53" s="32"/>
      <c r="Y53" s="32"/>
      <c r="Z53" s="33" t="s">
        <v>405</v>
      </c>
      <c r="AA53" s="39" t="n">
        <v>6</v>
      </c>
      <c r="AB53" s="33" t="s">
        <v>406</v>
      </c>
      <c r="AC53" s="113" t="n">
        <v>6</v>
      </c>
      <c r="AD53" s="39" t="n">
        <v>1</v>
      </c>
      <c r="AE53" s="112" t="s">
        <v>398</v>
      </c>
      <c r="AF53" s="112" t="s">
        <v>399</v>
      </c>
      <c r="AG53" s="112" t="s">
        <v>378</v>
      </c>
      <c r="AH53" s="113" t="n">
        <v>6</v>
      </c>
      <c r="AI53" s="39" t="n">
        <v>1</v>
      </c>
      <c r="AJ53" s="112" t="s">
        <v>398</v>
      </c>
      <c r="AK53" s="112" t="s">
        <v>399</v>
      </c>
      <c r="AL53" s="112" t="s">
        <v>378</v>
      </c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</row>
    <row r="54" customFormat="false" ht="12.8" hidden="false" customHeight="false" outlineLevel="0" collapsed="false">
      <c r="A54" s="32" t="s">
        <v>52</v>
      </c>
      <c r="B54" s="33" t="s">
        <v>93</v>
      </c>
      <c r="C54" s="47" t="s">
        <v>189</v>
      </c>
      <c r="D54" s="33" t="s">
        <v>190</v>
      </c>
      <c r="E54" s="110" t="s">
        <v>89</v>
      </c>
      <c r="F54" s="32" t="s">
        <v>101</v>
      </c>
      <c r="G54" s="39"/>
      <c r="H54" s="39" t="n">
        <v>3500</v>
      </c>
      <c r="I54" s="37" t="n">
        <v>1000</v>
      </c>
      <c r="J54" s="39" t="n">
        <f aca="false">I54*5</f>
        <v>0</v>
      </c>
      <c r="K54" s="37" t="n">
        <v>2</v>
      </c>
      <c r="L54" s="37" t="n">
        <f aca="false">IF(S54,1,0)+IF(AA54,1,0)+AD54+AI54+AN54+AT54+AZ54+BF54</f>
        <v>0</v>
      </c>
      <c r="M54" s="37"/>
      <c r="N54" s="37"/>
      <c r="O54" s="37"/>
      <c r="P54" s="37"/>
      <c r="Q54" s="37"/>
      <c r="R54" s="112"/>
      <c r="S54" s="39"/>
      <c r="T54" s="39"/>
      <c r="U54" s="39"/>
      <c r="V54" s="39"/>
      <c r="W54" s="39"/>
      <c r="X54" s="39"/>
      <c r="Y54" s="39"/>
      <c r="Z54" s="112"/>
      <c r="AA54" s="112"/>
      <c r="AB54" s="32"/>
      <c r="AC54" s="113" t="n">
        <v>6</v>
      </c>
      <c r="AD54" s="39" t="n">
        <v>1</v>
      </c>
      <c r="AE54" s="112" t="s">
        <v>398</v>
      </c>
      <c r="AF54" s="112" t="s">
        <v>399</v>
      </c>
      <c r="AG54" s="112" t="s">
        <v>378</v>
      </c>
      <c r="AH54" s="113" t="n">
        <v>6</v>
      </c>
      <c r="AI54" s="39" t="n">
        <v>1</v>
      </c>
      <c r="AJ54" s="112" t="s">
        <v>398</v>
      </c>
      <c r="AK54" s="112" t="s">
        <v>399</v>
      </c>
      <c r="AL54" s="112" t="s">
        <v>378</v>
      </c>
      <c r="AM54" s="32"/>
      <c r="AN54" s="32"/>
      <c r="AO54" s="32"/>
      <c r="AP54" s="32"/>
      <c r="AQ54" s="32"/>
      <c r="AR54" s="32"/>
      <c r="AS54" s="39" t="n">
        <v>6</v>
      </c>
      <c r="AT54" s="39" t="n">
        <v>1</v>
      </c>
      <c r="AU54" s="114" t="s">
        <v>407</v>
      </c>
      <c r="AV54" s="114" t="s">
        <v>408</v>
      </c>
      <c r="AW54" s="112" t="s">
        <v>384</v>
      </c>
      <c r="AX54" s="112"/>
      <c r="AY54" s="32"/>
      <c r="AZ54" s="32"/>
      <c r="BA54" s="32"/>
      <c r="BB54" s="32"/>
      <c r="BC54" s="32"/>
      <c r="BD54" s="32"/>
      <c r="BE54" s="112"/>
      <c r="BF54" s="32"/>
      <c r="BG54" s="32"/>
      <c r="BH54" s="32"/>
      <c r="BI54" s="32"/>
      <c r="BJ54" s="32"/>
    </row>
    <row r="55" customFormat="false" ht="12.8" hidden="false" customHeight="false" outlineLevel="0" collapsed="false">
      <c r="A55" s="32" t="s">
        <v>52</v>
      </c>
      <c r="B55" s="33" t="s">
        <v>93</v>
      </c>
      <c r="C55" s="47" t="s">
        <v>189</v>
      </c>
      <c r="D55" s="33" t="s">
        <v>191</v>
      </c>
      <c r="E55" s="110" t="s">
        <v>87</v>
      </c>
      <c r="F55" s="32" t="s">
        <v>192</v>
      </c>
      <c r="G55" s="39"/>
      <c r="H55" s="39" t="n">
        <v>3500</v>
      </c>
      <c r="I55" s="37" t="n">
        <v>1000</v>
      </c>
      <c r="J55" s="39" t="n">
        <f aca="false">I55*5</f>
        <v>0</v>
      </c>
      <c r="K55" s="37" t="n">
        <v>3</v>
      </c>
      <c r="L55" s="37" t="n">
        <f aca="false">IF(S55,1,0)+IF(AA55,1,0)+AD55+AI55+AN55+AT55+AZ55+BF55</f>
        <v>0</v>
      </c>
      <c r="M55" s="37"/>
      <c r="N55" s="37"/>
      <c r="O55" s="37"/>
      <c r="P55" s="37"/>
      <c r="Q55" s="37"/>
      <c r="R55" s="112"/>
      <c r="S55" s="39"/>
      <c r="T55" s="39"/>
      <c r="U55" s="39"/>
      <c r="V55" s="39"/>
      <c r="W55" s="39"/>
      <c r="X55" s="39"/>
      <c r="Y55" s="39"/>
      <c r="Z55" s="112"/>
      <c r="AA55" s="112"/>
      <c r="AB55" s="32"/>
      <c r="AC55" s="113" t="n">
        <v>6</v>
      </c>
      <c r="AD55" s="39" t="n">
        <v>2</v>
      </c>
      <c r="AE55" s="112" t="s">
        <v>398</v>
      </c>
      <c r="AF55" s="112" t="s">
        <v>399</v>
      </c>
      <c r="AG55" s="112" t="s">
        <v>378</v>
      </c>
      <c r="AH55" s="113" t="n">
        <v>6</v>
      </c>
      <c r="AI55" s="39" t="n">
        <v>2</v>
      </c>
      <c r="AJ55" s="112" t="s">
        <v>398</v>
      </c>
      <c r="AK55" s="112" t="s">
        <v>399</v>
      </c>
      <c r="AL55" s="112" t="s">
        <v>378</v>
      </c>
      <c r="AM55" s="32"/>
      <c r="AN55" s="32"/>
      <c r="AO55" s="32"/>
      <c r="AP55" s="32"/>
      <c r="AQ55" s="32"/>
      <c r="AR55" s="32"/>
      <c r="AS55" s="112"/>
      <c r="AT55" s="39"/>
      <c r="AU55" s="114"/>
      <c r="AV55" s="114"/>
      <c r="AW55" s="112"/>
      <c r="AX55" s="112"/>
      <c r="AY55" s="32"/>
      <c r="AZ55" s="32"/>
      <c r="BA55" s="32"/>
      <c r="BB55" s="32"/>
      <c r="BC55" s="32"/>
      <c r="BD55" s="32"/>
      <c r="BE55" s="112"/>
      <c r="BF55" s="32"/>
      <c r="BG55" s="32"/>
      <c r="BH55" s="32"/>
      <c r="BI55" s="32"/>
      <c r="BJ55" s="32"/>
    </row>
    <row r="56" customFormat="false" ht="12.8" hidden="false" customHeight="false" outlineLevel="0" collapsed="false">
      <c r="A56" s="32" t="s">
        <v>52</v>
      </c>
      <c r="B56" s="33" t="s">
        <v>93</v>
      </c>
      <c r="C56" s="47" t="s">
        <v>189</v>
      </c>
      <c r="D56" s="33" t="s">
        <v>193</v>
      </c>
      <c r="E56" s="110" t="s">
        <v>88</v>
      </c>
      <c r="F56" s="32" t="s">
        <v>194</v>
      </c>
      <c r="G56" s="39"/>
      <c r="H56" s="39" t="n">
        <v>3500</v>
      </c>
      <c r="I56" s="37" t="n">
        <v>1100</v>
      </c>
      <c r="J56" s="39" t="n">
        <f aca="false">I56*5</f>
        <v>0</v>
      </c>
      <c r="K56" s="37" t="n">
        <v>3</v>
      </c>
      <c r="L56" s="37" t="n">
        <f aca="false">IF(S56,1,0)+IF(AA56,1,0)+AD56+AI56+AN56+AT56+AZ56+BF56</f>
        <v>0</v>
      </c>
      <c r="M56" s="37"/>
      <c r="N56" s="37"/>
      <c r="O56" s="37"/>
      <c r="P56" s="37"/>
      <c r="Q56" s="37"/>
      <c r="R56" s="112"/>
      <c r="S56" s="39"/>
      <c r="T56" s="39"/>
      <c r="U56" s="39"/>
      <c r="V56" s="39"/>
      <c r="W56" s="39"/>
      <c r="X56" s="39"/>
      <c r="Y56" s="39"/>
      <c r="Z56" s="112"/>
      <c r="AA56" s="112"/>
      <c r="AB56" s="32"/>
      <c r="AC56" s="113" t="n">
        <v>6</v>
      </c>
      <c r="AD56" s="39" t="n">
        <v>2</v>
      </c>
      <c r="AE56" s="112" t="s">
        <v>398</v>
      </c>
      <c r="AF56" s="112" t="s">
        <v>399</v>
      </c>
      <c r="AG56" s="112" t="s">
        <v>378</v>
      </c>
      <c r="AH56" s="113" t="n">
        <v>6</v>
      </c>
      <c r="AI56" s="39" t="n">
        <v>2</v>
      </c>
      <c r="AJ56" s="112" t="s">
        <v>398</v>
      </c>
      <c r="AK56" s="112" t="s">
        <v>399</v>
      </c>
      <c r="AL56" s="112" t="s">
        <v>378</v>
      </c>
      <c r="AM56" s="32"/>
      <c r="AN56" s="32"/>
      <c r="AO56" s="32"/>
      <c r="AP56" s="32"/>
      <c r="AQ56" s="32"/>
      <c r="AR56" s="32"/>
      <c r="AS56" s="112"/>
      <c r="AT56" s="39"/>
      <c r="AU56" s="114"/>
      <c r="AV56" s="114"/>
      <c r="AW56" s="112"/>
      <c r="AX56" s="112"/>
      <c r="AY56" s="32"/>
      <c r="AZ56" s="32"/>
      <c r="BA56" s="32"/>
      <c r="BB56" s="32"/>
      <c r="BC56" s="32"/>
      <c r="BD56" s="32"/>
      <c r="BE56" s="112"/>
      <c r="BF56" s="32"/>
      <c r="BG56" s="32"/>
      <c r="BH56" s="32"/>
      <c r="BI56" s="32"/>
      <c r="BJ56" s="32"/>
    </row>
    <row r="57" customFormat="false" ht="12.8" hidden="false" customHeight="false" outlineLevel="0" collapsed="false">
      <c r="A57" s="32" t="s">
        <v>52</v>
      </c>
      <c r="B57" s="33" t="s">
        <v>93</v>
      </c>
      <c r="C57" s="47" t="s">
        <v>189</v>
      </c>
      <c r="D57" s="33" t="s">
        <v>193</v>
      </c>
      <c r="E57" s="110" t="s">
        <v>88</v>
      </c>
      <c r="F57" s="32" t="s">
        <v>194</v>
      </c>
      <c r="G57" s="105" t="s">
        <v>409</v>
      </c>
      <c r="H57" s="39" t="n">
        <v>3500</v>
      </c>
      <c r="I57" s="37"/>
      <c r="J57" s="39"/>
      <c r="K57" s="37" t="n">
        <v>2</v>
      </c>
      <c r="L57" s="37" t="n">
        <f aca="false">IF(S57,1,0)+IF(AA57,1,0)+AD57+AI57+AN57+AT57+AZ57+BF57</f>
        <v>0</v>
      </c>
      <c r="M57" s="37"/>
      <c r="N57" s="41" t="n">
        <v>0.2</v>
      </c>
      <c r="O57" s="37"/>
      <c r="P57" s="37"/>
      <c r="Q57" s="37"/>
      <c r="R57" s="112"/>
      <c r="S57" s="39"/>
      <c r="T57" s="39"/>
      <c r="U57" s="39"/>
      <c r="V57" s="39"/>
      <c r="W57" s="39"/>
      <c r="X57" s="39"/>
      <c r="Y57" s="39"/>
      <c r="Z57" s="114"/>
      <c r="AA57" s="114"/>
      <c r="AB57" s="32"/>
      <c r="AC57" s="109"/>
      <c r="AD57" s="39"/>
      <c r="AE57" s="112"/>
      <c r="AF57" s="112"/>
      <c r="AG57" s="112"/>
      <c r="AH57" s="112"/>
      <c r="AI57" s="39"/>
      <c r="AJ57" s="112"/>
      <c r="AK57" s="112"/>
      <c r="AL57" s="112"/>
      <c r="AM57" s="32"/>
      <c r="AN57" s="32"/>
      <c r="AO57" s="32"/>
      <c r="AP57" s="32"/>
      <c r="AQ57" s="32"/>
      <c r="AR57" s="32"/>
      <c r="AS57" s="39" t="n">
        <v>4</v>
      </c>
      <c r="AT57" s="39" t="n">
        <v>2</v>
      </c>
      <c r="AU57" s="114" t="s">
        <v>390</v>
      </c>
      <c r="AV57" s="114" t="s">
        <v>391</v>
      </c>
      <c r="AW57" s="114" t="s">
        <v>410</v>
      </c>
      <c r="AX57" s="114" t="s">
        <v>411</v>
      </c>
      <c r="AY57" s="32"/>
      <c r="AZ57" s="32"/>
      <c r="BA57" s="32"/>
      <c r="BB57" s="32"/>
      <c r="BC57" s="32"/>
      <c r="BD57" s="32"/>
      <c r="BE57" s="114"/>
      <c r="BF57" s="32"/>
      <c r="BG57" s="32"/>
      <c r="BH57" s="32"/>
      <c r="BI57" s="32"/>
      <c r="BJ57" s="32"/>
    </row>
    <row r="58" customFormat="false" ht="12.8" hidden="false" customHeight="false" outlineLevel="0" collapsed="false">
      <c r="A58" s="32" t="s">
        <v>52</v>
      </c>
      <c r="B58" s="33" t="s">
        <v>81</v>
      </c>
      <c r="C58" s="33" t="s">
        <v>181</v>
      </c>
      <c r="D58" s="33" t="s">
        <v>182</v>
      </c>
      <c r="E58" s="47" t="s">
        <v>89</v>
      </c>
      <c r="F58" s="33" t="s">
        <v>183</v>
      </c>
      <c r="G58" s="32"/>
      <c r="H58" s="39" t="n">
        <v>3500</v>
      </c>
      <c r="I58" s="37" t="n">
        <v>1100</v>
      </c>
      <c r="J58" s="39" t="n">
        <f aca="false">I58*5</f>
        <v>0</v>
      </c>
      <c r="K58" s="37" t="n">
        <v>3</v>
      </c>
      <c r="L58" s="37" t="n">
        <f aca="false">IF(S58,1,0)+IF(AA58,1,0)+AD58+AI58+AN58+AT58+AZ58+BF58</f>
        <v>0</v>
      </c>
      <c r="M58" s="37"/>
      <c r="N58" s="32"/>
      <c r="O58" s="37"/>
      <c r="P58" s="37"/>
      <c r="Q58" s="37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113" t="n">
        <v>6</v>
      </c>
      <c r="AD58" s="39" t="n">
        <v>2</v>
      </c>
      <c r="AE58" s="112" t="s">
        <v>398</v>
      </c>
      <c r="AF58" s="112" t="s">
        <v>399</v>
      </c>
      <c r="AG58" s="112" t="s">
        <v>378</v>
      </c>
      <c r="AH58" s="113" t="n">
        <v>6</v>
      </c>
      <c r="AI58" s="39" t="n">
        <v>2</v>
      </c>
      <c r="AJ58" s="112" t="s">
        <v>398</v>
      </c>
      <c r="AK58" s="112" t="s">
        <v>399</v>
      </c>
      <c r="AL58" s="112" t="s">
        <v>378</v>
      </c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</row>
    <row r="59" customFormat="false" ht="12.8" hidden="false" customHeight="false" outlineLevel="0" collapsed="false">
      <c r="A59" s="36" t="s">
        <v>52</v>
      </c>
      <c r="B59" s="33" t="s">
        <v>81</v>
      </c>
      <c r="C59" s="33" t="s">
        <v>181</v>
      </c>
      <c r="D59" s="33" t="s">
        <v>184</v>
      </c>
      <c r="E59" s="47" t="s">
        <v>87</v>
      </c>
      <c r="F59" s="33" t="s">
        <v>121</v>
      </c>
      <c r="G59" s="32"/>
      <c r="H59" s="39" t="n">
        <v>3500</v>
      </c>
      <c r="I59" s="37" t="n">
        <v>2000</v>
      </c>
      <c r="J59" s="39" t="n">
        <f aca="false">I59*5</f>
        <v>0</v>
      </c>
      <c r="K59" s="37" t="n">
        <v>3</v>
      </c>
      <c r="L59" s="37" t="n">
        <f aca="false">IF(S59,1,0)+IF(AA59,1,0)+AD59+AI59+AN59+AT59+AZ59+BF59</f>
        <v>0</v>
      </c>
      <c r="M59" s="37"/>
      <c r="N59" s="32"/>
      <c r="O59" s="37"/>
      <c r="P59" s="37"/>
      <c r="Q59" s="37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113" t="n">
        <v>6</v>
      </c>
      <c r="AD59" s="39" t="n">
        <v>2</v>
      </c>
      <c r="AE59" s="112" t="s">
        <v>398</v>
      </c>
      <c r="AF59" s="112" t="s">
        <v>399</v>
      </c>
      <c r="AG59" s="112" t="s">
        <v>378</v>
      </c>
      <c r="AH59" s="113" t="n">
        <v>6</v>
      </c>
      <c r="AI59" s="39" t="n">
        <v>2</v>
      </c>
      <c r="AJ59" s="112" t="s">
        <v>398</v>
      </c>
      <c r="AK59" s="112" t="s">
        <v>399</v>
      </c>
      <c r="AL59" s="112" t="s">
        <v>378</v>
      </c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</row>
    <row r="60" customFormat="false" ht="12.8" hidden="false" customHeight="false" outlineLevel="0" collapsed="false">
      <c r="A60" s="32" t="s">
        <v>52</v>
      </c>
      <c r="B60" s="33" t="s">
        <v>113</v>
      </c>
      <c r="C60" s="33" t="s">
        <v>146</v>
      </c>
      <c r="D60" s="33" t="s">
        <v>147</v>
      </c>
      <c r="E60" s="47" t="s">
        <v>89</v>
      </c>
      <c r="F60" s="32" t="s">
        <v>148</v>
      </c>
      <c r="G60" s="32"/>
      <c r="H60" s="39" t="n">
        <v>3500</v>
      </c>
      <c r="I60" s="37" t="n">
        <v>1100</v>
      </c>
      <c r="J60" s="39" t="n">
        <f aca="false">I60*5</f>
        <v>0</v>
      </c>
      <c r="K60" s="37" t="n">
        <v>2</v>
      </c>
      <c r="L60" s="37" t="n">
        <f aca="false">IF(S60,1,0)+IF(AA60,1,0)+AD60+AI60+AN60+AT60+AZ60+BF60</f>
        <v>0</v>
      </c>
      <c r="M60" s="37"/>
      <c r="N60" s="32"/>
      <c r="O60" s="37"/>
      <c r="P60" s="37"/>
      <c r="Q60" s="37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113" t="n">
        <v>6</v>
      </c>
      <c r="AD60" s="39" t="n">
        <v>1</v>
      </c>
      <c r="AE60" s="112" t="s">
        <v>398</v>
      </c>
      <c r="AF60" s="112" t="s">
        <v>399</v>
      </c>
      <c r="AG60" s="112" t="s">
        <v>378</v>
      </c>
      <c r="AH60" s="113" t="n">
        <v>6</v>
      </c>
      <c r="AI60" s="39" t="n">
        <v>1</v>
      </c>
      <c r="AJ60" s="112" t="s">
        <v>398</v>
      </c>
      <c r="AK60" s="112" t="s">
        <v>399</v>
      </c>
      <c r="AL60" s="112" t="s">
        <v>378</v>
      </c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</row>
    <row r="61" customFormat="false" ht="12.8" hidden="false" customHeight="false" outlineLevel="0" collapsed="false">
      <c r="A61" s="32" t="s">
        <v>52</v>
      </c>
      <c r="B61" s="33" t="s">
        <v>113</v>
      </c>
      <c r="C61" s="33" t="s">
        <v>146</v>
      </c>
      <c r="D61" s="32" t="s">
        <v>149</v>
      </c>
      <c r="E61" s="47" t="s">
        <v>87</v>
      </c>
      <c r="F61" s="32" t="s">
        <v>143</v>
      </c>
      <c r="G61" s="32"/>
      <c r="H61" s="39" t="n">
        <v>3500</v>
      </c>
      <c r="I61" s="37" t="n">
        <v>950</v>
      </c>
      <c r="J61" s="39" t="n">
        <f aca="false">I61*5</f>
        <v>0</v>
      </c>
      <c r="K61" s="37" t="n">
        <v>2</v>
      </c>
      <c r="L61" s="37" t="n">
        <f aca="false">IF(S61,1,0)+IF(AA61,1,0)+AD61+AI61+AN61+AT61+AZ61+BF61</f>
        <v>0</v>
      </c>
      <c r="M61" s="37"/>
      <c r="N61" s="32"/>
      <c r="O61" s="37"/>
      <c r="P61" s="37"/>
      <c r="Q61" s="37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113" t="n">
        <v>6</v>
      </c>
      <c r="AD61" s="39" t="n">
        <v>1</v>
      </c>
      <c r="AE61" s="112" t="s">
        <v>398</v>
      </c>
      <c r="AF61" s="112" t="s">
        <v>399</v>
      </c>
      <c r="AG61" s="112" t="s">
        <v>378</v>
      </c>
      <c r="AH61" s="113" t="n">
        <v>6</v>
      </c>
      <c r="AI61" s="39" t="n">
        <v>1</v>
      </c>
      <c r="AJ61" s="112" t="s">
        <v>398</v>
      </c>
      <c r="AK61" s="112" t="s">
        <v>399</v>
      </c>
      <c r="AL61" s="112" t="s">
        <v>378</v>
      </c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</row>
    <row r="62" customFormat="false" ht="12.8" hidden="false" customHeight="false" outlineLevel="0" collapsed="false">
      <c r="A62" s="32" t="s">
        <v>52</v>
      </c>
      <c r="B62" s="33" t="s">
        <v>113</v>
      </c>
      <c r="C62" s="33" t="s">
        <v>155</v>
      </c>
      <c r="D62" s="32" t="s">
        <v>156</v>
      </c>
      <c r="E62" s="47" t="s">
        <v>89</v>
      </c>
      <c r="F62" s="32" t="s">
        <v>148</v>
      </c>
      <c r="G62" s="32"/>
      <c r="H62" s="39" t="n">
        <v>3500</v>
      </c>
      <c r="I62" s="37" t="n">
        <v>1050</v>
      </c>
      <c r="J62" s="39" t="n">
        <f aca="false">I62*5</f>
        <v>0</v>
      </c>
      <c r="K62" s="37" t="n">
        <v>2</v>
      </c>
      <c r="L62" s="37" t="n">
        <f aca="false">IF(S62,1,0)+IF(AA62,1,0)+AD62+AI62+AN62+AT62+AZ62+BF62</f>
        <v>0</v>
      </c>
      <c r="M62" s="37"/>
      <c r="N62" s="32"/>
      <c r="O62" s="37"/>
      <c r="P62" s="37"/>
      <c r="Q62" s="37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113" t="n">
        <v>6</v>
      </c>
      <c r="AD62" s="39" t="n">
        <v>1</v>
      </c>
      <c r="AE62" s="112" t="s">
        <v>398</v>
      </c>
      <c r="AF62" s="112" t="s">
        <v>399</v>
      </c>
      <c r="AG62" s="112" t="s">
        <v>378</v>
      </c>
      <c r="AH62" s="113" t="n">
        <v>6</v>
      </c>
      <c r="AI62" s="39" t="n">
        <v>1</v>
      </c>
      <c r="AJ62" s="112" t="s">
        <v>398</v>
      </c>
      <c r="AK62" s="112" t="s">
        <v>399</v>
      </c>
      <c r="AL62" s="112" t="s">
        <v>378</v>
      </c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</row>
    <row r="63" customFormat="false" ht="12.8" hidden="false" customHeight="false" outlineLevel="0" collapsed="false">
      <c r="A63" s="36" t="s">
        <v>52</v>
      </c>
      <c r="B63" s="33" t="s">
        <v>113</v>
      </c>
      <c r="C63" s="47" t="s">
        <v>151</v>
      </c>
      <c r="D63" s="33" t="s">
        <v>152</v>
      </c>
      <c r="E63" s="47" t="s">
        <v>89</v>
      </c>
      <c r="F63" s="33" t="s">
        <v>153</v>
      </c>
      <c r="G63" s="32"/>
      <c r="H63" s="39" t="n">
        <v>3500</v>
      </c>
      <c r="I63" s="37" t="n">
        <v>1050</v>
      </c>
      <c r="J63" s="39" t="n">
        <f aca="false">I63*5</f>
        <v>0</v>
      </c>
      <c r="K63" s="37" t="n">
        <v>2</v>
      </c>
      <c r="L63" s="37" t="n">
        <f aca="false">IF(S63,1,0)+IF(AA63,1,0)+AD63+AI63+AN63+AT63+AZ63+BF63</f>
        <v>0</v>
      </c>
      <c r="M63" s="37"/>
      <c r="N63" s="32"/>
      <c r="O63" s="37"/>
      <c r="P63" s="37"/>
      <c r="Q63" s="37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113" t="n">
        <v>6</v>
      </c>
      <c r="AD63" s="39" t="n">
        <v>1</v>
      </c>
      <c r="AE63" s="112" t="s">
        <v>398</v>
      </c>
      <c r="AF63" s="112" t="s">
        <v>399</v>
      </c>
      <c r="AG63" s="112" t="s">
        <v>378</v>
      </c>
      <c r="AH63" s="113" t="n">
        <v>6</v>
      </c>
      <c r="AI63" s="39" t="n">
        <v>1</v>
      </c>
      <c r="AJ63" s="112" t="s">
        <v>398</v>
      </c>
      <c r="AK63" s="112" t="s">
        <v>399</v>
      </c>
      <c r="AL63" s="112" t="s">
        <v>378</v>
      </c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</row>
    <row r="64" customFormat="false" ht="12.8" hidden="false" customHeight="false" outlineLevel="0" collapsed="false">
      <c r="A64" s="36" t="s">
        <v>52</v>
      </c>
      <c r="B64" s="33" t="s">
        <v>113</v>
      </c>
      <c r="C64" s="47" t="s">
        <v>151</v>
      </c>
      <c r="D64" s="33" t="s">
        <v>154</v>
      </c>
      <c r="E64" s="47" t="s">
        <v>87</v>
      </c>
      <c r="F64" s="33" t="s">
        <v>126</v>
      </c>
      <c r="G64" s="32"/>
      <c r="H64" s="39" t="n">
        <v>3500</v>
      </c>
      <c r="I64" s="37" t="n">
        <v>1050</v>
      </c>
      <c r="J64" s="39" t="n">
        <f aca="false">I64*5</f>
        <v>0</v>
      </c>
      <c r="K64" s="37" t="n">
        <v>2</v>
      </c>
      <c r="L64" s="37" t="n">
        <f aca="false">IF(S64,1,0)+IF(AA64,1,0)+AD64+AI64+AN64+AT64+AZ64+BF64</f>
        <v>0</v>
      </c>
      <c r="M64" s="37"/>
      <c r="N64" s="32"/>
      <c r="O64" s="37"/>
      <c r="P64" s="37"/>
      <c r="Q64" s="37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113" t="n">
        <v>6</v>
      </c>
      <c r="AD64" s="39" t="n">
        <v>1</v>
      </c>
      <c r="AE64" s="112" t="s">
        <v>398</v>
      </c>
      <c r="AF64" s="112" t="s">
        <v>399</v>
      </c>
      <c r="AG64" s="112" t="s">
        <v>378</v>
      </c>
      <c r="AH64" s="113" t="n">
        <v>6</v>
      </c>
      <c r="AI64" s="39" t="n">
        <v>1</v>
      </c>
      <c r="AJ64" s="112" t="s">
        <v>398</v>
      </c>
      <c r="AK64" s="112" t="s">
        <v>399</v>
      </c>
      <c r="AL64" s="112" t="s">
        <v>378</v>
      </c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</row>
    <row r="65" customFormat="false" ht="12.8" hidden="false" customHeight="false" outlineLevel="0" collapsed="false">
      <c r="A65" s="32" t="s">
        <v>53</v>
      </c>
      <c r="B65" s="32" t="s">
        <v>98</v>
      </c>
      <c r="C65" s="32" t="s">
        <v>217</v>
      </c>
      <c r="D65" s="32" t="s">
        <v>218</v>
      </c>
      <c r="E65" s="110" t="s">
        <v>89</v>
      </c>
      <c r="F65" s="32" t="s">
        <v>188</v>
      </c>
      <c r="G65" s="32"/>
      <c r="H65" s="39" t="n">
        <v>5500</v>
      </c>
      <c r="I65" s="37" t="n">
        <v>650</v>
      </c>
      <c r="J65" s="39" t="n">
        <f aca="false">I65*5</f>
        <v>0</v>
      </c>
      <c r="K65" s="37" t="n">
        <v>3</v>
      </c>
      <c r="L65" s="37" t="n">
        <f aca="false">IF(S65,1,0)+IF(AA65,1,0)+AD65+AI65+AN65+AT65+AZ65+BF65</f>
        <v>0</v>
      </c>
      <c r="M65" s="37"/>
      <c r="N65" s="32"/>
      <c r="O65" s="37"/>
      <c r="P65" s="37"/>
      <c r="Q65" s="37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113" t="n">
        <v>6</v>
      </c>
      <c r="AD65" s="39" t="n">
        <v>2</v>
      </c>
      <c r="AE65" s="112" t="s">
        <v>398</v>
      </c>
      <c r="AF65" s="112" t="s">
        <v>399</v>
      </c>
      <c r="AG65" s="112" t="s">
        <v>378</v>
      </c>
      <c r="AH65" s="113" t="n">
        <v>6</v>
      </c>
      <c r="AI65" s="39" t="n">
        <v>2</v>
      </c>
      <c r="AJ65" s="112" t="s">
        <v>398</v>
      </c>
      <c r="AK65" s="112" t="s">
        <v>399</v>
      </c>
      <c r="AL65" s="112" t="s">
        <v>378</v>
      </c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</row>
    <row r="66" customFormat="false" ht="12.8" hidden="false" customHeight="false" outlineLevel="0" collapsed="false">
      <c r="A66" s="32" t="s">
        <v>53</v>
      </c>
      <c r="B66" s="32" t="s">
        <v>98</v>
      </c>
      <c r="C66" s="32" t="s">
        <v>217</v>
      </c>
      <c r="D66" s="32" t="s">
        <v>219</v>
      </c>
      <c r="E66" s="110" t="s">
        <v>87</v>
      </c>
      <c r="F66" s="32" t="s">
        <v>210</v>
      </c>
      <c r="G66" s="32"/>
      <c r="H66" s="39" t="n">
        <v>5500</v>
      </c>
      <c r="I66" s="37" t="n">
        <v>650</v>
      </c>
      <c r="J66" s="39" t="n">
        <f aca="false">I66*5</f>
        <v>0</v>
      </c>
      <c r="K66" s="32"/>
      <c r="L66" s="37" t="n">
        <f aca="false">IF(S66,1,0)+IF(AA66,1,0)+AD66+AI66+AN66+AT66+AZ66+BF66</f>
        <v>0</v>
      </c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115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</row>
    <row r="67" customFormat="false" ht="12.8" hidden="false" customHeight="false" outlineLevel="0" collapsed="false">
      <c r="A67" s="32" t="s">
        <v>53</v>
      </c>
      <c r="B67" s="32" t="s">
        <v>98</v>
      </c>
      <c r="C67" s="32" t="s">
        <v>217</v>
      </c>
      <c r="D67" s="32" t="s">
        <v>220</v>
      </c>
      <c r="E67" s="110" t="s">
        <v>88</v>
      </c>
      <c r="F67" s="32" t="s">
        <v>109</v>
      </c>
      <c r="G67" s="32"/>
      <c r="H67" s="39" t="n">
        <v>5500</v>
      </c>
      <c r="I67" s="37" t="n">
        <v>650</v>
      </c>
      <c r="J67" s="39" t="n">
        <f aca="false">I67*5</f>
        <v>0</v>
      </c>
      <c r="K67" s="32"/>
      <c r="L67" s="37" t="n">
        <f aca="false">IF(S67,1,0)+IF(AA67,1,0)+AD67+AI67+AN67+AT67+AZ67+BF67</f>
        <v>0</v>
      </c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115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</row>
    <row r="68" customFormat="false" ht="12.8" hidden="false" customHeight="false" outlineLevel="0" collapsed="false">
      <c r="A68" s="32" t="s">
        <v>53</v>
      </c>
      <c r="B68" s="33" t="s">
        <v>81</v>
      </c>
      <c r="C68" s="33" t="s">
        <v>246</v>
      </c>
      <c r="D68" s="32" t="s">
        <v>222</v>
      </c>
      <c r="E68" s="110" t="s">
        <v>89</v>
      </c>
      <c r="F68" s="32" t="s">
        <v>188</v>
      </c>
      <c r="G68" s="32"/>
      <c r="H68" s="39" t="n">
        <v>5500</v>
      </c>
      <c r="I68" s="37" t="n">
        <v>700</v>
      </c>
      <c r="J68" s="39" t="n">
        <f aca="false">I68*5</f>
        <v>0</v>
      </c>
      <c r="K68" s="37" t="n">
        <v>2</v>
      </c>
      <c r="L68" s="37" t="n">
        <f aca="false">IF(S68,1,0)+IF(AA68,1,0)+AD68+AI68+AN68+AT68+AZ68+BF68</f>
        <v>0</v>
      </c>
      <c r="M68" s="37"/>
      <c r="N68" s="32"/>
      <c r="O68" s="37"/>
      <c r="P68" s="37"/>
      <c r="Q68" s="37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113" t="n">
        <v>6</v>
      </c>
      <c r="AD68" s="39" t="n">
        <v>2</v>
      </c>
      <c r="AE68" s="112" t="s">
        <v>398</v>
      </c>
      <c r="AF68" s="112" t="s">
        <v>399</v>
      </c>
      <c r="AG68" s="112" t="s">
        <v>378</v>
      </c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</row>
    <row r="69" customFormat="false" ht="12.8" hidden="false" customHeight="false" outlineLevel="0" collapsed="false">
      <c r="A69" s="32" t="s">
        <v>53</v>
      </c>
      <c r="B69" s="33" t="s">
        <v>81</v>
      </c>
      <c r="C69" s="33" t="s">
        <v>246</v>
      </c>
      <c r="D69" s="32" t="s">
        <v>236</v>
      </c>
      <c r="E69" s="110" t="s">
        <v>87</v>
      </c>
      <c r="F69" s="32" t="s">
        <v>237</v>
      </c>
      <c r="G69" s="32"/>
      <c r="H69" s="39" t="n">
        <v>5500</v>
      </c>
      <c r="I69" s="37" t="n">
        <v>700</v>
      </c>
      <c r="J69" s="39" t="n">
        <f aca="false">I69*5</f>
        <v>0</v>
      </c>
      <c r="K69" s="32"/>
      <c r="L69" s="37" t="n">
        <f aca="false">IF(S69,1,0)+IF(AA69,1,0)+AD69+AI69+AN69+AT69+AZ69+BF69</f>
        <v>0</v>
      </c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115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</row>
    <row r="70" customFormat="false" ht="12.8" hidden="false" customHeight="false" outlineLevel="0" collapsed="false">
      <c r="A70" s="32" t="s">
        <v>53</v>
      </c>
      <c r="B70" s="33" t="s">
        <v>81</v>
      </c>
      <c r="C70" s="32" t="s">
        <v>243</v>
      </c>
      <c r="D70" s="32" t="s">
        <v>244</v>
      </c>
      <c r="E70" s="110" t="s">
        <v>89</v>
      </c>
      <c r="F70" s="32" t="s">
        <v>112</v>
      </c>
      <c r="G70" s="32"/>
      <c r="H70" s="39" t="n">
        <v>5500</v>
      </c>
      <c r="I70" s="37" t="n">
        <v>650</v>
      </c>
      <c r="J70" s="39" t="n">
        <f aca="false">I70*5</f>
        <v>0</v>
      </c>
      <c r="K70" s="37" t="n">
        <v>4</v>
      </c>
      <c r="L70" s="37" t="n">
        <f aca="false">IF(S70,1,0)+IF(AA70,1,0)+AD70+AI70+AN70+AT70+AZ70+BF70</f>
        <v>0</v>
      </c>
      <c r="M70" s="37"/>
      <c r="N70" s="32"/>
      <c r="O70" s="37"/>
      <c r="P70" s="37"/>
      <c r="Q70" s="37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113" t="n">
        <v>6</v>
      </c>
      <c r="AD70" s="39" t="n">
        <v>2</v>
      </c>
      <c r="AE70" s="112" t="s">
        <v>398</v>
      </c>
      <c r="AF70" s="112" t="s">
        <v>399</v>
      </c>
      <c r="AG70" s="112" t="s">
        <v>378</v>
      </c>
      <c r="AH70" s="113" t="n">
        <v>6</v>
      </c>
      <c r="AI70" s="39" t="n">
        <v>1</v>
      </c>
      <c r="AJ70" s="112" t="s">
        <v>398</v>
      </c>
      <c r="AK70" s="112" t="s">
        <v>399</v>
      </c>
      <c r="AL70" s="112" t="s">
        <v>378</v>
      </c>
      <c r="AM70" s="32"/>
      <c r="AN70" s="32"/>
      <c r="AO70" s="32"/>
      <c r="AP70" s="32"/>
      <c r="AQ70" s="32"/>
      <c r="AR70" s="32"/>
      <c r="AS70" s="39" t="n">
        <v>6</v>
      </c>
      <c r="AT70" s="39" t="n">
        <v>2</v>
      </c>
      <c r="AU70" s="114" t="s">
        <v>390</v>
      </c>
      <c r="AV70" s="114" t="s">
        <v>391</v>
      </c>
      <c r="AW70" s="114" t="s">
        <v>383</v>
      </c>
      <c r="AX70" s="114" t="s">
        <v>384</v>
      </c>
      <c r="AY70" s="32"/>
      <c r="AZ70" s="32"/>
      <c r="BA70" s="32"/>
      <c r="BB70" s="32"/>
      <c r="BC70" s="32"/>
      <c r="BD70" s="32"/>
      <c r="BE70" s="114"/>
      <c r="BF70" s="32"/>
      <c r="BG70" s="32"/>
      <c r="BH70" s="32"/>
      <c r="BI70" s="32"/>
      <c r="BJ70" s="32"/>
    </row>
    <row r="71" customFormat="false" ht="12.8" hidden="false" customHeight="false" outlineLevel="0" collapsed="false">
      <c r="A71" s="32" t="s">
        <v>53</v>
      </c>
      <c r="B71" s="33" t="s">
        <v>81</v>
      </c>
      <c r="C71" s="32" t="s">
        <v>243</v>
      </c>
      <c r="D71" s="32" t="s">
        <v>245</v>
      </c>
      <c r="E71" s="110" t="s">
        <v>87</v>
      </c>
      <c r="F71" s="32" t="s">
        <v>170</v>
      </c>
      <c r="G71" s="32"/>
      <c r="H71" s="39" t="n">
        <v>5500</v>
      </c>
      <c r="I71" s="37" t="n">
        <v>650</v>
      </c>
      <c r="J71" s="39" t="n">
        <f aca="false">I71*5</f>
        <v>0</v>
      </c>
      <c r="K71" s="32"/>
      <c r="L71" s="37" t="n">
        <f aca="false">IF(S71,1,0)+IF(AA71,1,0)+AD71+AI71+AN71+AT71+AZ71+BF71</f>
        <v>0</v>
      </c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115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</row>
    <row r="72" customFormat="false" ht="12.8" hidden="false" customHeight="false" outlineLevel="0" collapsed="false">
      <c r="A72" s="32" t="s">
        <v>53</v>
      </c>
      <c r="B72" s="33" t="s">
        <v>81</v>
      </c>
      <c r="C72" s="32" t="s">
        <v>243</v>
      </c>
      <c r="D72" s="32" t="s">
        <v>225</v>
      </c>
      <c r="E72" s="110" t="s">
        <v>88</v>
      </c>
      <c r="F72" s="32" t="s">
        <v>180</v>
      </c>
      <c r="G72" s="32"/>
      <c r="H72" s="39" t="n">
        <v>5500</v>
      </c>
      <c r="I72" s="37" t="n">
        <v>650</v>
      </c>
      <c r="J72" s="39" t="n">
        <f aca="false">I72*5</f>
        <v>0</v>
      </c>
      <c r="K72" s="32"/>
      <c r="L72" s="37" t="n">
        <f aca="false">IF(S72,1,0)+IF(AA72,1,0)+AD72+AI72+AN72+AT72+AZ72+BF72</f>
        <v>0</v>
      </c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115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</row>
    <row r="73" customFormat="false" ht="12.8" hidden="false" customHeight="false" outlineLevel="0" collapsed="false">
      <c r="A73" s="32" t="s">
        <v>53</v>
      </c>
      <c r="B73" s="32" t="s">
        <v>158</v>
      </c>
      <c r="C73" s="32" t="s">
        <v>235</v>
      </c>
      <c r="D73" s="32" t="s">
        <v>236</v>
      </c>
      <c r="E73" s="110" t="s">
        <v>89</v>
      </c>
      <c r="F73" s="32" t="s">
        <v>237</v>
      </c>
      <c r="G73" s="32"/>
      <c r="H73" s="39" t="n">
        <v>5500</v>
      </c>
      <c r="I73" s="37" t="n">
        <v>850</v>
      </c>
      <c r="J73" s="39" t="n">
        <f aca="false">I73*5</f>
        <v>0</v>
      </c>
      <c r="K73" s="37" t="n">
        <v>2</v>
      </c>
      <c r="L73" s="37" t="n">
        <f aca="false">IF(S73,1,0)+IF(AA73,1,0)+AD73+AI73+AN73+AT73+AZ73+BF73</f>
        <v>0</v>
      </c>
      <c r="M73" s="37"/>
      <c r="N73" s="32"/>
      <c r="O73" s="37"/>
      <c r="P73" s="37"/>
      <c r="Q73" s="37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113" t="n">
        <v>6</v>
      </c>
      <c r="AD73" s="39" t="n">
        <v>1</v>
      </c>
      <c r="AE73" s="112" t="s">
        <v>398</v>
      </c>
      <c r="AF73" s="112" t="s">
        <v>399</v>
      </c>
      <c r="AG73" s="112" t="s">
        <v>378</v>
      </c>
      <c r="AH73" s="113" t="n">
        <v>6</v>
      </c>
      <c r="AI73" s="39" t="n">
        <v>2</v>
      </c>
      <c r="AJ73" s="112" t="s">
        <v>398</v>
      </c>
      <c r="AK73" s="112" t="s">
        <v>399</v>
      </c>
      <c r="AL73" s="112" t="s">
        <v>378</v>
      </c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</row>
    <row r="74" customFormat="false" ht="12.8" hidden="false" customHeight="false" outlineLevel="0" collapsed="false">
      <c r="A74" s="32" t="s">
        <v>53</v>
      </c>
      <c r="B74" s="32" t="s">
        <v>158</v>
      </c>
      <c r="C74" s="32" t="s">
        <v>235</v>
      </c>
      <c r="D74" s="32" t="s">
        <v>218</v>
      </c>
      <c r="E74" s="110" t="s">
        <v>87</v>
      </c>
      <c r="F74" s="32" t="s">
        <v>188</v>
      </c>
      <c r="G74" s="32"/>
      <c r="H74" s="39" t="n">
        <v>5500</v>
      </c>
      <c r="I74" s="37" t="n">
        <v>850</v>
      </c>
      <c r="J74" s="39" t="n">
        <f aca="false">I74*5</f>
        <v>0</v>
      </c>
      <c r="K74" s="37" t="n">
        <v>3</v>
      </c>
      <c r="L74" s="37" t="n">
        <f aca="false">IF(S74,1,0)+IF(AA74,1,0)+AD74+AI74+AN74+AT74+AZ74+BF74</f>
        <v>0</v>
      </c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115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</row>
    <row r="75" customFormat="false" ht="12.8" hidden="false" customHeight="false" outlineLevel="0" collapsed="false">
      <c r="A75" s="32" t="s">
        <v>53</v>
      </c>
      <c r="B75" s="32" t="s">
        <v>158</v>
      </c>
      <c r="C75" s="32" t="s">
        <v>235</v>
      </c>
      <c r="D75" s="32" t="s">
        <v>222</v>
      </c>
      <c r="E75" s="110" t="s">
        <v>88</v>
      </c>
      <c r="F75" s="32" t="s">
        <v>238</v>
      </c>
      <c r="G75" s="32"/>
      <c r="H75" s="39" t="n">
        <v>5500</v>
      </c>
      <c r="I75" s="37" t="n">
        <v>850</v>
      </c>
      <c r="J75" s="39" t="n">
        <f aca="false">I75*5</f>
        <v>0</v>
      </c>
      <c r="K75" s="37" t="n">
        <v>3</v>
      </c>
      <c r="L75" s="37" t="n">
        <f aca="false">IF(S75,1,0)+IF(AA75,1,0)+AD75+AI75+AN75+AT75+AZ75+BF75</f>
        <v>0</v>
      </c>
      <c r="M75" s="37"/>
      <c r="N75" s="32"/>
      <c r="O75" s="37"/>
      <c r="P75" s="37"/>
      <c r="Q75" s="37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115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</row>
    <row r="76" customFormat="false" ht="12.8" hidden="false" customHeight="false" outlineLevel="0" collapsed="false">
      <c r="A76" s="32" t="s">
        <v>53</v>
      </c>
      <c r="B76" s="33" t="s">
        <v>93</v>
      </c>
      <c r="C76" s="47" t="s">
        <v>250</v>
      </c>
      <c r="D76" s="33" t="s">
        <v>251</v>
      </c>
      <c r="E76" s="110" t="s">
        <v>89</v>
      </c>
      <c r="F76" s="32" t="s">
        <v>148</v>
      </c>
      <c r="G76" s="32"/>
      <c r="H76" s="39" t="n">
        <v>5500</v>
      </c>
      <c r="I76" s="37" t="n">
        <v>800</v>
      </c>
      <c r="J76" s="39" t="n">
        <f aca="false">I76*5</f>
        <v>0</v>
      </c>
      <c r="K76" s="37" t="n">
        <v>3</v>
      </c>
      <c r="L76" s="37" t="n">
        <f aca="false">IF(S76,1,0)+IF(AA76,1,0)+AD76+AI76+AN76+AT76+AZ76+BF76</f>
        <v>0</v>
      </c>
      <c r="M76" s="37"/>
      <c r="N76" s="32"/>
      <c r="O76" s="37"/>
      <c r="P76" s="37"/>
      <c r="Q76" s="37"/>
      <c r="R76" s="112"/>
      <c r="S76" s="39"/>
      <c r="T76" s="39"/>
      <c r="U76" s="39"/>
      <c r="V76" s="39"/>
      <c r="W76" s="39"/>
      <c r="X76" s="39"/>
      <c r="Y76" s="39"/>
      <c r="Z76" s="32"/>
      <c r="AA76" s="32"/>
      <c r="AB76" s="32"/>
      <c r="AC76" s="113" t="n">
        <v>6</v>
      </c>
      <c r="AD76" s="39" t="n">
        <v>2</v>
      </c>
      <c r="AE76" s="112" t="s">
        <v>398</v>
      </c>
      <c r="AF76" s="112" t="s">
        <v>399</v>
      </c>
      <c r="AG76" s="112" t="s">
        <v>378</v>
      </c>
      <c r="AH76" s="113" t="n">
        <v>6</v>
      </c>
      <c r="AI76" s="39" t="n">
        <v>2</v>
      </c>
      <c r="AJ76" s="112" t="s">
        <v>398</v>
      </c>
      <c r="AK76" s="112" t="s">
        <v>399</v>
      </c>
      <c r="AL76" s="112" t="s">
        <v>378</v>
      </c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</row>
    <row r="77" customFormat="false" ht="12.8" hidden="false" customHeight="false" outlineLevel="0" collapsed="false">
      <c r="A77" s="32" t="s">
        <v>53</v>
      </c>
      <c r="B77" s="33" t="s">
        <v>93</v>
      </c>
      <c r="C77" s="110" t="s">
        <v>250</v>
      </c>
      <c r="D77" s="32" t="s">
        <v>252</v>
      </c>
      <c r="E77" s="110" t="s">
        <v>87</v>
      </c>
      <c r="F77" s="32" t="s">
        <v>126</v>
      </c>
      <c r="G77" s="32"/>
      <c r="H77" s="39" t="n">
        <v>5500</v>
      </c>
      <c r="I77" s="37" t="n">
        <v>800</v>
      </c>
      <c r="J77" s="39" t="n">
        <f aca="false">I77*5</f>
        <v>0</v>
      </c>
      <c r="K77" s="37" t="n">
        <v>3</v>
      </c>
      <c r="L77" s="37" t="n">
        <f aca="false">IF(S77,1,0)+IF(AA77,1,0)+AD77+AI77+AN77+AT77+AZ77+BF77</f>
        <v>0</v>
      </c>
      <c r="M77" s="37"/>
      <c r="N77" s="32"/>
      <c r="O77" s="37"/>
      <c r="P77" s="37"/>
      <c r="Q77" s="37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115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</row>
    <row r="78" customFormat="false" ht="12.8" hidden="false" customHeight="false" outlineLevel="0" collapsed="false">
      <c r="A78" s="32" t="s">
        <v>53</v>
      </c>
      <c r="B78" s="33" t="s">
        <v>93</v>
      </c>
      <c r="C78" s="47" t="s">
        <v>250</v>
      </c>
      <c r="D78" s="33" t="s">
        <v>253</v>
      </c>
      <c r="E78" s="47" t="s">
        <v>88</v>
      </c>
      <c r="F78" s="33" t="s">
        <v>178</v>
      </c>
      <c r="G78" s="32"/>
      <c r="H78" s="39" t="n">
        <v>5500</v>
      </c>
      <c r="I78" s="37" t="n">
        <v>800</v>
      </c>
      <c r="J78" s="39" t="n">
        <f aca="false">I78*5</f>
        <v>0</v>
      </c>
      <c r="K78" s="32"/>
      <c r="L78" s="37" t="n">
        <f aca="false">IF(S78,1,0)+IF(AA78,1,0)+AD78+AI78+AN78+AT78+AZ78+BF78</f>
        <v>0</v>
      </c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115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</row>
    <row r="79" customFormat="false" ht="12.8" hidden="false" customHeight="false" outlineLevel="0" collapsed="false">
      <c r="A79" s="32" t="s">
        <v>53</v>
      </c>
      <c r="B79" s="33" t="s">
        <v>93</v>
      </c>
      <c r="C79" s="110" t="s">
        <v>250</v>
      </c>
      <c r="D79" s="32" t="s">
        <v>254</v>
      </c>
      <c r="E79" s="110" t="s">
        <v>255</v>
      </c>
      <c r="F79" s="32" t="s">
        <v>237</v>
      </c>
      <c r="G79" s="32"/>
      <c r="H79" s="39" t="n">
        <v>5500</v>
      </c>
      <c r="I79" s="37" t="n">
        <v>800</v>
      </c>
      <c r="J79" s="39" t="n">
        <f aca="false">I79*5</f>
        <v>0</v>
      </c>
      <c r="K79" s="37" t="n">
        <v>4</v>
      </c>
      <c r="L79" s="37" t="n">
        <f aca="false">IF(S79,1,0)+IF(AA79,1,0)+AD79+AI79+AN79+AT79+AZ79+BF79</f>
        <v>0</v>
      </c>
      <c r="M79" s="37"/>
      <c r="N79" s="32"/>
      <c r="O79" s="37"/>
      <c r="P79" s="37"/>
      <c r="Q79" s="37"/>
      <c r="R79" s="116" t="s">
        <v>400</v>
      </c>
      <c r="S79" s="39" t="n">
        <v>8</v>
      </c>
      <c r="T79" s="105" t="s">
        <v>401</v>
      </c>
      <c r="U79" s="105" t="s">
        <v>92</v>
      </c>
      <c r="V79" s="39"/>
      <c r="W79" s="39" t="n">
        <v>40</v>
      </c>
      <c r="X79" s="39"/>
      <c r="Y79" s="105" t="s">
        <v>412</v>
      </c>
      <c r="Z79" s="32"/>
      <c r="AA79" s="32"/>
      <c r="AB79" s="32"/>
      <c r="AC79" s="113" t="n">
        <v>6</v>
      </c>
      <c r="AD79" s="39" t="n">
        <v>2</v>
      </c>
      <c r="AE79" s="112" t="s">
        <v>398</v>
      </c>
      <c r="AF79" s="112" t="s">
        <v>399</v>
      </c>
      <c r="AG79" s="112" t="s">
        <v>378</v>
      </c>
      <c r="AH79" s="113" t="n">
        <v>6</v>
      </c>
      <c r="AI79" s="39" t="n">
        <v>2</v>
      </c>
      <c r="AJ79" s="112" t="s">
        <v>398</v>
      </c>
      <c r="AK79" s="112" t="s">
        <v>399</v>
      </c>
      <c r="AL79" s="112" t="s">
        <v>378</v>
      </c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</row>
    <row r="80" customFormat="false" ht="12.8" hidden="false" customHeight="false" outlineLevel="0" collapsed="false">
      <c r="A80" s="32" t="s">
        <v>53</v>
      </c>
      <c r="B80" s="32" t="s">
        <v>158</v>
      </c>
      <c r="C80" s="32" t="s">
        <v>413</v>
      </c>
      <c r="D80" s="32" t="s">
        <v>240</v>
      </c>
      <c r="E80" s="110" t="s">
        <v>89</v>
      </c>
      <c r="F80" s="32" t="s">
        <v>128</v>
      </c>
      <c r="G80" s="32"/>
      <c r="H80" s="39" t="n">
        <v>5500</v>
      </c>
      <c r="I80" s="37" t="n">
        <v>900</v>
      </c>
      <c r="J80" s="39" t="n">
        <f aca="false">I80*5</f>
        <v>0</v>
      </c>
      <c r="K80" s="37" t="n">
        <v>4</v>
      </c>
      <c r="L80" s="37" t="n">
        <f aca="false">IF(S80,1,0)+IF(AA80,1,0)+AD80+AI80+AN80+AT80+AZ80+BF80</f>
        <v>0</v>
      </c>
      <c r="M80" s="37"/>
      <c r="N80" s="41" t="n">
        <v>0.25</v>
      </c>
      <c r="O80" s="37"/>
      <c r="P80" s="37"/>
      <c r="Q80" s="37"/>
      <c r="R80" s="116" t="s">
        <v>400</v>
      </c>
      <c r="S80" s="39" t="n">
        <v>10</v>
      </c>
      <c r="T80" s="105" t="s">
        <v>401</v>
      </c>
      <c r="U80" s="105" t="s">
        <v>92</v>
      </c>
      <c r="V80" s="39"/>
      <c r="W80" s="39" t="n">
        <v>40</v>
      </c>
      <c r="X80" s="39"/>
      <c r="Y80" s="105" t="s">
        <v>412</v>
      </c>
      <c r="Z80" s="32"/>
      <c r="AA80" s="32"/>
      <c r="AB80" s="32"/>
      <c r="AC80" s="113" t="n">
        <v>6</v>
      </c>
      <c r="AD80" s="39" t="n">
        <v>2</v>
      </c>
      <c r="AE80" s="112" t="s">
        <v>398</v>
      </c>
      <c r="AF80" s="112" t="s">
        <v>399</v>
      </c>
      <c r="AG80" s="112" t="s">
        <v>378</v>
      </c>
      <c r="AH80" s="113" t="n">
        <v>6</v>
      </c>
      <c r="AI80" s="39" t="n">
        <v>1</v>
      </c>
      <c r="AJ80" s="112" t="s">
        <v>398</v>
      </c>
      <c r="AK80" s="112" t="s">
        <v>399</v>
      </c>
      <c r="AL80" s="112" t="s">
        <v>378</v>
      </c>
      <c r="AM80" s="32"/>
      <c r="AN80" s="32"/>
      <c r="AO80" s="32"/>
      <c r="AP80" s="32"/>
      <c r="AQ80" s="32"/>
      <c r="AR80" s="32"/>
      <c r="AS80" s="39" t="n">
        <v>6</v>
      </c>
      <c r="AT80" s="39" t="n">
        <v>2</v>
      </c>
      <c r="AU80" s="114" t="s">
        <v>390</v>
      </c>
      <c r="AV80" s="114" t="s">
        <v>391</v>
      </c>
      <c r="AW80" s="114" t="s">
        <v>383</v>
      </c>
      <c r="AX80" s="114" t="s">
        <v>384</v>
      </c>
      <c r="AY80" s="32"/>
      <c r="AZ80" s="32"/>
      <c r="BA80" s="32"/>
      <c r="BB80" s="32"/>
      <c r="BC80" s="32"/>
      <c r="BD80" s="32"/>
      <c r="BE80" s="114"/>
      <c r="BF80" s="32"/>
      <c r="BG80" s="32"/>
      <c r="BH80" s="32"/>
      <c r="BI80" s="32"/>
      <c r="BJ80" s="32"/>
    </row>
    <row r="81" customFormat="false" ht="12.8" hidden="false" customHeight="false" outlineLevel="0" collapsed="false">
      <c r="A81" s="32" t="s">
        <v>53</v>
      </c>
      <c r="B81" s="32" t="s">
        <v>158</v>
      </c>
      <c r="C81" s="32" t="s">
        <v>413</v>
      </c>
      <c r="D81" s="32" t="s">
        <v>241</v>
      </c>
      <c r="E81" s="110" t="s">
        <v>87</v>
      </c>
      <c r="F81" s="32" t="s">
        <v>137</v>
      </c>
      <c r="G81" s="32"/>
      <c r="H81" s="39" t="n">
        <v>5500</v>
      </c>
      <c r="I81" s="37" t="n">
        <v>850</v>
      </c>
      <c r="J81" s="39" t="n">
        <f aca="false">I81*5</f>
        <v>0</v>
      </c>
      <c r="K81" s="37" t="n">
        <v>4</v>
      </c>
      <c r="L81" s="37" t="n">
        <f aca="false">IF(S81,1,0)+IF(AA81,1,0)+AD81+AI81+AN81+AT81+AZ81+BF81</f>
        <v>0</v>
      </c>
      <c r="M81" s="37"/>
      <c r="N81" s="32"/>
      <c r="O81" s="37"/>
      <c r="P81" s="37"/>
      <c r="Q81" s="37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115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</row>
    <row r="82" customFormat="false" ht="12.8" hidden="false" customHeight="false" outlineLevel="0" collapsed="false">
      <c r="A82" s="32" t="s">
        <v>53</v>
      </c>
      <c r="B82" s="32" t="s">
        <v>158</v>
      </c>
      <c r="C82" s="32" t="s">
        <v>413</v>
      </c>
      <c r="D82" s="32" t="s">
        <v>242</v>
      </c>
      <c r="E82" s="110" t="s">
        <v>88</v>
      </c>
      <c r="F82" s="32" t="s">
        <v>192</v>
      </c>
      <c r="G82" s="32"/>
      <c r="H82" s="39" t="n">
        <v>5500</v>
      </c>
      <c r="I82" s="37" t="n">
        <v>850</v>
      </c>
      <c r="J82" s="39" t="n">
        <f aca="false">I82*5</f>
        <v>0</v>
      </c>
      <c r="K82" s="32"/>
      <c r="L82" s="37" t="n">
        <f aca="false">IF(S82,1,0)+IF(AA82,1,0)+AD82+AI82+AN82+AT82+AZ82+BF82</f>
        <v>0</v>
      </c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115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</row>
    <row r="83" customFormat="false" ht="12.8" hidden="false" customHeight="false" outlineLevel="0" collapsed="false">
      <c r="A83" s="32" t="s">
        <v>53</v>
      </c>
      <c r="B83" s="32" t="s">
        <v>98</v>
      </c>
      <c r="C83" s="32" t="s">
        <v>213</v>
      </c>
      <c r="D83" s="32" t="s">
        <v>214</v>
      </c>
      <c r="E83" s="110" t="s">
        <v>89</v>
      </c>
      <c r="F83" s="32" t="s">
        <v>116</v>
      </c>
      <c r="G83" s="32"/>
      <c r="H83" s="39" t="n">
        <v>5500</v>
      </c>
      <c r="I83" s="37" t="n">
        <v>700</v>
      </c>
      <c r="J83" s="39" t="n">
        <f aca="false">I83*5</f>
        <v>0</v>
      </c>
      <c r="K83" s="37" t="n">
        <v>3</v>
      </c>
      <c r="L83" s="37" t="n">
        <f aca="false">IF(S83,1,0)+IF(AA83,1,0)+AD83+AI83+AN83+AT83+AZ83+BF83</f>
        <v>0</v>
      </c>
      <c r="M83" s="37"/>
      <c r="N83" s="32"/>
      <c r="O83" s="37"/>
      <c r="P83" s="37"/>
      <c r="Q83" s="37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113" t="n">
        <v>6</v>
      </c>
      <c r="AD83" s="39" t="n">
        <v>2</v>
      </c>
      <c r="AE83" s="112" t="s">
        <v>398</v>
      </c>
      <c r="AF83" s="112" t="s">
        <v>399</v>
      </c>
      <c r="AG83" s="112" t="s">
        <v>378</v>
      </c>
      <c r="AH83" s="113" t="n">
        <v>6</v>
      </c>
      <c r="AI83" s="39" t="n">
        <v>2</v>
      </c>
      <c r="AJ83" s="112" t="s">
        <v>398</v>
      </c>
      <c r="AK83" s="112" t="s">
        <v>399</v>
      </c>
      <c r="AL83" s="112" t="s">
        <v>378</v>
      </c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</row>
    <row r="84" customFormat="false" ht="12.8" hidden="false" customHeight="false" outlineLevel="0" collapsed="false">
      <c r="A84" s="32" t="s">
        <v>53</v>
      </c>
      <c r="B84" s="32" t="s">
        <v>98</v>
      </c>
      <c r="C84" s="32" t="s">
        <v>213</v>
      </c>
      <c r="D84" s="32" t="s">
        <v>215</v>
      </c>
      <c r="E84" s="110" t="s">
        <v>87</v>
      </c>
      <c r="F84" s="32" t="s">
        <v>165</v>
      </c>
      <c r="G84" s="32"/>
      <c r="H84" s="39" t="n">
        <v>5500</v>
      </c>
      <c r="I84" s="37" t="n">
        <v>850</v>
      </c>
      <c r="J84" s="39" t="n">
        <f aca="false">I84*5</f>
        <v>0</v>
      </c>
      <c r="K84" s="32"/>
      <c r="L84" s="37" t="n">
        <f aca="false">IF(S84,1,0)+IF(AA84,1,0)+AD84+AI84+AN84+AT84+AZ84+BF84</f>
        <v>0</v>
      </c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115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</row>
    <row r="85" customFormat="false" ht="12.8" hidden="false" customHeight="false" outlineLevel="0" collapsed="false">
      <c r="A85" s="32" t="s">
        <v>53</v>
      </c>
      <c r="B85" s="32" t="s">
        <v>98</v>
      </c>
      <c r="C85" s="32" t="s">
        <v>213</v>
      </c>
      <c r="D85" s="32" t="s">
        <v>216</v>
      </c>
      <c r="E85" s="110" t="s">
        <v>88</v>
      </c>
      <c r="F85" s="32" t="s">
        <v>163</v>
      </c>
      <c r="G85" s="32"/>
      <c r="H85" s="39" t="n">
        <v>5500</v>
      </c>
      <c r="I85" s="37" t="n">
        <v>850</v>
      </c>
      <c r="J85" s="39" t="n">
        <f aca="false">I85*5</f>
        <v>0</v>
      </c>
      <c r="K85" s="32"/>
      <c r="L85" s="37" t="n">
        <f aca="false">IF(S85,1,0)+IF(AA85,1,0)+AD85+AI85+AN85+AT85+AZ85+BF85</f>
        <v>0</v>
      </c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115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</row>
    <row r="86" customFormat="false" ht="12.8" hidden="false" customHeight="false" outlineLevel="0" collapsed="false">
      <c r="A86" s="32" t="s">
        <v>53</v>
      </c>
      <c r="B86" s="33" t="s">
        <v>113</v>
      </c>
      <c r="C86" s="32" t="s">
        <v>221</v>
      </c>
      <c r="D86" s="33" t="s">
        <v>222</v>
      </c>
      <c r="E86" s="47" t="s">
        <v>89</v>
      </c>
      <c r="F86" s="32" t="s">
        <v>148</v>
      </c>
      <c r="G86" s="32"/>
      <c r="H86" s="39" t="n">
        <v>5500</v>
      </c>
      <c r="I86" s="37" t="n">
        <v>800</v>
      </c>
      <c r="J86" s="39" t="n">
        <f aca="false">I86*5</f>
        <v>0</v>
      </c>
      <c r="K86" s="37" t="n">
        <v>2</v>
      </c>
      <c r="L86" s="37" t="n">
        <f aca="false">IF(S86,1,0)+IF(AA86,1,0)+AD86+AI86+AN86+AT86+AZ86+BF86</f>
        <v>0</v>
      </c>
      <c r="M86" s="37"/>
      <c r="N86" s="32"/>
      <c r="O86" s="37"/>
      <c r="P86" s="37"/>
      <c r="Q86" s="37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113" t="n">
        <v>6</v>
      </c>
      <c r="AD86" s="39" t="n">
        <v>2</v>
      </c>
      <c r="AE86" s="112" t="s">
        <v>398</v>
      </c>
      <c r="AF86" s="112" t="s">
        <v>399</v>
      </c>
      <c r="AG86" s="112" t="s">
        <v>378</v>
      </c>
      <c r="AH86" s="113" t="n">
        <v>6</v>
      </c>
      <c r="AI86" s="39" t="n">
        <v>1</v>
      </c>
      <c r="AJ86" s="112" t="s">
        <v>398</v>
      </c>
      <c r="AK86" s="112" t="s">
        <v>399</v>
      </c>
      <c r="AL86" s="112" t="s">
        <v>378</v>
      </c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</row>
    <row r="87" customFormat="false" ht="12.8" hidden="false" customHeight="false" outlineLevel="0" collapsed="false">
      <c r="A87" s="32" t="s">
        <v>53</v>
      </c>
      <c r="B87" s="33" t="s">
        <v>113</v>
      </c>
      <c r="C87" s="32" t="s">
        <v>223</v>
      </c>
      <c r="D87" s="33" t="s">
        <v>224</v>
      </c>
      <c r="E87" s="47" t="s">
        <v>89</v>
      </c>
      <c r="F87" s="32" t="s">
        <v>148</v>
      </c>
      <c r="G87" s="32"/>
      <c r="H87" s="39" t="n">
        <v>5500</v>
      </c>
      <c r="I87" s="37" t="n">
        <v>850</v>
      </c>
      <c r="J87" s="39" t="n">
        <f aca="false">I87*5</f>
        <v>0</v>
      </c>
      <c r="K87" s="37" t="n">
        <v>2</v>
      </c>
      <c r="L87" s="37" t="n">
        <f aca="false">IF(S87,1,0)+IF(AA87,1,0)+AD87+AI87+AN87+AT87+AZ87+BF87</f>
        <v>0</v>
      </c>
      <c r="M87" s="37"/>
      <c r="N87" s="32"/>
      <c r="O87" s="37"/>
      <c r="P87" s="37"/>
      <c r="Q87" s="37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113" t="n">
        <v>6</v>
      </c>
      <c r="AD87" s="39" t="n">
        <v>2</v>
      </c>
      <c r="AE87" s="112" t="s">
        <v>398</v>
      </c>
      <c r="AF87" s="112" t="s">
        <v>399</v>
      </c>
      <c r="AG87" s="112" t="s">
        <v>378</v>
      </c>
      <c r="AH87" s="113" t="n">
        <v>6</v>
      </c>
      <c r="AI87" s="39" t="n">
        <v>1</v>
      </c>
      <c r="AJ87" s="112" t="s">
        <v>398</v>
      </c>
      <c r="AK87" s="112" t="s">
        <v>399</v>
      </c>
      <c r="AL87" s="112" t="s">
        <v>378</v>
      </c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</row>
    <row r="88" customFormat="false" ht="12.8" hidden="false" customHeight="false" outlineLevel="0" collapsed="false">
      <c r="A88" s="32" t="s">
        <v>53</v>
      </c>
      <c r="B88" s="33" t="s">
        <v>113</v>
      </c>
      <c r="C88" s="32" t="s">
        <v>223</v>
      </c>
      <c r="D88" s="33" t="s">
        <v>225</v>
      </c>
      <c r="E88" s="47" t="s">
        <v>87</v>
      </c>
      <c r="F88" s="32" t="s">
        <v>126</v>
      </c>
      <c r="G88" s="32"/>
      <c r="H88" s="39" t="n">
        <v>5500</v>
      </c>
      <c r="I88" s="37" t="n">
        <v>850</v>
      </c>
      <c r="J88" s="39" t="n">
        <f aca="false">I88*5</f>
        <v>0</v>
      </c>
      <c r="K88" s="37" t="n">
        <v>2</v>
      </c>
      <c r="L88" s="37" t="n">
        <f aca="false">IF(S88,1,0)+IF(AA88,1,0)+AD88+AI88+AN88+AT88+AZ88+BF88</f>
        <v>0</v>
      </c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113" t="n">
        <v>6</v>
      </c>
      <c r="AD88" s="39" t="n">
        <v>2</v>
      </c>
      <c r="AE88" s="112" t="s">
        <v>398</v>
      </c>
      <c r="AF88" s="112" t="s">
        <v>399</v>
      </c>
      <c r="AG88" s="112" t="s">
        <v>378</v>
      </c>
      <c r="AH88" s="113" t="n">
        <v>6</v>
      </c>
      <c r="AI88" s="39" t="n">
        <v>1</v>
      </c>
      <c r="AJ88" s="112" t="s">
        <v>398</v>
      </c>
      <c r="AK88" s="112" t="s">
        <v>399</v>
      </c>
      <c r="AL88" s="112" t="s">
        <v>378</v>
      </c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</row>
    <row r="89" customFormat="false" ht="12.8" hidden="false" customHeight="false" outlineLevel="0" collapsed="false">
      <c r="A89" s="36" t="s">
        <v>53</v>
      </c>
      <c r="B89" s="33" t="s">
        <v>113</v>
      </c>
      <c r="C89" s="36" t="s">
        <v>223</v>
      </c>
      <c r="D89" s="33" t="s">
        <v>226</v>
      </c>
      <c r="E89" s="47" t="s">
        <v>88</v>
      </c>
      <c r="F89" s="36" t="s">
        <v>148</v>
      </c>
      <c r="G89" s="32"/>
      <c r="H89" s="39" t="n">
        <v>5500</v>
      </c>
      <c r="I89" s="37" t="n">
        <v>1000</v>
      </c>
      <c r="J89" s="39" t="n">
        <f aca="false">I89*5</f>
        <v>0</v>
      </c>
      <c r="K89" s="37" t="n">
        <v>2</v>
      </c>
      <c r="L89" s="37" t="n">
        <f aca="false">IF(S89,1,0)+IF(AA89,1,0)+AD89+AI89+AN89+AT89+AZ89+BF89</f>
        <v>0</v>
      </c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113" t="n">
        <v>6</v>
      </c>
      <c r="AD89" s="39" t="n">
        <v>2</v>
      </c>
      <c r="AE89" s="112" t="s">
        <v>398</v>
      </c>
      <c r="AF89" s="112" t="s">
        <v>399</v>
      </c>
      <c r="AG89" s="112" t="s">
        <v>378</v>
      </c>
      <c r="AH89" s="113" t="n">
        <v>6</v>
      </c>
      <c r="AI89" s="39" t="n">
        <v>1</v>
      </c>
      <c r="AJ89" s="112" t="s">
        <v>398</v>
      </c>
      <c r="AK89" s="112" t="s">
        <v>399</v>
      </c>
      <c r="AL89" s="112" t="s">
        <v>378</v>
      </c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</row>
    <row r="90" customFormat="false" ht="12.8" hidden="false" customHeight="false" outlineLevel="0" collapsed="false">
      <c r="A90" s="32" t="s">
        <v>53</v>
      </c>
      <c r="B90" s="33" t="s">
        <v>113</v>
      </c>
      <c r="C90" s="32" t="s">
        <v>230</v>
      </c>
      <c r="D90" s="33" t="s">
        <v>231</v>
      </c>
      <c r="E90" s="47" t="s">
        <v>89</v>
      </c>
      <c r="F90" s="32" t="s">
        <v>148</v>
      </c>
      <c r="G90" s="32"/>
      <c r="H90" s="39" t="n">
        <v>5500</v>
      </c>
      <c r="I90" s="37" t="n">
        <v>650</v>
      </c>
      <c r="J90" s="39" t="n">
        <f aca="false">I90*5</f>
        <v>0</v>
      </c>
      <c r="K90" s="37" t="n">
        <v>2</v>
      </c>
      <c r="L90" s="37" t="n">
        <f aca="false">IF(S90,1,0)+IF(AA90,1,0)+AD90+AI90+AN90+AT90+AZ90+BF90</f>
        <v>0</v>
      </c>
      <c r="M90" s="37"/>
      <c r="N90" s="32"/>
      <c r="O90" s="37"/>
      <c r="P90" s="37"/>
      <c r="Q90" s="37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113" t="n">
        <v>6</v>
      </c>
      <c r="AD90" s="39" t="n">
        <v>2</v>
      </c>
      <c r="AE90" s="112" t="s">
        <v>398</v>
      </c>
      <c r="AF90" s="112" t="s">
        <v>399</v>
      </c>
      <c r="AG90" s="112" t="s">
        <v>378</v>
      </c>
      <c r="AH90" s="113" t="n">
        <v>6</v>
      </c>
      <c r="AI90" s="39" t="n">
        <v>1</v>
      </c>
      <c r="AJ90" s="112" t="s">
        <v>398</v>
      </c>
      <c r="AK90" s="112" t="s">
        <v>399</v>
      </c>
      <c r="AL90" s="112" t="s">
        <v>378</v>
      </c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</row>
    <row r="91" customFormat="false" ht="12.8" hidden="false" customHeight="false" outlineLevel="0" collapsed="false">
      <c r="A91" s="36" t="s">
        <v>53</v>
      </c>
      <c r="B91" s="33" t="s">
        <v>113</v>
      </c>
      <c r="C91" s="58" t="s">
        <v>228</v>
      </c>
      <c r="D91" s="33" t="s">
        <v>229</v>
      </c>
      <c r="E91" s="47" t="s">
        <v>89</v>
      </c>
      <c r="F91" s="36" t="s">
        <v>143</v>
      </c>
      <c r="G91" s="32"/>
      <c r="H91" s="39" t="n">
        <v>5500</v>
      </c>
      <c r="I91" s="37"/>
      <c r="J91" s="39" t="n">
        <f aca="false">I91*5</f>
        <v>0</v>
      </c>
      <c r="K91" s="37"/>
      <c r="L91" s="37" t="n">
        <f aca="false">IF(S91,1,0)+IF(AA91,1,0)+AD91+AI91+AN91+AT91+AZ91+BF91</f>
        <v>0</v>
      </c>
      <c r="M91" s="37"/>
      <c r="N91" s="32"/>
      <c r="O91" s="37"/>
      <c r="P91" s="37"/>
      <c r="Q91" s="37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109"/>
      <c r="AD91" s="39"/>
      <c r="AE91" s="112"/>
      <c r="AF91" s="112"/>
      <c r="AG91" s="112"/>
      <c r="AH91" s="112"/>
      <c r="AI91" s="39"/>
      <c r="AJ91" s="112"/>
      <c r="AK91" s="112"/>
      <c r="AL91" s="11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</row>
    <row r="92" customFormat="false" ht="12.8" hidden="false" customHeight="false" outlineLevel="0" collapsed="false">
      <c r="A92" s="36" t="s">
        <v>53</v>
      </c>
      <c r="B92" s="36" t="s">
        <v>158</v>
      </c>
      <c r="C92" s="33" t="s">
        <v>232</v>
      </c>
      <c r="D92" s="33" t="s">
        <v>233</v>
      </c>
      <c r="E92" s="58" t="s">
        <v>89</v>
      </c>
      <c r="F92" s="36" t="s">
        <v>176</v>
      </c>
      <c r="G92" s="32"/>
      <c r="H92" s="39" t="n">
        <v>5500</v>
      </c>
      <c r="I92" s="37" t="n">
        <v>850</v>
      </c>
      <c r="J92" s="39" t="n">
        <f aca="false">I92*5</f>
        <v>0</v>
      </c>
      <c r="K92" s="37" t="n">
        <v>3</v>
      </c>
      <c r="L92" s="37" t="n">
        <f aca="false">IF(S92,1,0)+IF(AA92,1,0)+AD92+AI92+AN92+AT92+AZ92+BF92</f>
        <v>0</v>
      </c>
      <c r="M92" s="37"/>
      <c r="N92" s="32"/>
      <c r="O92" s="37"/>
      <c r="P92" s="37"/>
      <c r="Q92" s="37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113" t="n">
        <v>6</v>
      </c>
      <c r="AD92" s="39" t="n">
        <v>2</v>
      </c>
      <c r="AE92" s="112" t="s">
        <v>398</v>
      </c>
      <c r="AF92" s="112" t="s">
        <v>399</v>
      </c>
      <c r="AG92" s="112" t="s">
        <v>378</v>
      </c>
      <c r="AH92" s="113" t="n">
        <v>6</v>
      </c>
      <c r="AI92" s="39" t="n">
        <v>1</v>
      </c>
      <c r="AJ92" s="112" t="s">
        <v>398</v>
      </c>
      <c r="AK92" s="112" t="s">
        <v>399</v>
      </c>
      <c r="AL92" s="112" t="s">
        <v>378</v>
      </c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</row>
    <row r="93" customFormat="false" ht="12.8" hidden="false" customHeight="false" outlineLevel="0" collapsed="false">
      <c r="A93" s="36" t="s">
        <v>53</v>
      </c>
      <c r="B93" s="36" t="s">
        <v>158</v>
      </c>
      <c r="C93" s="36" t="s">
        <v>232</v>
      </c>
      <c r="D93" s="36" t="s">
        <v>234</v>
      </c>
      <c r="E93" s="58" t="s">
        <v>87</v>
      </c>
      <c r="F93" s="36" t="s">
        <v>143</v>
      </c>
      <c r="G93" s="32"/>
      <c r="H93" s="39" t="n">
        <v>5500</v>
      </c>
      <c r="I93" s="37" t="n">
        <v>850</v>
      </c>
      <c r="J93" s="39" t="n">
        <f aca="false">I93*5</f>
        <v>0</v>
      </c>
      <c r="K93" s="37" t="n">
        <v>3</v>
      </c>
      <c r="L93" s="37" t="n">
        <f aca="false">IF(S93,1,0)+IF(AA93,1,0)+AD93+AI93+AN93+AT93+AZ93+BF93</f>
        <v>0</v>
      </c>
      <c r="M93" s="37"/>
      <c r="N93" s="32"/>
      <c r="O93" s="37"/>
      <c r="P93" s="37"/>
      <c r="Q93" s="37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109"/>
      <c r="AD93" s="39"/>
      <c r="AE93" s="112"/>
      <c r="AF93" s="112"/>
      <c r="AG93" s="112"/>
      <c r="AH93" s="112"/>
      <c r="AI93" s="39"/>
      <c r="AJ93" s="112"/>
      <c r="AK93" s="112"/>
      <c r="AL93" s="11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</row>
    <row r="94" customFormat="false" ht="12.8" hidden="false" customHeight="false" outlineLevel="0" collapsed="false">
      <c r="A94" s="36" t="s">
        <v>53</v>
      </c>
      <c r="B94" s="33" t="s">
        <v>81</v>
      </c>
      <c r="C94" s="33" t="s">
        <v>247</v>
      </c>
      <c r="D94" s="33" t="s">
        <v>248</v>
      </c>
      <c r="E94" s="47" t="s">
        <v>89</v>
      </c>
      <c r="F94" s="33" t="s">
        <v>148</v>
      </c>
      <c r="G94" s="32"/>
      <c r="H94" s="39" t="n">
        <v>5500</v>
      </c>
      <c r="I94" s="37" t="n">
        <v>650</v>
      </c>
      <c r="J94" s="39" t="n">
        <f aca="false">I94*5</f>
        <v>0</v>
      </c>
      <c r="K94" s="37" t="n">
        <v>2</v>
      </c>
      <c r="L94" s="37" t="n">
        <f aca="false">IF(S94,1,0)+IF(AA94,1,0)+AD94+AI94+AN94+AT94+AZ94+BF94</f>
        <v>0</v>
      </c>
      <c r="M94" s="37"/>
      <c r="N94" s="32"/>
      <c r="O94" s="37"/>
      <c r="P94" s="37"/>
      <c r="Q94" s="37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113" t="n">
        <v>6</v>
      </c>
      <c r="AD94" s="39" t="n">
        <v>2</v>
      </c>
      <c r="AE94" s="112" t="s">
        <v>398</v>
      </c>
      <c r="AF94" s="112" t="s">
        <v>399</v>
      </c>
      <c r="AG94" s="112" t="s">
        <v>378</v>
      </c>
      <c r="AH94" s="113" t="n">
        <v>6</v>
      </c>
      <c r="AI94" s="39" t="n">
        <v>1</v>
      </c>
      <c r="AJ94" s="112" t="s">
        <v>398</v>
      </c>
      <c r="AK94" s="112" t="s">
        <v>399</v>
      </c>
      <c r="AL94" s="112" t="s">
        <v>378</v>
      </c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</row>
    <row r="95" customFormat="false" ht="12.8" hidden="false" customHeight="false" outlineLevel="0" collapsed="false">
      <c r="A95" s="32" t="s">
        <v>258</v>
      </c>
      <c r="B95" s="33" t="s">
        <v>81</v>
      </c>
      <c r="C95" s="32" t="s">
        <v>292</v>
      </c>
      <c r="D95" s="32" t="s">
        <v>293</v>
      </c>
      <c r="E95" s="110" t="s">
        <v>89</v>
      </c>
      <c r="F95" s="32" t="s">
        <v>106</v>
      </c>
      <c r="G95" s="32"/>
      <c r="H95" s="39" t="n">
        <v>7000</v>
      </c>
      <c r="I95" s="37" t="n">
        <v>450</v>
      </c>
      <c r="J95" s="39" t="n">
        <f aca="false">I95*5</f>
        <v>0</v>
      </c>
      <c r="K95" s="37" t="n">
        <v>2</v>
      </c>
      <c r="L95" s="37" t="n">
        <f aca="false">IF(S95,1,0)+IF(AA95,1,0)+AD95+AI95+AN95+AT95+AZ95+BF95</f>
        <v>0</v>
      </c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113" t="n">
        <v>3</v>
      </c>
      <c r="AD95" s="39" t="n">
        <v>2</v>
      </c>
      <c r="AE95" s="112" t="s">
        <v>414</v>
      </c>
      <c r="AF95" s="112" t="s">
        <v>415</v>
      </c>
      <c r="AG95" s="112" t="s">
        <v>389</v>
      </c>
      <c r="AH95" s="113" t="n">
        <v>3</v>
      </c>
      <c r="AI95" s="39" t="n">
        <v>1</v>
      </c>
      <c r="AJ95" s="112" t="s">
        <v>414</v>
      </c>
      <c r="AK95" s="112" t="s">
        <v>415</v>
      </c>
      <c r="AL95" s="112" t="s">
        <v>389</v>
      </c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</row>
    <row r="96" customFormat="false" ht="12.8" hidden="false" customHeight="false" outlineLevel="0" collapsed="false">
      <c r="A96" s="32" t="s">
        <v>258</v>
      </c>
      <c r="B96" s="33" t="s">
        <v>81</v>
      </c>
      <c r="C96" s="32" t="s">
        <v>292</v>
      </c>
      <c r="D96" s="32" t="s">
        <v>294</v>
      </c>
      <c r="E96" s="110" t="s">
        <v>87</v>
      </c>
      <c r="F96" s="32" t="s">
        <v>137</v>
      </c>
      <c r="G96" s="32"/>
      <c r="H96" s="39" t="n">
        <v>7000</v>
      </c>
      <c r="I96" s="37" t="n">
        <v>450</v>
      </c>
      <c r="J96" s="39" t="n">
        <f aca="false">I96*5</f>
        <v>0</v>
      </c>
      <c r="K96" s="32"/>
      <c r="L96" s="37" t="n">
        <f aca="false">IF(S96,1,0)+IF(AA96,1,0)+AD96+AI96+AN96+AT96+AZ96+BF96</f>
        <v>0</v>
      </c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115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</row>
    <row r="97" customFormat="false" ht="12.8" hidden="false" customHeight="false" outlineLevel="0" collapsed="false">
      <c r="A97" s="32" t="s">
        <v>258</v>
      </c>
      <c r="B97" s="33" t="s">
        <v>81</v>
      </c>
      <c r="C97" s="32" t="s">
        <v>292</v>
      </c>
      <c r="D97" s="32" t="s">
        <v>295</v>
      </c>
      <c r="E97" s="110" t="s">
        <v>88</v>
      </c>
      <c r="F97" s="32" t="s">
        <v>180</v>
      </c>
      <c r="G97" s="32"/>
      <c r="H97" s="39" t="n">
        <v>7000</v>
      </c>
      <c r="I97" s="37" t="n">
        <v>450</v>
      </c>
      <c r="J97" s="39" t="n">
        <f aca="false">I97*5</f>
        <v>0</v>
      </c>
      <c r="K97" s="32"/>
      <c r="L97" s="37" t="n">
        <f aca="false">IF(S97,1,0)+IF(AA97,1,0)+AD97+AI97+AN97+AT97+AZ97+BF97</f>
        <v>0</v>
      </c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115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</row>
    <row r="98" customFormat="false" ht="12.8" hidden="false" customHeight="false" outlineLevel="0" collapsed="false">
      <c r="A98" s="32" t="s">
        <v>258</v>
      </c>
      <c r="B98" s="33" t="s">
        <v>81</v>
      </c>
      <c r="C98" s="32" t="s">
        <v>288</v>
      </c>
      <c r="D98" s="32" t="s">
        <v>289</v>
      </c>
      <c r="E98" s="110" t="s">
        <v>89</v>
      </c>
      <c r="F98" s="32" t="s">
        <v>148</v>
      </c>
      <c r="G98" s="32"/>
      <c r="H98" s="39" t="n">
        <v>7000</v>
      </c>
      <c r="I98" s="37" t="n">
        <v>450</v>
      </c>
      <c r="J98" s="39" t="n">
        <f aca="false">I98*5</f>
        <v>0</v>
      </c>
      <c r="K98" s="37" t="n">
        <v>3</v>
      </c>
      <c r="L98" s="37" t="n">
        <f aca="false">IF(S98,1,0)+IF(AA98,1,0)+AD98+AI98+AN98+AT98+AZ98+BF98</f>
        <v>0</v>
      </c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113" t="n">
        <v>3</v>
      </c>
      <c r="AD98" s="39" t="n">
        <v>2</v>
      </c>
      <c r="AE98" s="112" t="s">
        <v>414</v>
      </c>
      <c r="AF98" s="112" t="s">
        <v>415</v>
      </c>
      <c r="AG98" s="112" t="s">
        <v>389</v>
      </c>
      <c r="AH98" s="113" t="n">
        <v>3</v>
      </c>
      <c r="AI98" s="39" t="n">
        <v>2</v>
      </c>
      <c r="AJ98" s="112" t="s">
        <v>414</v>
      </c>
      <c r="AK98" s="112" t="s">
        <v>415</v>
      </c>
      <c r="AL98" s="112" t="s">
        <v>389</v>
      </c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</row>
    <row r="99" customFormat="false" ht="12.8" hidden="false" customHeight="false" outlineLevel="0" collapsed="false">
      <c r="A99" s="32" t="s">
        <v>258</v>
      </c>
      <c r="B99" s="33" t="s">
        <v>81</v>
      </c>
      <c r="C99" s="32" t="s">
        <v>288</v>
      </c>
      <c r="D99" s="32" t="s">
        <v>290</v>
      </c>
      <c r="E99" s="110" t="s">
        <v>87</v>
      </c>
      <c r="F99" s="32" t="s">
        <v>163</v>
      </c>
      <c r="G99" s="32"/>
      <c r="H99" s="39" t="n">
        <v>7000</v>
      </c>
      <c r="I99" s="37" t="n">
        <v>450</v>
      </c>
      <c r="J99" s="39" t="n">
        <f aca="false">I99*5</f>
        <v>0</v>
      </c>
      <c r="K99" s="32"/>
      <c r="L99" s="37" t="n">
        <f aca="false">IF(S99,1,0)+IF(AA99,1,0)+AD99+AI99+AN99+AT99+AZ99+BF99</f>
        <v>0</v>
      </c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115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</row>
    <row r="100" customFormat="false" ht="12.8" hidden="false" customHeight="false" outlineLevel="0" collapsed="false">
      <c r="A100" s="32" t="s">
        <v>258</v>
      </c>
      <c r="B100" s="33" t="s">
        <v>81</v>
      </c>
      <c r="C100" s="32" t="s">
        <v>288</v>
      </c>
      <c r="D100" s="32" t="s">
        <v>291</v>
      </c>
      <c r="E100" s="110" t="s">
        <v>88</v>
      </c>
      <c r="F100" s="32" t="s">
        <v>170</v>
      </c>
      <c r="G100" s="32"/>
      <c r="H100" s="39" t="n">
        <v>7000</v>
      </c>
      <c r="I100" s="37" t="n">
        <v>450</v>
      </c>
      <c r="J100" s="39" t="n">
        <f aca="false">I100*5</f>
        <v>0</v>
      </c>
      <c r="K100" s="32"/>
      <c r="L100" s="37" t="n">
        <f aca="false">IF(S100,1,0)+IF(AA100,1,0)+AD100+AI100+AN100+AT100+AZ100+BF100</f>
        <v>0</v>
      </c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115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</row>
    <row r="101" customFormat="false" ht="12.8" hidden="false" customHeight="false" outlineLevel="0" collapsed="false">
      <c r="A101" s="32" t="s">
        <v>258</v>
      </c>
      <c r="B101" s="32" t="s">
        <v>158</v>
      </c>
      <c r="C101" s="32" t="s">
        <v>280</v>
      </c>
      <c r="D101" s="32" t="s">
        <v>281</v>
      </c>
      <c r="E101" s="110" t="s">
        <v>89</v>
      </c>
      <c r="F101" s="32" t="s">
        <v>143</v>
      </c>
      <c r="G101" s="32"/>
      <c r="H101" s="39" t="n">
        <v>7000</v>
      </c>
      <c r="I101" s="37" t="n">
        <v>400</v>
      </c>
      <c r="J101" s="39" t="n">
        <f aca="false">I101*5</f>
        <v>0</v>
      </c>
      <c r="K101" s="37" t="n">
        <v>3</v>
      </c>
      <c r="L101" s="37" t="n">
        <f aca="false">IF(S101,1,0)+IF(AA101,1,0)+AD101+AI101+AN101+AT101+AZ101+BF101</f>
        <v>0</v>
      </c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113" t="n">
        <v>3</v>
      </c>
      <c r="AD101" s="39" t="n">
        <v>2</v>
      </c>
      <c r="AE101" s="112" t="s">
        <v>414</v>
      </c>
      <c r="AF101" s="112" t="s">
        <v>415</v>
      </c>
      <c r="AG101" s="112" t="s">
        <v>389</v>
      </c>
      <c r="AH101" s="113" t="n">
        <v>3</v>
      </c>
      <c r="AI101" s="39" t="n">
        <v>2</v>
      </c>
      <c r="AJ101" s="112" t="s">
        <v>414</v>
      </c>
      <c r="AK101" s="112" t="s">
        <v>415</v>
      </c>
      <c r="AL101" s="112" t="s">
        <v>389</v>
      </c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</row>
    <row r="102" customFormat="false" ht="12.8" hidden="false" customHeight="false" outlineLevel="0" collapsed="false">
      <c r="A102" s="32" t="s">
        <v>258</v>
      </c>
      <c r="B102" s="32" t="s">
        <v>158</v>
      </c>
      <c r="C102" s="32" t="s">
        <v>280</v>
      </c>
      <c r="D102" s="32" t="s">
        <v>282</v>
      </c>
      <c r="E102" s="110" t="s">
        <v>87</v>
      </c>
      <c r="F102" s="32" t="s">
        <v>116</v>
      </c>
      <c r="G102" s="32"/>
      <c r="H102" s="39" t="n">
        <v>7000</v>
      </c>
      <c r="I102" s="37" t="n">
        <v>400</v>
      </c>
      <c r="J102" s="39" t="n">
        <f aca="false">I102*5</f>
        <v>0</v>
      </c>
      <c r="K102" s="32"/>
      <c r="L102" s="37" t="n">
        <f aca="false">IF(S102,1,0)+IF(AA102,1,0)+AD102+AI102+AN102+AT102+AZ102+BF102</f>
        <v>0</v>
      </c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115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</row>
    <row r="103" customFormat="false" ht="12.8" hidden="false" customHeight="false" outlineLevel="0" collapsed="false">
      <c r="A103" s="32" t="s">
        <v>258</v>
      </c>
      <c r="B103" s="32" t="s">
        <v>158</v>
      </c>
      <c r="C103" s="32" t="s">
        <v>280</v>
      </c>
      <c r="D103" s="33" t="s">
        <v>283</v>
      </c>
      <c r="E103" s="47" t="s">
        <v>88</v>
      </c>
      <c r="F103" s="32" t="s">
        <v>188</v>
      </c>
      <c r="G103" s="32"/>
      <c r="H103" s="39" t="n">
        <v>7000</v>
      </c>
      <c r="I103" s="37" t="n">
        <v>400</v>
      </c>
      <c r="J103" s="39" t="n">
        <f aca="false">I103*5</f>
        <v>0</v>
      </c>
      <c r="K103" s="32"/>
      <c r="L103" s="37" t="n">
        <f aca="false">IF(S103,1,0)+IF(AA103,1,0)+AD103+AI103+AN103+AT103+AZ103+BF103</f>
        <v>0</v>
      </c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115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</row>
    <row r="104" customFormat="false" ht="12.8" hidden="false" customHeight="false" outlineLevel="0" collapsed="false">
      <c r="A104" s="32" t="s">
        <v>258</v>
      </c>
      <c r="B104" s="32" t="s">
        <v>98</v>
      </c>
      <c r="C104" s="32" t="s">
        <v>262</v>
      </c>
      <c r="D104" s="33" t="s">
        <v>263</v>
      </c>
      <c r="E104" s="110" t="s">
        <v>89</v>
      </c>
      <c r="F104" s="32" t="s">
        <v>148</v>
      </c>
      <c r="G104" s="32"/>
      <c r="H104" s="39" t="n">
        <v>7000</v>
      </c>
      <c r="I104" s="37" t="n">
        <v>500</v>
      </c>
      <c r="J104" s="39" t="n">
        <f aca="false">I104*5</f>
        <v>0</v>
      </c>
      <c r="K104" s="37" t="n">
        <v>3</v>
      </c>
      <c r="L104" s="37" t="n">
        <f aca="false">IF(S104,1,0)+IF(AA104,1,0)+AD104+AI104+AN104+AT104+AZ104+BF104</f>
        <v>0</v>
      </c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113" t="n">
        <v>3</v>
      </c>
      <c r="AD104" s="39" t="n">
        <v>2</v>
      </c>
      <c r="AE104" s="112" t="s">
        <v>414</v>
      </c>
      <c r="AF104" s="112" t="s">
        <v>415</v>
      </c>
      <c r="AG104" s="112" t="s">
        <v>389</v>
      </c>
      <c r="AH104" s="113" t="n">
        <v>3</v>
      </c>
      <c r="AI104" s="39" t="n">
        <v>2</v>
      </c>
      <c r="AJ104" s="112" t="s">
        <v>414</v>
      </c>
      <c r="AK104" s="112" t="s">
        <v>415</v>
      </c>
      <c r="AL104" s="112" t="s">
        <v>389</v>
      </c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</row>
    <row r="105" customFormat="false" ht="12.8" hidden="false" customHeight="false" outlineLevel="0" collapsed="false">
      <c r="A105" s="32" t="s">
        <v>258</v>
      </c>
      <c r="B105" s="32" t="s">
        <v>98</v>
      </c>
      <c r="C105" s="32" t="s">
        <v>262</v>
      </c>
      <c r="D105" s="32" t="s">
        <v>264</v>
      </c>
      <c r="E105" s="110" t="s">
        <v>87</v>
      </c>
      <c r="F105" s="32" t="s">
        <v>238</v>
      </c>
      <c r="G105" s="32"/>
      <c r="H105" s="39" t="n">
        <v>7000</v>
      </c>
      <c r="I105" s="37" t="n">
        <v>500</v>
      </c>
      <c r="J105" s="39" t="n">
        <f aca="false">I105*5</f>
        <v>0</v>
      </c>
      <c r="K105" s="32"/>
      <c r="L105" s="37" t="n">
        <f aca="false">IF(S105,1,0)+IF(AA105,1,0)+AD105+AI105+AN105+AT105+AZ105+BF105</f>
        <v>0</v>
      </c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115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</row>
    <row r="106" customFormat="false" ht="12.8" hidden="false" customHeight="false" outlineLevel="0" collapsed="false">
      <c r="A106" s="32" t="s">
        <v>258</v>
      </c>
      <c r="B106" s="32" t="s">
        <v>98</v>
      </c>
      <c r="C106" s="32" t="s">
        <v>262</v>
      </c>
      <c r="D106" s="32" t="s">
        <v>265</v>
      </c>
      <c r="E106" s="110" t="s">
        <v>88</v>
      </c>
      <c r="F106" s="32" t="s">
        <v>163</v>
      </c>
      <c r="G106" s="32"/>
      <c r="H106" s="39" t="n">
        <v>7000</v>
      </c>
      <c r="I106" s="37" t="n">
        <v>500</v>
      </c>
      <c r="J106" s="39" t="n">
        <f aca="false">I106*5</f>
        <v>0</v>
      </c>
      <c r="K106" s="32"/>
      <c r="L106" s="37" t="n">
        <f aca="false">IF(S106,1,0)+IF(AA106,1,0)+AD106+AI106+AN106+AT106+AZ106+BF106</f>
        <v>0</v>
      </c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115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</row>
    <row r="107" customFormat="false" ht="12.8" hidden="false" customHeight="false" outlineLevel="0" collapsed="false">
      <c r="A107" s="32" t="s">
        <v>258</v>
      </c>
      <c r="B107" s="32" t="s">
        <v>158</v>
      </c>
      <c r="C107" s="32" t="s">
        <v>276</v>
      </c>
      <c r="D107" s="32" t="s">
        <v>277</v>
      </c>
      <c r="E107" s="110" t="s">
        <v>89</v>
      </c>
      <c r="F107" s="32" t="s">
        <v>178</v>
      </c>
      <c r="G107" s="32"/>
      <c r="H107" s="39" t="n">
        <v>7000</v>
      </c>
      <c r="I107" s="37" t="n">
        <v>650</v>
      </c>
      <c r="J107" s="39" t="n">
        <f aca="false">I107*5</f>
        <v>0</v>
      </c>
      <c r="K107" s="37" t="n">
        <v>2</v>
      </c>
      <c r="L107" s="37" t="n">
        <f aca="false">IF(S107,1,0)+IF(AA107,1,0)+AD107+AI107+AN107+AT107+AZ107+BF107</f>
        <v>0</v>
      </c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113" t="n">
        <v>3</v>
      </c>
      <c r="AD107" s="39" t="n">
        <v>2</v>
      </c>
      <c r="AE107" s="112" t="s">
        <v>414</v>
      </c>
      <c r="AF107" s="112" t="s">
        <v>415</v>
      </c>
      <c r="AG107" s="112" t="s">
        <v>389</v>
      </c>
      <c r="AH107" s="113" t="n">
        <v>3</v>
      </c>
      <c r="AI107" s="39" t="n">
        <v>1</v>
      </c>
      <c r="AJ107" s="112" t="s">
        <v>414</v>
      </c>
      <c r="AK107" s="112" t="s">
        <v>415</v>
      </c>
      <c r="AL107" s="112" t="s">
        <v>389</v>
      </c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</row>
    <row r="108" customFormat="false" ht="12.8" hidden="false" customHeight="false" outlineLevel="0" collapsed="false">
      <c r="A108" s="32" t="s">
        <v>258</v>
      </c>
      <c r="B108" s="32" t="s">
        <v>158</v>
      </c>
      <c r="C108" s="32" t="s">
        <v>276</v>
      </c>
      <c r="D108" s="32" t="s">
        <v>277</v>
      </c>
      <c r="E108" s="110" t="s">
        <v>89</v>
      </c>
      <c r="F108" s="32" t="s">
        <v>178</v>
      </c>
      <c r="G108" s="33" t="s">
        <v>416</v>
      </c>
      <c r="H108" s="39" t="n">
        <v>7000</v>
      </c>
      <c r="I108" s="32"/>
      <c r="J108" s="47"/>
      <c r="K108" s="37" t="n">
        <v>2</v>
      </c>
      <c r="L108" s="37" t="n">
        <f aca="false">IF(S108,1,0)+IF(AA108,1,0)+AD108+AI108+AN108+AT108+AZ108+BF108</f>
        <v>0</v>
      </c>
      <c r="M108" s="32"/>
      <c r="N108" s="41" t="n">
        <v>0.15</v>
      </c>
      <c r="O108" s="41" t="n">
        <v>0.05</v>
      </c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115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9" t="n">
        <v>5</v>
      </c>
      <c r="AT108" s="39" t="n">
        <v>2</v>
      </c>
      <c r="AU108" s="114" t="s">
        <v>390</v>
      </c>
      <c r="AV108" s="114" t="s">
        <v>391</v>
      </c>
      <c r="AW108" s="114" t="s">
        <v>410</v>
      </c>
      <c r="AX108" s="114" t="s">
        <v>384</v>
      </c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</row>
    <row r="109" customFormat="false" ht="12.8" hidden="false" customHeight="false" outlineLevel="0" collapsed="false">
      <c r="A109" s="32" t="s">
        <v>258</v>
      </c>
      <c r="B109" s="32" t="s">
        <v>158</v>
      </c>
      <c r="C109" s="32" t="s">
        <v>276</v>
      </c>
      <c r="D109" s="32" t="s">
        <v>278</v>
      </c>
      <c r="E109" s="110" t="s">
        <v>87</v>
      </c>
      <c r="F109" s="32" t="s">
        <v>116</v>
      </c>
      <c r="G109" s="32"/>
      <c r="H109" s="39" t="n">
        <v>7000</v>
      </c>
      <c r="I109" s="37" t="n">
        <v>650</v>
      </c>
      <c r="J109" s="39" t="n">
        <f aca="false">I109*5</f>
        <v>0</v>
      </c>
      <c r="K109" s="32"/>
      <c r="L109" s="37" t="n">
        <f aca="false">IF(S109,1,0)+IF(AA109,1,0)+AD109+AI109+AN109+AT109+AZ109+BF109</f>
        <v>0</v>
      </c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115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</row>
    <row r="110" customFormat="false" ht="12.8" hidden="false" customHeight="false" outlineLevel="0" collapsed="false">
      <c r="A110" s="32" t="s">
        <v>258</v>
      </c>
      <c r="B110" s="32" t="s">
        <v>158</v>
      </c>
      <c r="C110" s="32" t="s">
        <v>276</v>
      </c>
      <c r="D110" s="32" t="s">
        <v>279</v>
      </c>
      <c r="E110" s="110" t="s">
        <v>88</v>
      </c>
      <c r="F110" s="32" t="s">
        <v>153</v>
      </c>
      <c r="G110" s="32"/>
      <c r="H110" s="39" t="n">
        <v>7000</v>
      </c>
      <c r="I110" s="37" t="n">
        <v>650</v>
      </c>
      <c r="J110" s="39" t="n">
        <f aca="false">I110*5</f>
        <v>0</v>
      </c>
      <c r="K110" s="32"/>
      <c r="L110" s="37" t="n">
        <f aca="false">IF(S110,1,0)+IF(AA110,1,0)+AD110+AI110+AN110+AT110+AZ110+BF110</f>
        <v>0</v>
      </c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115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</row>
    <row r="111" customFormat="false" ht="12.8" hidden="false" customHeight="false" outlineLevel="0" collapsed="false">
      <c r="A111" s="32" t="s">
        <v>258</v>
      </c>
      <c r="B111" s="33" t="s">
        <v>93</v>
      </c>
      <c r="C111" s="47" t="s">
        <v>296</v>
      </c>
      <c r="D111" s="32" t="s">
        <v>297</v>
      </c>
      <c r="E111" s="110" t="s">
        <v>89</v>
      </c>
      <c r="F111" s="32" t="s">
        <v>165</v>
      </c>
      <c r="G111" s="32"/>
      <c r="H111" s="39" t="n">
        <v>7000</v>
      </c>
      <c r="I111" s="37" t="n">
        <v>500</v>
      </c>
      <c r="J111" s="39" t="n">
        <f aca="false">I111*5</f>
        <v>0</v>
      </c>
      <c r="K111" s="37" t="n">
        <v>3</v>
      </c>
      <c r="L111" s="37" t="n">
        <f aca="false">IF(S111,1,0)+IF(AA111,1,0)+AD111+AI111+AN111+AT111+AZ111+BF111</f>
        <v>0</v>
      </c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113" t="n">
        <v>3</v>
      </c>
      <c r="AD111" s="39" t="n">
        <v>2</v>
      </c>
      <c r="AE111" s="112" t="s">
        <v>414</v>
      </c>
      <c r="AF111" s="112" t="s">
        <v>415</v>
      </c>
      <c r="AG111" s="112" t="s">
        <v>389</v>
      </c>
      <c r="AH111" s="113" t="n">
        <v>3</v>
      </c>
      <c r="AI111" s="39" t="n">
        <v>2</v>
      </c>
      <c r="AJ111" s="112" t="s">
        <v>414</v>
      </c>
      <c r="AK111" s="112" t="s">
        <v>415</v>
      </c>
      <c r="AL111" s="112" t="s">
        <v>389</v>
      </c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</row>
    <row r="112" customFormat="false" ht="12.8" hidden="false" customHeight="false" outlineLevel="0" collapsed="false">
      <c r="A112" s="32" t="s">
        <v>258</v>
      </c>
      <c r="B112" s="33" t="s">
        <v>93</v>
      </c>
      <c r="C112" s="110" t="s">
        <v>417</v>
      </c>
      <c r="D112" s="32" t="s">
        <v>299</v>
      </c>
      <c r="E112" s="110" t="s">
        <v>87</v>
      </c>
      <c r="F112" s="32" t="s">
        <v>300</v>
      </c>
      <c r="G112" s="32"/>
      <c r="H112" s="39" t="n">
        <v>7000</v>
      </c>
      <c r="I112" s="37" t="n">
        <v>500</v>
      </c>
      <c r="J112" s="39" t="n">
        <f aca="false">I112*5</f>
        <v>0</v>
      </c>
      <c r="K112" s="37" t="n">
        <v>3</v>
      </c>
      <c r="L112" s="37" t="n">
        <f aca="false">IF(S112,1,0)+IF(AA112,1,0)+AD112+AI112+AN112+AT112+AZ112+BF112</f>
        <v>0</v>
      </c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115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</row>
    <row r="113" customFormat="false" ht="12.8" hidden="false" customHeight="false" outlineLevel="0" collapsed="false">
      <c r="A113" s="32" t="s">
        <v>258</v>
      </c>
      <c r="B113" s="33" t="s">
        <v>93</v>
      </c>
      <c r="C113" s="110" t="s">
        <v>417</v>
      </c>
      <c r="D113" s="32" t="s">
        <v>263</v>
      </c>
      <c r="E113" s="110" t="s">
        <v>88</v>
      </c>
      <c r="F113" s="32" t="s">
        <v>237</v>
      </c>
      <c r="G113" s="32"/>
      <c r="H113" s="39" t="n">
        <v>7000</v>
      </c>
      <c r="I113" s="37" t="n">
        <v>500</v>
      </c>
      <c r="J113" s="39" t="n">
        <f aca="false">I113*5</f>
        <v>0</v>
      </c>
      <c r="K113" s="37" t="n">
        <v>3</v>
      </c>
      <c r="L113" s="37" t="n">
        <f aca="false">IF(S113,1,0)+IF(AA113,1,0)+AD113+AI113+AN113+AT113+AZ113+BF113</f>
        <v>0</v>
      </c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115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</row>
    <row r="114" customFormat="false" ht="12.8" hidden="false" customHeight="false" outlineLevel="0" collapsed="false">
      <c r="A114" s="32" t="s">
        <v>258</v>
      </c>
      <c r="B114" s="33" t="s">
        <v>93</v>
      </c>
      <c r="C114" s="47" t="s">
        <v>301</v>
      </c>
      <c r="D114" s="32" t="s">
        <v>302</v>
      </c>
      <c r="E114" s="110" t="s">
        <v>89</v>
      </c>
      <c r="F114" s="32" t="s">
        <v>165</v>
      </c>
      <c r="G114" s="32"/>
      <c r="H114" s="39" t="n">
        <v>7000</v>
      </c>
      <c r="I114" s="37" t="n">
        <v>650</v>
      </c>
      <c r="J114" s="39" t="n">
        <f aca="false">I114*5</f>
        <v>0</v>
      </c>
      <c r="K114" s="37" t="n">
        <v>3</v>
      </c>
      <c r="L114" s="37" t="n">
        <f aca="false">IF(S114,1,0)+IF(AA114,1,0)+AD114+AI114+AN114+AT114+AZ114+BF114</f>
        <v>0</v>
      </c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113" t="n">
        <v>3</v>
      </c>
      <c r="AD114" s="39" t="n">
        <v>2</v>
      </c>
      <c r="AE114" s="112" t="s">
        <v>414</v>
      </c>
      <c r="AF114" s="112" t="s">
        <v>415</v>
      </c>
      <c r="AG114" s="112" t="s">
        <v>389</v>
      </c>
      <c r="AH114" s="113" t="n">
        <v>3</v>
      </c>
      <c r="AI114" s="39" t="n">
        <v>2</v>
      </c>
      <c r="AJ114" s="112" t="s">
        <v>414</v>
      </c>
      <c r="AK114" s="112" t="s">
        <v>415</v>
      </c>
      <c r="AL114" s="112" t="s">
        <v>389</v>
      </c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</row>
    <row r="115" customFormat="false" ht="12.8" hidden="false" customHeight="false" outlineLevel="0" collapsed="false">
      <c r="A115" s="32" t="s">
        <v>258</v>
      </c>
      <c r="B115" s="33" t="s">
        <v>93</v>
      </c>
      <c r="C115" s="110" t="s">
        <v>301</v>
      </c>
      <c r="D115" s="32" t="s">
        <v>303</v>
      </c>
      <c r="E115" s="110" t="s">
        <v>87</v>
      </c>
      <c r="F115" s="32" t="s">
        <v>109</v>
      </c>
      <c r="G115" s="32"/>
      <c r="H115" s="39" t="n">
        <v>7000</v>
      </c>
      <c r="I115" s="37" t="n">
        <v>650</v>
      </c>
      <c r="J115" s="39" t="n">
        <f aca="false">I115*5</f>
        <v>0</v>
      </c>
      <c r="K115" s="32"/>
      <c r="L115" s="37" t="n">
        <f aca="false">IF(S115,1,0)+IF(AA115,1,0)+AD115+AI115+AN115+AT115+AZ115+BF115</f>
        <v>0</v>
      </c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115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</row>
    <row r="116" customFormat="false" ht="12.8" hidden="false" customHeight="false" outlineLevel="0" collapsed="false">
      <c r="A116" s="32" t="s">
        <v>258</v>
      </c>
      <c r="B116" s="33" t="s">
        <v>93</v>
      </c>
      <c r="C116" s="110" t="s">
        <v>301</v>
      </c>
      <c r="D116" s="32" t="s">
        <v>304</v>
      </c>
      <c r="E116" s="110" t="s">
        <v>88</v>
      </c>
      <c r="F116" s="32" t="s">
        <v>176</v>
      </c>
      <c r="G116" s="32"/>
      <c r="H116" s="39" t="n">
        <v>7000</v>
      </c>
      <c r="I116" s="37" t="n">
        <v>650</v>
      </c>
      <c r="J116" s="39" t="n">
        <f aca="false">I116*5</f>
        <v>0</v>
      </c>
      <c r="K116" s="32"/>
      <c r="L116" s="37" t="n">
        <f aca="false">IF(S116,1,0)+IF(AA116,1,0)+AD116+AI116+AN116+AT116+AZ116+BF116</f>
        <v>0</v>
      </c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115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</row>
    <row r="117" customFormat="false" ht="12.8" hidden="false" customHeight="false" outlineLevel="0" collapsed="false">
      <c r="A117" s="32" t="s">
        <v>258</v>
      </c>
      <c r="B117" s="33" t="s">
        <v>93</v>
      </c>
      <c r="C117" s="110" t="s">
        <v>301</v>
      </c>
      <c r="D117" s="32" t="s">
        <v>305</v>
      </c>
      <c r="E117" s="110" t="s">
        <v>255</v>
      </c>
      <c r="F117" s="32" t="s">
        <v>237</v>
      </c>
      <c r="G117" s="32"/>
      <c r="H117" s="39" t="n">
        <v>7000</v>
      </c>
      <c r="I117" s="37" t="n">
        <v>650</v>
      </c>
      <c r="J117" s="39" t="n">
        <f aca="false">I117*5</f>
        <v>0</v>
      </c>
      <c r="K117" s="37" t="n">
        <v>3</v>
      </c>
      <c r="L117" s="37" t="n">
        <f aca="false">IF(S117,1,0)+IF(AA117,1,0)+AD117+AI117+AN117+AT117+AZ117+BF117</f>
        <v>0</v>
      </c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113" t="n">
        <v>3</v>
      </c>
      <c r="AD117" s="39" t="n">
        <v>2</v>
      </c>
      <c r="AE117" s="112" t="s">
        <v>414</v>
      </c>
      <c r="AF117" s="112" t="s">
        <v>415</v>
      </c>
      <c r="AG117" s="112" t="s">
        <v>389</v>
      </c>
      <c r="AH117" s="113" t="n">
        <v>3</v>
      </c>
      <c r="AI117" s="39" t="n">
        <v>2</v>
      </c>
      <c r="AJ117" s="112" t="s">
        <v>414</v>
      </c>
      <c r="AK117" s="112" t="s">
        <v>415</v>
      </c>
      <c r="AL117" s="112" t="s">
        <v>389</v>
      </c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</row>
    <row r="118" customFormat="false" ht="12.8" hidden="false" customHeight="false" outlineLevel="0" collapsed="false">
      <c r="A118" s="32" t="s">
        <v>258</v>
      </c>
      <c r="B118" s="33" t="s">
        <v>113</v>
      </c>
      <c r="C118" s="33" t="s">
        <v>272</v>
      </c>
      <c r="D118" s="33" t="s">
        <v>273</v>
      </c>
      <c r="E118" s="47" t="s">
        <v>89</v>
      </c>
      <c r="F118" s="32" t="s">
        <v>148</v>
      </c>
      <c r="G118" s="32"/>
      <c r="H118" s="39" t="n">
        <v>7000</v>
      </c>
      <c r="I118" s="37" t="n">
        <v>600</v>
      </c>
      <c r="J118" s="39" t="n">
        <f aca="false">I118*5</f>
        <v>0</v>
      </c>
      <c r="K118" s="37" t="n">
        <v>2</v>
      </c>
      <c r="L118" s="37" t="n">
        <f aca="false">IF(S118,1,0)+IF(AA118,1,0)+AD118+AI118+AN118+AT118+AZ118+BF118</f>
        <v>0</v>
      </c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113" t="n">
        <v>6</v>
      </c>
      <c r="AD118" s="39" t="n">
        <v>2</v>
      </c>
      <c r="AE118" s="112" t="s">
        <v>398</v>
      </c>
      <c r="AF118" s="112" t="s">
        <v>399</v>
      </c>
      <c r="AG118" s="112" t="s">
        <v>378</v>
      </c>
      <c r="AH118" s="113" t="n">
        <v>6</v>
      </c>
      <c r="AI118" s="39" t="n">
        <v>1</v>
      </c>
      <c r="AJ118" s="112" t="s">
        <v>398</v>
      </c>
      <c r="AK118" s="112" t="s">
        <v>399</v>
      </c>
      <c r="AL118" s="112" t="s">
        <v>378</v>
      </c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</row>
    <row r="119" customFormat="false" ht="12.8" hidden="false" customHeight="false" outlineLevel="0" collapsed="false">
      <c r="A119" s="32" t="s">
        <v>258</v>
      </c>
      <c r="B119" s="33" t="s">
        <v>113</v>
      </c>
      <c r="C119" s="33" t="s">
        <v>272</v>
      </c>
      <c r="D119" s="33" t="s">
        <v>274</v>
      </c>
      <c r="E119" s="110" t="s">
        <v>87</v>
      </c>
      <c r="F119" s="32" t="s">
        <v>237</v>
      </c>
      <c r="G119" s="32"/>
      <c r="H119" s="39" t="n">
        <v>7000</v>
      </c>
      <c r="I119" s="37" t="n">
        <v>600</v>
      </c>
      <c r="J119" s="39" t="n">
        <f aca="false">I119*5</f>
        <v>0</v>
      </c>
      <c r="K119" s="37" t="n">
        <v>2</v>
      </c>
      <c r="L119" s="37" t="n">
        <f aca="false">IF(S119,1,0)+IF(AA119,1,0)+AD119+AI119+AN119+AT119+AZ119+BF119</f>
        <v>0</v>
      </c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113" t="n">
        <v>6</v>
      </c>
      <c r="AD119" s="39" t="n">
        <v>2</v>
      </c>
      <c r="AE119" s="112" t="s">
        <v>398</v>
      </c>
      <c r="AF119" s="112" t="s">
        <v>399</v>
      </c>
      <c r="AG119" s="112" t="s">
        <v>378</v>
      </c>
      <c r="AH119" s="113" t="n">
        <v>6</v>
      </c>
      <c r="AI119" s="39" t="n">
        <v>1</v>
      </c>
      <c r="AJ119" s="112" t="s">
        <v>398</v>
      </c>
      <c r="AK119" s="112" t="s">
        <v>399</v>
      </c>
      <c r="AL119" s="112" t="s">
        <v>378</v>
      </c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</row>
    <row r="120" customFormat="false" ht="12.8" hidden="false" customHeight="false" outlineLevel="0" collapsed="false">
      <c r="A120" s="36" t="s">
        <v>258</v>
      </c>
      <c r="B120" s="33" t="s">
        <v>113</v>
      </c>
      <c r="C120" s="33" t="s">
        <v>272</v>
      </c>
      <c r="D120" s="33" t="s">
        <v>275</v>
      </c>
      <c r="E120" s="47" t="s">
        <v>88</v>
      </c>
      <c r="F120" s="36" t="s">
        <v>237</v>
      </c>
      <c r="G120" s="32"/>
      <c r="H120" s="39" t="n">
        <v>7000</v>
      </c>
      <c r="I120" s="37" t="n">
        <v>750</v>
      </c>
      <c r="J120" s="39" t="n">
        <f aca="false">I120*5</f>
        <v>0</v>
      </c>
      <c r="K120" s="37" t="n">
        <v>0</v>
      </c>
      <c r="L120" s="37" t="n">
        <f aca="false">IF(S120,1,0)+IF(AA120,1,0)+AD120+AI120+AN120+AT120+AZ120+BF120</f>
        <v>0</v>
      </c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109"/>
      <c r="AD120" s="39"/>
      <c r="AE120" s="112"/>
      <c r="AF120" s="112"/>
      <c r="AG120" s="112"/>
      <c r="AH120" s="112"/>
      <c r="AI120" s="39"/>
      <c r="AJ120" s="112"/>
      <c r="AK120" s="112"/>
      <c r="AL120" s="11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</row>
    <row r="121" customFormat="false" ht="12.8" hidden="false" customHeight="false" outlineLevel="0" collapsed="false">
      <c r="A121" s="32" t="s">
        <v>258</v>
      </c>
      <c r="B121" s="33" t="s">
        <v>113</v>
      </c>
      <c r="C121" s="33" t="s">
        <v>266</v>
      </c>
      <c r="D121" s="33" t="s">
        <v>267</v>
      </c>
      <c r="E121" s="47" t="s">
        <v>89</v>
      </c>
      <c r="F121" s="32" t="s">
        <v>178</v>
      </c>
      <c r="G121" s="32"/>
      <c r="H121" s="39" t="n">
        <v>7000</v>
      </c>
      <c r="I121" s="37" t="n">
        <v>450</v>
      </c>
      <c r="J121" s="39" t="n">
        <f aca="false">I121*5</f>
        <v>0</v>
      </c>
      <c r="K121" s="37" t="n">
        <v>2</v>
      </c>
      <c r="L121" s="37" t="n">
        <f aca="false">IF(S121,1,0)+IF(AA121,1,0)+AD121+AI121+AN121+AT121+AZ121+BF121</f>
        <v>0</v>
      </c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113" t="n">
        <v>6</v>
      </c>
      <c r="AD121" s="39" t="n">
        <v>2</v>
      </c>
      <c r="AE121" s="112" t="s">
        <v>398</v>
      </c>
      <c r="AF121" s="112" t="s">
        <v>399</v>
      </c>
      <c r="AG121" s="112" t="s">
        <v>378</v>
      </c>
      <c r="AH121" s="113" t="n">
        <v>6</v>
      </c>
      <c r="AI121" s="39" t="n">
        <v>1</v>
      </c>
      <c r="AJ121" s="112" t="s">
        <v>398</v>
      </c>
      <c r="AK121" s="112" t="s">
        <v>399</v>
      </c>
      <c r="AL121" s="112" t="s">
        <v>378</v>
      </c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</row>
    <row r="122" customFormat="false" ht="12.8" hidden="false" customHeight="false" outlineLevel="0" collapsed="false">
      <c r="A122" s="36" t="s">
        <v>258</v>
      </c>
      <c r="B122" s="33" t="s">
        <v>113</v>
      </c>
      <c r="C122" s="47" t="s">
        <v>268</v>
      </c>
      <c r="D122" s="33" t="s">
        <v>269</v>
      </c>
      <c r="E122" s="47" t="s">
        <v>89</v>
      </c>
      <c r="F122" s="36" t="s">
        <v>270</v>
      </c>
      <c r="G122" s="32"/>
      <c r="H122" s="39" t="n">
        <v>7000</v>
      </c>
      <c r="I122" s="37" t="n">
        <v>600</v>
      </c>
      <c r="J122" s="39" t="n">
        <f aca="false">I122*5</f>
        <v>0</v>
      </c>
      <c r="K122" s="37" t="n">
        <v>2</v>
      </c>
      <c r="L122" s="37" t="n">
        <f aca="false">IF(S122,1,0)+IF(AA122,1,0)+AD122+AI122+AN122+AT122+AZ122+BF122</f>
        <v>0</v>
      </c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113" t="n">
        <v>6</v>
      </c>
      <c r="AD122" s="39" t="n">
        <v>2</v>
      </c>
      <c r="AE122" s="112" t="s">
        <v>398</v>
      </c>
      <c r="AF122" s="112" t="s">
        <v>399</v>
      </c>
      <c r="AG122" s="112" t="s">
        <v>378</v>
      </c>
      <c r="AH122" s="113" t="n">
        <v>6</v>
      </c>
      <c r="AI122" s="39" t="n">
        <v>1</v>
      </c>
      <c r="AJ122" s="112" t="s">
        <v>398</v>
      </c>
      <c r="AK122" s="112" t="s">
        <v>399</v>
      </c>
      <c r="AL122" s="112" t="s">
        <v>378</v>
      </c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</row>
    <row r="123" customFormat="false" ht="12.8" hidden="false" customHeight="false" outlineLevel="0" collapsed="false">
      <c r="A123" s="36" t="s">
        <v>258</v>
      </c>
      <c r="B123" s="33" t="s">
        <v>113</v>
      </c>
      <c r="C123" s="47" t="s">
        <v>268</v>
      </c>
      <c r="D123" s="33" t="s">
        <v>271</v>
      </c>
      <c r="E123" s="110" t="s">
        <v>87</v>
      </c>
      <c r="F123" s="36" t="s">
        <v>188</v>
      </c>
      <c r="G123" s="32"/>
      <c r="H123" s="39" t="n">
        <v>7000</v>
      </c>
      <c r="I123" s="37"/>
      <c r="J123" s="39" t="n">
        <f aca="false">I123*5</f>
        <v>0</v>
      </c>
      <c r="K123" s="37"/>
      <c r="L123" s="37" t="n">
        <f aca="false">IF(S123,1,0)+IF(AA123,1,0)+AD123+AI123+AN123+AT123+AZ123+BF123</f>
        <v>0</v>
      </c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109"/>
      <c r="AD123" s="39"/>
      <c r="AE123" s="112"/>
      <c r="AF123" s="112"/>
      <c r="AG123" s="112"/>
      <c r="AH123" s="112"/>
      <c r="AI123" s="39"/>
      <c r="AJ123" s="112"/>
      <c r="AK123" s="112"/>
      <c r="AL123" s="11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</row>
    <row r="124" customFormat="false" ht="12.8" hidden="false" customHeight="false" outlineLevel="0" collapsed="false">
      <c r="A124" s="36" t="s">
        <v>258</v>
      </c>
      <c r="B124" s="33" t="s">
        <v>113</v>
      </c>
      <c r="C124" s="47" t="s">
        <v>268</v>
      </c>
      <c r="D124" s="33" t="s">
        <v>263</v>
      </c>
      <c r="E124" s="47" t="s">
        <v>88</v>
      </c>
      <c r="F124" s="36" t="s">
        <v>237</v>
      </c>
      <c r="G124" s="32"/>
      <c r="H124" s="39" t="n">
        <v>7000</v>
      </c>
      <c r="I124" s="37" t="n">
        <v>600</v>
      </c>
      <c r="J124" s="39" t="n">
        <f aca="false">I124*5</f>
        <v>0</v>
      </c>
      <c r="K124" s="37" t="n">
        <v>2</v>
      </c>
      <c r="L124" s="37" t="n">
        <f aca="false">IF(S124,1,0)+IF(AA124,1,0)+AD124+AI124+AN124+AT124+AZ124+BF124</f>
        <v>0</v>
      </c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113" t="n">
        <v>6</v>
      </c>
      <c r="AD124" s="39" t="n">
        <v>2</v>
      </c>
      <c r="AE124" s="112" t="s">
        <v>398</v>
      </c>
      <c r="AF124" s="112" t="s">
        <v>399</v>
      </c>
      <c r="AG124" s="112" t="s">
        <v>378</v>
      </c>
      <c r="AH124" s="113" t="n">
        <v>6</v>
      </c>
      <c r="AI124" s="39" t="n">
        <v>1</v>
      </c>
      <c r="AJ124" s="112" t="s">
        <v>398</v>
      </c>
      <c r="AK124" s="112" t="s">
        <v>399</v>
      </c>
      <c r="AL124" s="112" t="s">
        <v>378</v>
      </c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</row>
    <row r="125" customFormat="false" ht="12.8" hidden="false" customHeight="false" outlineLevel="0" collapsed="false">
      <c r="A125" s="36" t="s">
        <v>258</v>
      </c>
      <c r="B125" s="36" t="s">
        <v>98</v>
      </c>
      <c r="C125" s="33" t="s">
        <v>259</v>
      </c>
      <c r="D125" s="33" t="s">
        <v>260</v>
      </c>
      <c r="E125" s="58" t="s">
        <v>89</v>
      </c>
      <c r="F125" s="33" t="s">
        <v>188</v>
      </c>
      <c r="G125" s="32"/>
      <c r="H125" s="39" t="n">
        <v>7000</v>
      </c>
      <c r="I125" s="37" t="n">
        <v>500</v>
      </c>
      <c r="J125" s="39" t="n">
        <f aca="false">I125*5</f>
        <v>0</v>
      </c>
      <c r="K125" s="37" t="n">
        <v>3</v>
      </c>
      <c r="L125" s="37" t="n">
        <f aca="false">IF(S125,1,0)+IF(AA125,1,0)+AD125+AI125+AN125+AT125+AZ125+BF125</f>
        <v>0</v>
      </c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113" t="n">
        <v>3</v>
      </c>
      <c r="AD125" s="39" t="n">
        <v>2</v>
      </c>
      <c r="AE125" s="112" t="s">
        <v>414</v>
      </c>
      <c r="AF125" s="112" t="s">
        <v>415</v>
      </c>
      <c r="AG125" s="112" t="s">
        <v>389</v>
      </c>
      <c r="AH125" s="113" t="n">
        <v>3</v>
      </c>
      <c r="AI125" s="39" t="n">
        <v>2</v>
      </c>
      <c r="AJ125" s="112" t="s">
        <v>414</v>
      </c>
      <c r="AK125" s="112" t="s">
        <v>415</v>
      </c>
      <c r="AL125" s="112" t="s">
        <v>389</v>
      </c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</row>
    <row r="126" customFormat="false" ht="12.8" hidden="false" customHeight="false" outlineLevel="0" collapsed="false">
      <c r="A126" s="36" t="s">
        <v>258</v>
      </c>
      <c r="B126" s="36" t="s">
        <v>98</v>
      </c>
      <c r="C126" s="33" t="s">
        <v>259</v>
      </c>
      <c r="D126" s="33" t="s">
        <v>261</v>
      </c>
      <c r="E126" s="58" t="s">
        <v>87</v>
      </c>
      <c r="F126" s="33" t="s">
        <v>116</v>
      </c>
      <c r="G126" s="32"/>
      <c r="H126" s="39" t="n">
        <v>7000</v>
      </c>
      <c r="I126" s="37" t="n">
        <v>500</v>
      </c>
      <c r="J126" s="39" t="n">
        <f aca="false">I126*5</f>
        <v>0</v>
      </c>
      <c r="K126" s="37" t="n">
        <v>3</v>
      </c>
      <c r="L126" s="37" t="n">
        <f aca="false">IF(S126,1,0)+IF(AA126,1,0)+AD126+AI126+AN126+AT126+AZ126+BF126</f>
        <v>0</v>
      </c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109"/>
      <c r="AD126" s="39"/>
      <c r="AE126" s="112"/>
      <c r="AF126" s="112"/>
      <c r="AG126" s="112"/>
      <c r="AH126" s="112"/>
      <c r="AI126" s="39"/>
      <c r="AJ126" s="112"/>
      <c r="AK126" s="112"/>
      <c r="AL126" s="11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</row>
    <row r="127" customFormat="false" ht="12.8" hidden="false" customHeight="false" outlineLevel="0" collapsed="false">
      <c r="A127" s="36" t="s">
        <v>258</v>
      </c>
      <c r="B127" s="36" t="s">
        <v>158</v>
      </c>
      <c r="C127" s="33" t="s">
        <v>284</v>
      </c>
      <c r="D127" s="33" t="s">
        <v>285</v>
      </c>
      <c r="E127" s="47" t="s">
        <v>89</v>
      </c>
      <c r="F127" s="33" t="s">
        <v>176</v>
      </c>
      <c r="G127" s="32"/>
      <c r="H127" s="39" t="n">
        <v>7000</v>
      </c>
      <c r="I127" s="37" t="n">
        <v>450</v>
      </c>
      <c r="J127" s="39" t="n">
        <f aca="false">I127*5</f>
        <v>0</v>
      </c>
      <c r="K127" s="37" t="n">
        <v>3</v>
      </c>
      <c r="L127" s="37" t="n">
        <f aca="false">IF(S127,1,0)+IF(AA127,1,0)+AD127+AI127+AN127+AT127+AZ127+BF127</f>
        <v>0</v>
      </c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113" t="n">
        <v>3</v>
      </c>
      <c r="AD127" s="39" t="n">
        <v>2</v>
      </c>
      <c r="AE127" s="112" t="s">
        <v>414</v>
      </c>
      <c r="AF127" s="112" t="s">
        <v>415</v>
      </c>
      <c r="AG127" s="112" t="s">
        <v>389</v>
      </c>
      <c r="AH127" s="113" t="n">
        <v>3</v>
      </c>
      <c r="AI127" s="39" t="n">
        <v>2</v>
      </c>
      <c r="AJ127" s="112" t="s">
        <v>414</v>
      </c>
      <c r="AK127" s="112" t="s">
        <v>415</v>
      </c>
      <c r="AL127" s="112" t="s">
        <v>389</v>
      </c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</row>
    <row r="128" customFormat="false" ht="12.8" hidden="false" customHeight="false" outlineLevel="0" collapsed="false">
      <c r="A128" s="36" t="s">
        <v>258</v>
      </c>
      <c r="B128" s="36" t="s">
        <v>158</v>
      </c>
      <c r="C128" s="33" t="s">
        <v>284</v>
      </c>
      <c r="D128" s="33" t="s">
        <v>285</v>
      </c>
      <c r="E128" s="47" t="s">
        <v>89</v>
      </c>
      <c r="F128" s="33" t="s">
        <v>176</v>
      </c>
      <c r="G128" s="33" t="s">
        <v>416</v>
      </c>
      <c r="H128" s="39" t="n">
        <v>7000</v>
      </c>
      <c r="I128" s="37"/>
      <c r="J128" s="39"/>
      <c r="K128" s="37" t="n">
        <v>2</v>
      </c>
      <c r="L128" s="37" t="n">
        <f aca="false">IF(S128,1,0)+IF(AA128,1,0)+AD128+AI128+AN128+AT128+AZ128+BF128</f>
        <v>0</v>
      </c>
      <c r="M128" s="32"/>
      <c r="N128" s="41" t="n">
        <v>0.15</v>
      </c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109"/>
      <c r="AD128" s="39"/>
      <c r="AE128" s="112"/>
      <c r="AF128" s="112"/>
      <c r="AG128" s="112"/>
      <c r="AH128" s="112"/>
      <c r="AI128" s="39"/>
      <c r="AJ128" s="112"/>
      <c r="AK128" s="112"/>
      <c r="AL128" s="112"/>
      <c r="AM128" s="32"/>
      <c r="AN128" s="32"/>
      <c r="AO128" s="32"/>
      <c r="AP128" s="32"/>
      <c r="AQ128" s="32"/>
      <c r="AR128" s="32"/>
      <c r="AS128" s="39" t="n">
        <v>8</v>
      </c>
      <c r="AT128" s="39" t="n">
        <v>2</v>
      </c>
      <c r="AU128" s="114" t="s">
        <v>381</v>
      </c>
      <c r="AV128" s="114" t="s">
        <v>382</v>
      </c>
      <c r="AW128" s="114" t="s">
        <v>383</v>
      </c>
      <c r="AX128" s="114" t="s">
        <v>384</v>
      </c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</row>
    <row r="129" customFormat="false" ht="12.8" hidden="false" customHeight="false" outlineLevel="0" collapsed="false">
      <c r="A129" s="32" t="s">
        <v>311</v>
      </c>
      <c r="B129" s="33" t="s">
        <v>81</v>
      </c>
      <c r="C129" s="33" t="s">
        <v>322</v>
      </c>
      <c r="D129" s="33" t="s">
        <v>323</v>
      </c>
      <c r="E129" s="47" t="s">
        <v>84</v>
      </c>
      <c r="F129" s="33" t="s">
        <v>85</v>
      </c>
      <c r="G129" s="32"/>
      <c r="H129" s="39" t="n">
        <v>13000</v>
      </c>
      <c r="I129" s="37" t="n">
        <v>250</v>
      </c>
      <c r="J129" s="39" t="n">
        <f aca="false">I129*5</f>
        <v>0</v>
      </c>
      <c r="K129" s="37" t="n">
        <v>3</v>
      </c>
      <c r="L129" s="37" t="n">
        <f aca="false">IF(S129,1,0)+IF(AA129,1,0)+AD129+AI129+AN129+AT129+AZ129+BF129</f>
        <v>0</v>
      </c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113" t="n">
        <v>6</v>
      </c>
      <c r="AD129" s="39" t="n">
        <v>2</v>
      </c>
      <c r="AE129" s="112" t="s">
        <v>398</v>
      </c>
      <c r="AF129" s="112" t="s">
        <v>399</v>
      </c>
      <c r="AG129" s="112" t="s">
        <v>378</v>
      </c>
      <c r="AH129" s="113" t="n">
        <v>6</v>
      </c>
      <c r="AI129" s="39" t="n">
        <v>2</v>
      </c>
      <c r="AJ129" s="112" t="s">
        <v>398</v>
      </c>
      <c r="AK129" s="112" t="s">
        <v>399</v>
      </c>
      <c r="AL129" s="112" t="s">
        <v>378</v>
      </c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</row>
    <row r="130" customFormat="false" ht="12.8" hidden="false" customHeight="false" outlineLevel="0" collapsed="false">
      <c r="A130" s="32" t="s">
        <v>311</v>
      </c>
      <c r="B130" s="33" t="s">
        <v>98</v>
      </c>
      <c r="C130" s="33" t="s">
        <v>312</v>
      </c>
      <c r="D130" s="33" t="s">
        <v>313</v>
      </c>
      <c r="E130" s="47" t="s">
        <v>84</v>
      </c>
      <c r="F130" s="33" t="s">
        <v>85</v>
      </c>
      <c r="G130" s="32"/>
      <c r="H130" s="39" t="n">
        <v>13000</v>
      </c>
      <c r="I130" s="37" t="n">
        <v>400</v>
      </c>
      <c r="J130" s="39" t="n">
        <f aca="false">I130*5</f>
        <v>0</v>
      </c>
      <c r="K130" s="37" t="n">
        <v>3</v>
      </c>
      <c r="L130" s="37" t="n">
        <f aca="false">IF(S130,1,0)+IF(AA130,1,0)+AD130+AI130+AN130+AT130+AZ130+BF130</f>
        <v>0</v>
      </c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113" t="n">
        <v>6</v>
      </c>
      <c r="AD130" s="39" t="n">
        <v>2</v>
      </c>
      <c r="AE130" s="112" t="s">
        <v>398</v>
      </c>
      <c r="AF130" s="112" t="s">
        <v>399</v>
      </c>
      <c r="AG130" s="112" t="s">
        <v>378</v>
      </c>
      <c r="AH130" s="113" t="n">
        <v>6</v>
      </c>
      <c r="AI130" s="39" t="n">
        <v>2</v>
      </c>
      <c r="AJ130" s="112" t="s">
        <v>398</v>
      </c>
      <c r="AK130" s="112" t="s">
        <v>399</v>
      </c>
      <c r="AL130" s="112" t="s">
        <v>378</v>
      </c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</row>
    <row r="131" customFormat="false" ht="12.8" hidden="false" customHeight="false" outlineLevel="0" collapsed="false">
      <c r="A131" s="32" t="s">
        <v>311</v>
      </c>
      <c r="B131" s="33" t="s">
        <v>158</v>
      </c>
      <c r="C131" s="33" t="s">
        <v>317</v>
      </c>
      <c r="D131" s="33" t="s">
        <v>318</v>
      </c>
      <c r="E131" s="47" t="s">
        <v>84</v>
      </c>
      <c r="F131" s="33" t="s">
        <v>85</v>
      </c>
      <c r="G131" s="32"/>
      <c r="H131" s="39" t="n">
        <v>13000</v>
      </c>
      <c r="I131" s="37" t="n">
        <v>450</v>
      </c>
      <c r="J131" s="39" t="n">
        <f aca="false">I131*5</f>
        <v>0</v>
      </c>
      <c r="K131" s="37" t="n">
        <v>3</v>
      </c>
      <c r="L131" s="37" t="n">
        <f aca="false">IF(S131,1,0)+IF(AA131,1,0)+AD131+AI131+AN131+AT131+AZ131+BF131</f>
        <v>0</v>
      </c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113" t="n">
        <v>6</v>
      </c>
      <c r="AD131" s="39" t="n">
        <v>2</v>
      </c>
      <c r="AE131" s="112" t="s">
        <v>398</v>
      </c>
      <c r="AF131" s="112" t="s">
        <v>399</v>
      </c>
      <c r="AG131" s="112" t="s">
        <v>378</v>
      </c>
      <c r="AH131" s="113" t="n">
        <v>6</v>
      </c>
      <c r="AI131" s="39" t="n">
        <v>2</v>
      </c>
      <c r="AJ131" s="112" t="s">
        <v>398</v>
      </c>
      <c r="AK131" s="112" t="s">
        <v>399</v>
      </c>
      <c r="AL131" s="112" t="s">
        <v>378</v>
      </c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</row>
    <row r="132" customFormat="false" ht="12.8" hidden="false" customHeight="false" outlineLevel="0" collapsed="false">
      <c r="A132" s="32" t="s">
        <v>311</v>
      </c>
      <c r="B132" s="33" t="s">
        <v>93</v>
      </c>
      <c r="C132" s="47" t="s">
        <v>325</v>
      </c>
      <c r="D132" s="33" t="s">
        <v>326</v>
      </c>
      <c r="E132" s="47" t="s">
        <v>84</v>
      </c>
      <c r="F132" s="33" t="s">
        <v>85</v>
      </c>
      <c r="G132" s="32"/>
      <c r="H132" s="39" t="n">
        <v>13000</v>
      </c>
      <c r="I132" s="37" t="n">
        <v>250</v>
      </c>
      <c r="J132" s="39" t="n">
        <f aca="false">I132*5</f>
        <v>0</v>
      </c>
      <c r="K132" s="37" t="n">
        <v>3</v>
      </c>
      <c r="L132" s="37" t="n">
        <f aca="false">IF(S132,1,0)+IF(AA132,1,0)+AD132+AI132+AN132+AT132+AZ132+BF132</f>
        <v>0</v>
      </c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113" t="n">
        <v>6</v>
      </c>
      <c r="AD132" s="39" t="n">
        <v>2</v>
      </c>
      <c r="AE132" s="112" t="s">
        <v>398</v>
      </c>
      <c r="AF132" s="112" t="s">
        <v>399</v>
      </c>
      <c r="AG132" s="112" t="s">
        <v>378</v>
      </c>
      <c r="AH132" s="113" t="n">
        <v>6</v>
      </c>
      <c r="AI132" s="39" t="n">
        <v>2</v>
      </c>
      <c r="AJ132" s="112" t="s">
        <v>398</v>
      </c>
      <c r="AK132" s="112" t="s">
        <v>399</v>
      </c>
      <c r="AL132" s="112" t="s">
        <v>378</v>
      </c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</row>
    <row r="133" customFormat="false" ht="12.8" hidden="false" customHeight="false" outlineLevel="0" collapsed="false">
      <c r="A133" s="32" t="s">
        <v>311</v>
      </c>
      <c r="B133" s="33" t="s">
        <v>113</v>
      </c>
      <c r="C133" s="33" t="s">
        <v>315</v>
      </c>
      <c r="D133" s="33" t="s">
        <v>316</v>
      </c>
      <c r="E133" s="47" t="s">
        <v>84</v>
      </c>
      <c r="F133" s="33" t="s">
        <v>85</v>
      </c>
      <c r="G133" s="32"/>
      <c r="H133" s="39" t="n">
        <v>13000</v>
      </c>
      <c r="I133" s="37" t="n">
        <v>250</v>
      </c>
      <c r="J133" s="39" t="n">
        <f aca="false">I133*5</f>
        <v>0</v>
      </c>
      <c r="K133" s="37" t="n">
        <v>3</v>
      </c>
      <c r="L133" s="37" t="n">
        <f aca="false">IF(S133,1,0)+IF(AA133,1,0)+AD133+AI133+AN133+AT133+AZ133+BF133</f>
        <v>0</v>
      </c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113" t="n">
        <v>6</v>
      </c>
      <c r="AD133" s="39" t="n">
        <v>2</v>
      </c>
      <c r="AE133" s="112" t="s">
        <v>398</v>
      </c>
      <c r="AF133" s="112" t="s">
        <v>399</v>
      </c>
      <c r="AG133" s="112" t="s">
        <v>378</v>
      </c>
      <c r="AH133" s="113" t="n">
        <v>6</v>
      </c>
      <c r="AI133" s="39" t="n">
        <v>2</v>
      </c>
      <c r="AJ133" s="112" t="s">
        <v>398</v>
      </c>
      <c r="AK133" s="112" t="s">
        <v>399</v>
      </c>
      <c r="AL133" s="112" t="s">
        <v>378</v>
      </c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</row>
    <row r="134" customFormat="false" ht="12.8" hidden="false" customHeight="false" outlineLevel="0" collapsed="false">
      <c r="A134" s="32" t="s">
        <v>80</v>
      </c>
      <c r="B134" s="33" t="s">
        <v>81</v>
      </c>
      <c r="C134" s="33" t="s">
        <v>82</v>
      </c>
      <c r="D134" s="33" t="s">
        <v>83</v>
      </c>
      <c r="E134" s="47" t="s">
        <v>84</v>
      </c>
      <c r="F134" s="33" t="s">
        <v>85</v>
      </c>
      <c r="G134" s="32"/>
      <c r="H134" s="39" t="n">
        <v>15000</v>
      </c>
      <c r="I134" s="37" t="n">
        <v>250</v>
      </c>
      <c r="J134" s="39" t="n">
        <f aca="false">I134*5</f>
        <v>0</v>
      </c>
      <c r="K134" s="37" t="n">
        <v>3</v>
      </c>
      <c r="L134" s="37" t="n">
        <f aca="false">IF(S134,1,0)+IF(AA134,1,0)+AD134+AI134+AN134+AT134+AZ134+BF134</f>
        <v>0</v>
      </c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113" t="n">
        <v>6</v>
      </c>
      <c r="AD134" s="39" t="n">
        <v>2</v>
      </c>
      <c r="AE134" s="112" t="s">
        <v>398</v>
      </c>
      <c r="AF134" s="112" t="s">
        <v>399</v>
      </c>
      <c r="AG134" s="112" t="s">
        <v>378</v>
      </c>
      <c r="AH134" s="113" t="n">
        <v>6</v>
      </c>
      <c r="AI134" s="39" t="n">
        <v>2</v>
      </c>
      <c r="AJ134" s="112" t="s">
        <v>398</v>
      </c>
      <c r="AK134" s="112" t="s">
        <v>399</v>
      </c>
      <c r="AL134" s="112" t="s">
        <v>378</v>
      </c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</row>
    <row r="135" customFormat="false" ht="12.8" hidden="false" customHeight="false" outlineLevel="0" collapsed="false">
      <c r="A135" s="32" t="s">
        <v>80</v>
      </c>
      <c r="B135" s="33" t="s">
        <v>93</v>
      </c>
      <c r="C135" s="47" t="s">
        <v>94</v>
      </c>
      <c r="D135" s="33" t="s">
        <v>95</v>
      </c>
      <c r="E135" s="47" t="s">
        <v>84</v>
      </c>
      <c r="F135" s="33" t="s">
        <v>85</v>
      </c>
      <c r="G135" s="32"/>
      <c r="H135" s="39" t="n">
        <v>15000</v>
      </c>
      <c r="I135" s="37" t="n">
        <v>400</v>
      </c>
      <c r="J135" s="39" t="n">
        <f aca="false">I135*5</f>
        <v>0</v>
      </c>
      <c r="K135" s="37" t="n">
        <v>4</v>
      </c>
      <c r="L135" s="37" t="n">
        <f aca="false">IF(S135,1,0)+IF(AA135,1,0)+AD135+AI135+AN135+AT135+AZ135+BF135</f>
        <v>0</v>
      </c>
      <c r="M135" s="32"/>
      <c r="N135" s="32"/>
      <c r="O135" s="32"/>
      <c r="P135" s="32"/>
      <c r="Q135" s="32"/>
      <c r="R135" s="116" t="s">
        <v>400</v>
      </c>
      <c r="S135" s="39" t="n">
        <v>20</v>
      </c>
      <c r="T135" s="105" t="s">
        <v>401</v>
      </c>
      <c r="U135" s="105" t="s">
        <v>92</v>
      </c>
      <c r="V135" s="39"/>
      <c r="W135" s="39" t="n">
        <v>40</v>
      </c>
      <c r="X135" s="39"/>
      <c r="Y135" s="105" t="s">
        <v>412</v>
      </c>
      <c r="Z135" s="32"/>
      <c r="AA135" s="32"/>
      <c r="AB135" s="32"/>
      <c r="AC135" s="113" t="n">
        <v>6</v>
      </c>
      <c r="AD135" s="39" t="n">
        <v>2</v>
      </c>
      <c r="AE135" s="112" t="s">
        <v>398</v>
      </c>
      <c r="AF135" s="112" t="s">
        <v>399</v>
      </c>
      <c r="AG135" s="112" t="s">
        <v>378</v>
      </c>
      <c r="AH135" s="113" t="n">
        <v>6</v>
      </c>
      <c r="AI135" s="39" t="n">
        <v>2</v>
      </c>
      <c r="AJ135" s="112" t="s">
        <v>398</v>
      </c>
      <c r="AK135" s="112" t="s">
        <v>399</v>
      </c>
      <c r="AL135" s="112" t="s">
        <v>378</v>
      </c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</row>
    <row r="136" customFormat="false" ht="12.8" hidden="false" customHeight="false" outlineLevel="0" collapsed="false">
      <c r="A136" s="32" t="s">
        <v>308</v>
      </c>
      <c r="B136" s="33" t="s">
        <v>113</v>
      </c>
      <c r="C136" s="33" t="s">
        <v>309</v>
      </c>
      <c r="D136" s="33" t="s">
        <v>310</v>
      </c>
      <c r="E136" s="47" t="s">
        <v>84</v>
      </c>
      <c r="F136" s="33" t="s">
        <v>85</v>
      </c>
      <c r="G136" s="32"/>
      <c r="H136" s="39"/>
      <c r="I136" s="37"/>
      <c r="J136" s="39" t="n">
        <f aca="false">I136*5</f>
        <v>0</v>
      </c>
      <c r="K136" s="37"/>
      <c r="L136" s="37" t="n">
        <f aca="false">IF(S136,1,0)+IF(AA136,1,0)+AD136+AI136+AN136+AT136+AZ136+BF136</f>
        <v>0</v>
      </c>
      <c r="M136" s="32"/>
      <c r="N136" s="32"/>
      <c r="O136" s="32"/>
      <c r="P136" s="32"/>
      <c r="Q136" s="32"/>
      <c r="R136" s="112"/>
      <c r="S136" s="39"/>
      <c r="T136" s="39"/>
      <c r="U136" s="39"/>
      <c r="V136" s="39"/>
      <c r="W136" s="39"/>
      <c r="X136" s="39"/>
      <c r="Y136" s="39"/>
      <c r="Z136" s="32"/>
      <c r="AA136" s="32"/>
      <c r="AB136" s="32"/>
      <c r="AC136" s="109"/>
      <c r="AD136" s="39"/>
      <c r="AE136" s="112"/>
      <c r="AF136" s="112"/>
      <c r="AG136" s="112"/>
      <c r="AH136" s="112"/>
      <c r="AI136" s="39"/>
      <c r="AJ136" s="112"/>
      <c r="AK136" s="112"/>
      <c r="AL136" s="11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</row>
    <row r="137" customFormat="false" ht="12.8" hidden="false" customHeight="false" outlineLevel="0" collapsed="false">
      <c r="A137" s="103"/>
      <c r="B137" s="103"/>
      <c r="C137" s="103"/>
      <c r="D137" s="103"/>
      <c r="E137" s="103"/>
      <c r="F137" s="103"/>
      <c r="G137" s="103"/>
      <c r="H137" s="103"/>
      <c r="I137" s="103"/>
      <c r="J137" s="117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18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19"/>
      <c r="AN137" s="119"/>
      <c r="AO137" s="119"/>
      <c r="AP137" s="119"/>
      <c r="AQ137" s="119"/>
      <c r="AR137" s="119"/>
      <c r="AS137" s="103"/>
      <c r="AT137" s="103"/>
      <c r="AU137" s="103"/>
      <c r="AV137" s="103"/>
      <c r="AW137" s="103"/>
      <c r="AX137" s="103"/>
      <c r="AY137" s="119"/>
      <c r="AZ137" s="119"/>
      <c r="BA137" s="119"/>
      <c r="BB137" s="119"/>
      <c r="BC137" s="119"/>
      <c r="BD137" s="119"/>
      <c r="BE137" s="103"/>
      <c r="BF137" s="119"/>
      <c r="BG137" s="119"/>
      <c r="BH137" s="119"/>
      <c r="BI137" s="119"/>
      <c r="BJ137" s="119"/>
    </row>
    <row r="138" customFormat="false" ht="12.8" hidden="false" customHeight="false" outlineLevel="0" collapsed="false">
      <c r="A138" s="103"/>
      <c r="B138" s="103"/>
      <c r="C138" s="103"/>
      <c r="D138" s="103"/>
      <c r="E138" s="103"/>
      <c r="F138" s="103"/>
      <c r="G138" s="103"/>
      <c r="H138" s="103"/>
      <c r="I138" s="103"/>
      <c r="J138" s="117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18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19"/>
      <c r="AN138" s="119"/>
      <c r="AO138" s="119"/>
      <c r="AP138" s="119"/>
      <c r="AQ138" s="119"/>
      <c r="AR138" s="119"/>
      <c r="AS138" s="103"/>
      <c r="AT138" s="103"/>
      <c r="AU138" s="103"/>
      <c r="AV138" s="103"/>
      <c r="AW138" s="103"/>
      <c r="AX138" s="103"/>
      <c r="AY138" s="119"/>
      <c r="AZ138" s="119"/>
      <c r="BA138" s="119"/>
      <c r="BB138" s="119"/>
      <c r="BC138" s="119"/>
      <c r="BD138" s="119"/>
      <c r="BE138" s="103"/>
      <c r="BF138" s="119"/>
      <c r="BG138" s="119"/>
      <c r="BH138" s="119"/>
      <c r="BI138" s="119"/>
      <c r="BJ138" s="119"/>
    </row>
    <row r="139" customFormat="false" ht="12.8" hidden="false" customHeight="false" outlineLevel="0" collapsed="false">
      <c r="A139" s="103"/>
      <c r="B139" s="103"/>
      <c r="C139" s="103"/>
      <c r="D139" s="103"/>
      <c r="E139" s="103"/>
      <c r="F139" s="103"/>
      <c r="G139" s="103"/>
      <c r="H139" s="103"/>
      <c r="I139" s="103"/>
      <c r="J139" s="117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18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19"/>
      <c r="AN139" s="119"/>
      <c r="AO139" s="119"/>
      <c r="AP139" s="119"/>
      <c r="AQ139" s="119"/>
      <c r="AR139" s="119"/>
      <c r="AS139" s="103"/>
      <c r="AT139" s="103"/>
      <c r="AU139" s="103"/>
      <c r="AV139" s="103"/>
      <c r="AW139" s="103"/>
      <c r="AX139" s="103"/>
      <c r="AY139" s="119"/>
      <c r="AZ139" s="119"/>
      <c r="BA139" s="119"/>
      <c r="BB139" s="119"/>
      <c r="BC139" s="119"/>
      <c r="BD139" s="119"/>
      <c r="BE139" s="103"/>
      <c r="BF139" s="119"/>
      <c r="BG139" s="119"/>
      <c r="BH139" s="119"/>
      <c r="BI139" s="119"/>
      <c r="BJ139" s="119"/>
    </row>
    <row r="140" customFormat="false" ht="12.8" hidden="false" customHeight="false" outlineLevel="0" collapsed="false">
      <c r="A140" s="103"/>
      <c r="B140" s="103"/>
      <c r="C140" s="103"/>
      <c r="D140" s="103"/>
      <c r="E140" s="103"/>
      <c r="F140" s="103"/>
      <c r="G140" s="103"/>
      <c r="H140" s="103"/>
      <c r="I140" s="103"/>
      <c r="J140" s="117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18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119"/>
      <c r="AN140" s="119"/>
      <c r="AO140" s="119"/>
      <c r="AP140" s="119"/>
      <c r="AQ140" s="119"/>
      <c r="AR140" s="119"/>
      <c r="AS140" s="103"/>
      <c r="AT140" s="103"/>
      <c r="AU140" s="103"/>
      <c r="AV140" s="103"/>
      <c r="AW140" s="103"/>
      <c r="AX140" s="103"/>
      <c r="AY140" s="119"/>
      <c r="AZ140" s="119"/>
      <c r="BA140" s="119"/>
      <c r="BB140" s="119"/>
      <c r="BC140" s="119"/>
      <c r="BD140" s="119"/>
      <c r="BE140" s="103"/>
      <c r="BF140" s="119"/>
      <c r="BG140" s="119"/>
      <c r="BH140" s="119"/>
      <c r="BI140" s="119"/>
      <c r="BJ140" s="119"/>
    </row>
    <row r="141" customFormat="false" ht="12.8" hidden="false" customHeight="false" outlineLevel="0" collapsed="false">
      <c r="A141" s="103"/>
      <c r="B141" s="103"/>
      <c r="C141" s="103"/>
      <c r="D141" s="103"/>
      <c r="E141" s="103"/>
      <c r="F141" s="103"/>
      <c r="G141" s="103"/>
      <c r="H141" s="103"/>
      <c r="I141" s="103"/>
      <c r="J141" s="117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18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19"/>
      <c r="AN141" s="119"/>
      <c r="AO141" s="119"/>
      <c r="AP141" s="119"/>
      <c r="AQ141" s="119"/>
      <c r="AR141" s="119"/>
      <c r="AS141" s="103"/>
      <c r="AT141" s="103"/>
      <c r="AU141" s="103"/>
      <c r="AV141" s="103"/>
      <c r="AW141" s="103"/>
      <c r="AX141" s="103"/>
      <c r="AY141" s="119"/>
      <c r="AZ141" s="119"/>
      <c r="BA141" s="119"/>
      <c r="BB141" s="119"/>
      <c r="BC141" s="119"/>
      <c r="BD141" s="119"/>
      <c r="BE141" s="103"/>
      <c r="BF141" s="119"/>
      <c r="BG141" s="119"/>
      <c r="BH141" s="119"/>
      <c r="BI141" s="119"/>
      <c r="BJ141" s="119"/>
    </row>
    <row r="142" customFormat="false" ht="12.8" hidden="false" customHeight="false" outlineLevel="0" collapsed="false">
      <c r="A142" s="103"/>
      <c r="B142" s="103"/>
      <c r="C142" s="103"/>
      <c r="D142" s="103"/>
      <c r="E142" s="103"/>
      <c r="F142" s="103"/>
      <c r="G142" s="103"/>
      <c r="H142" s="103"/>
      <c r="I142" s="103"/>
      <c r="J142" s="117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18"/>
      <c r="AD142" s="103"/>
      <c r="AE142" s="103"/>
      <c r="AF142" s="103"/>
      <c r="AG142" s="103"/>
      <c r="AH142" s="103"/>
      <c r="AI142" s="103"/>
      <c r="AJ142" s="103"/>
      <c r="AK142" s="103"/>
      <c r="AL142" s="103"/>
      <c r="AM142" s="119"/>
      <c r="AN142" s="119"/>
      <c r="AO142" s="119"/>
      <c r="AP142" s="119"/>
      <c r="AQ142" s="119"/>
      <c r="AR142" s="119"/>
      <c r="AS142" s="103"/>
      <c r="AT142" s="103"/>
      <c r="AU142" s="103"/>
      <c r="AV142" s="103"/>
      <c r="AW142" s="103"/>
      <c r="AX142" s="103"/>
      <c r="AY142" s="119"/>
      <c r="AZ142" s="119"/>
      <c r="BA142" s="119"/>
      <c r="BB142" s="119"/>
      <c r="BC142" s="119"/>
      <c r="BD142" s="119"/>
      <c r="BE142" s="103"/>
      <c r="BF142" s="119"/>
      <c r="BG142" s="119"/>
      <c r="BH142" s="119"/>
      <c r="BI142" s="119"/>
      <c r="BJ142" s="119"/>
    </row>
    <row r="143" customFormat="false" ht="12.8" hidden="false" customHeight="false" outlineLevel="0" collapsed="false">
      <c r="A143" s="103"/>
      <c r="B143" s="103"/>
      <c r="C143" s="103"/>
      <c r="D143" s="103"/>
      <c r="E143" s="103"/>
      <c r="F143" s="103"/>
      <c r="G143" s="103"/>
      <c r="H143" s="103"/>
      <c r="I143" s="103"/>
      <c r="J143" s="117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18"/>
      <c r="AD143" s="103"/>
      <c r="AE143" s="103"/>
      <c r="AF143" s="103"/>
      <c r="AG143" s="103"/>
      <c r="AH143" s="103"/>
      <c r="AI143" s="103"/>
      <c r="AJ143" s="103"/>
      <c r="AK143" s="103"/>
      <c r="AL143" s="103"/>
      <c r="AM143" s="119"/>
      <c r="AN143" s="119"/>
      <c r="AO143" s="119"/>
      <c r="AP143" s="119"/>
      <c r="AQ143" s="119"/>
      <c r="AR143" s="119"/>
      <c r="AS143" s="103"/>
      <c r="AT143" s="103"/>
      <c r="AU143" s="103"/>
      <c r="AV143" s="103"/>
      <c r="AW143" s="103"/>
      <c r="AX143" s="103"/>
      <c r="AY143" s="119"/>
      <c r="AZ143" s="119"/>
      <c r="BA143" s="119"/>
      <c r="BB143" s="119"/>
      <c r="BC143" s="119"/>
      <c r="BD143" s="119"/>
      <c r="BE143" s="103"/>
      <c r="BF143" s="119"/>
      <c r="BG143" s="119"/>
      <c r="BH143" s="119"/>
      <c r="BI143" s="119"/>
      <c r="BJ143" s="119"/>
    </row>
    <row r="144" customFormat="false" ht="12.8" hidden="false" customHeight="false" outlineLevel="0" collapsed="false">
      <c r="A144" s="103"/>
      <c r="B144" s="103"/>
      <c r="C144" s="103"/>
      <c r="D144" s="103"/>
      <c r="E144" s="103"/>
      <c r="F144" s="103"/>
      <c r="G144" s="103"/>
      <c r="H144" s="103"/>
      <c r="I144" s="103"/>
      <c r="J144" s="117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18"/>
      <c r="AD144" s="103"/>
      <c r="AE144" s="103"/>
      <c r="AF144" s="103"/>
      <c r="AG144" s="103"/>
      <c r="AH144" s="103"/>
      <c r="AI144" s="103"/>
      <c r="AJ144" s="103"/>
      <c r="AK144" s="103"/>
      <c r="AL144" s="103"/>
      <c r="AM144" s="119"/>
      <c r="AN144" s="119"/>
      <c r="AO144" s="119"/>
      <c r="AP144" s="119"/>
      <c r="AQ144" s="119"/>
      <c r="AR144" s="119"/>
      <c r="AS144" s="103"/>
      <c r="AT144" s="103"/>
      <c r="AU144" s="103"/>
      <c r="AV144" s="103"/>
      <c r="AW144" s="103"/>
      <c r="AX144" s="103"/>
      <c r="AY144" s="119"/>
      <c r="AZ144" s="119"/>
      <c r="BA144" s="119"/>
      <c r="BB144" s="119"/>
      <c r="BC144" s="119"/>
      <c r="BD144" s="119"/>
      <c r="BE144" s="103"/>
      <c r="BF144" s="119"/>
      <c r="BG144" s="119"/>
      <c r="BH144" s="119"/>
      <c r="BI144" s="119"/>
      <c r="BJ144" s="119"/>
    </row>
    <row r="145" customFormat="false" ht="12.8" hidden="false" customHeight="false" outlineLevel="0" collapsed="false">
      <c r="A145" s="103"/>
      <c r="B145" s="103"/>
      <c r="C145" s="103"/>
      <c r="D145" s="103"/>
      <c r="E145" s="103"/>
      <c r="F145" s="103"/>
      <c r="G145" s="103"/>
      <c r="H145" s="103"/>
      <c r="I145" s="103"/>
      <c r="J145" s="117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18"/>
      <c r="AD145" s="103"/>
      <c r="AE145" s="103"/>
      <c r="AF145" s="103"/>
      <c r="AG145" s="103"/>
      <c r="AH145" s="103"/>
      <c r="AI145" s="103"/>
      <c r="AJ145" s="103"/>
      <c r="AK145" s="103"/>
      <c r="AL145" s="103"/>
      <c r="AM145" s="119"/>
      <c r="AN145" s="119"/>
      <c r="AO145" s="119"/>
      <c r="AP145" s="119"/>
      <c r="AQ145" s="119"/>
      <c r="AR145" s="119"/>
      <c r="AS145" s="103"/>
      <c r="AT145" s="103"/>
      <c r="AU145" s="103"/>
      <c r="AV145" s="103"/>
      <c r="AW145" s="103"/>
      <c r="AX145" s="103"/>
      <c r="AY145" s="119"/>
      <c r="AZ145" s="119"/>
      <c r="BA145" s="119"/>
      <c r="BB145" s="119"/>
      <c r="BC145" s="119"/>
      <c r="BD145" s="119"/>
      <c r="BE145" s="103"/>
      <c r="BF145" s="119"/>
      <c r="BG145" s="119"/>
      <c r="BH145" s="119"/>
      <c r="BI145" s="119"/>
      <c r="BJ145" s="119"/>
    </row>
    <row r="146" customFormat="false" ht="12.8" hidden="false" customHeight="false" outlineLevel="0" collapsed="false">
      <c r="A146" s="103"/>
      <c r="B146" s="103"/>
      <c r="C146" s="103"/>
      <c r="D146" s="103"/>
      <c r="E146" s="103"/>
      <c r="F146" s="103"/>
      <c r="G146" s="103"/>
      <c r="H146" s="103"/>
      <c r="I146" s="103"/>
      <c r="J146" s="117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18"/>
      <c r="AD146" s="103"/>
      <c r="AE146" s="103"/>
      <c r="AF146" s="103"/>
      <c r="AG146" s="103"/>
      <c r="AH146" s="103"/>
      <c r="AI146" s="103"/>
      <c r="AJ146" s="103"/>
      <c r="AK146" s="103"/>
      <c r="AL146" s="103"/>
      <c r="AM146" s="119"/>
      <c r="AN146" s="119"/>
      <c r="AO146" s="119"/>
      <c r="AP146" s="119"/>
      <c r="AQ146" s="119"/>
      <c r="AR146" s="119"/>
      <c r="AS146" s="103"/>
      <c r="AT146" s="103"/>
      <c r="AU146" s="103"/>
      <c r="AV146" s="103"/>
      <c r="AW146" s="103"/>
      <c r="AX146" s="103"/>
      <c r="AY146" s="119"/>
      <c r="AZ146" s="119"/>
      <c r="BA146" s="119"/>
      <c r="BB146" s="119"/>
      <c r="BC146" s="119"/>
      <c r="BD146" s="119"/>
      <c r="BE146" s="103"/>
      <c r="BF146" s="119"/>
      <c r="BG146" s="119"/>
      <c r="BH146" s="119"/>
      <c r="BI146" s="119"/>
      <c r="BJ146" s="119"/>
    </row>
    <row r="147" customFormat="false" ht="12.8" hidden="false" customHeight="false" outlineLevel="0" collapsed="false">
      <c r="A147" s="103"/>
      <c r="B147" s="103"/>
      <c r="C147" s="103"/>
      <c r="D147" s="103"/>
      <c r="E147" s="103"/>
      <c r="F147" s="103"/>
      <c r="G147" s="103"/>
      <c r="H147" s="103"/>
      <c r="I147" s="103"/>
      <c r="J147" s="117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18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19"/>
      <c r="AN147" s="119"/>
      <c r="AO147" s="119"/>
      <c r="AP147" s="119"/>
      <c r="AQ147" s="119"/>
      <c r="AR147" s="119"/>
      <c r="AS147" s="103"/>
      <c r="AT147" s="103"/>
      <c r="AU147" s="103"/>
      <c r="AV147" s="103"/>
      <c r="AW147" s="103"/>
      <c r="AX147" s="103"/>
      <c r="AY147" s="119"/>
      <c r="AZ147" s="119"/>
      <c r="BA147" s="119"/>
      <c r="BB147" s="119"/>
      <c r="BC147" s="119"/>
      <c r="BD147" s="119"/>
      <c r="BE147" s="103"/>
      <c r="BF147" s="119"/>
      <c r="BG147" s="119"/>
      <c r="BH147" s="119"/>
      <c r="BI147" s="119"/>
      <c r="BJ147" s="119"/>
    </row>
    <row r="148" customFormat="false" ht="12.8" hidden="false" customHeight="false" outlineLevel="0" collapsed="false">
      <c r="A148" s="103"/>
      <c r="B148" s="103"/>
      <c r="C148" s="103"/>
      <c r="D148" s="103"/>
      <c r="E148" s="103"/>
      <c r="F148" s="103"/>
      <c r="G148" s="103"/>
      <c r="H148" s="103"/>
      <c r="I148" s="103"/>
      <c r="J148" s="117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18"/>
      <c r="AD148" s="103"/>
      <c r="AE148" s="103"/>
      <c r="AF148" s="103"/>
      <c r="AG148" s="103"/>
      <c r="AH148" s="103"/>
      <c r="AI148" s="103"/>
      <c r="AJ148" s="103"/>
      <c r="AK148" s="103"/>
      <c r="AL148" s="103"/>
      <c r="AM148" s="119"/>
      <c r="AN148" s="119"/>
      <c r="AO148" s="119"/>
      <c r="AP148" s="119"/>
      <c r="AQ148" s="119"/>
      <c r="AR148" s="119"/>
      <c r="AS148" s="103"/>
      <c r="AT148" s="103"/>
      <c r="AU148" s="103"/>
      <c r="AV148" s="103"/>
      <c r="AW148" s="103"/>
      <c r="AX148" s="103"/>
      <c r="AY148" s="119"/>
      <c r="AZ148" s="119"/>
      <c r="BA148" s="119"/>
      <c r="BB148" s="119"/>
      <c r="BC148" s="119"/>
      <c r="BD148" s="119"/>
      <c r="BE148" s="103"/>
      <c r="BF148" s="119"/>
      <c r="BG148" s="119"/>
      <c r="BH148" s="119"/>
      <c r="BI148" s="119"/>
      <c r="BJ148" s="119"/>
    </row>
    <row r="149" customFormat="false" ht="12.8" hidden="false" customHeight="false" outlineLevel="0" collapsed="false">
      <c r="A149" s="103"/>
      <c r="B149" s="103"/>
      <c r="C149" s="103"/>
      <c r="D149" s="103"/>
      <c r="E149" s="103"/>
      <c r="F149" s="103"/>
      <c r="G149" s="103"/>
      <c r="H149" s="103"/>
      <c r="I149" s="103"/>
      <c r="J149" s="117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18"/>
      <c r="AD149" s="103"/>
      <c r="AE149" s="103"/>
      <c r="AF149" s="103"/>
      <c r="AG149" s="103"/>
      <c r="AH149" s="103"/>
      <c r="AI149" s="103"/>
      <c r="AJ149" s="103"/>
      <c r="AK149" s="103"/>
      <c r="AL149" s="103"/>
      <c r="AM149" s="119"/>
      <c r="AN149" s="119"/>
      <c r="AO149" s="119"/>
      <c r="AP149" s="119"/>
      <c r="AQ149" s="119"/>
      <c r="AR149" s="119"/>
      <c r="AS149" s="103"/>
      <c r="AT149" s="103"/>
      <c r="AU149" s="103"/>
      <c r="AV149" s="103"/>
      <c r="AW149" s="103"/>
      <c r="AX149" s="103"/>
      <c r="AY149" s="119"/>
      <c r="AZ149" s="119"/>
      <c r="BA149" s="119"/>
      <c r="BB149" s="119"/>
      <c r="BC149" s="119"/>
      <c r="BD149" s="119"/>
      <c r="BE149" s="103"/>
      <c r="BF149" s="119"/>
      <c r="BG149" s="119"/>
      <c r="BH149" s="119"/>
      <c r="BI149" s="119"/>
      <c r="BJ149" s="119"/>
    </row>
    <row r="150" customFormat="false" ht="12.8" hidden="false" customHeight="false" outlineLevel="0" collapsed="false">
      <c r="A150" s="103"/>
      <c r="B150" s="103"/>
      <c r="C150" s="103"/>
      <c r="D150" s="103"/>
      <c r="E150" s="103"/>
      <c r="F150" s="103"/>
      <c r="G150" s="103"/>
      <c r="H150" s="103"/>
      <c r="I150" s="103"/>
      <c r="J150" s="117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18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19"/>
      <c r="AN150" s="119"/>
      <c r="AO150" s="119"/>
      <c r="AP150" s="119"/>
      <c r="AQ150" s="119"/>
      <c r="AR150" s="119"/>
      <c r="AS150" s="103"/>
      <c r="AT150" s="103"/>
      <c r="AU150" s="103"/>
      <c r="AV150" s="103"/>
      <c r="AW150" s="103"/>
      <c r="AX150" s="103"/>
      <c r="AY150" s="119"/>
      <c r="AZ150" s="119"/>
      <c r="BA150" s="119"/>
      <c r="BB150" s="119"/>
      <c r="BC150" s="119"/>
      <c r="BD150" s="119"/>
      <c r="BE150" s="103"/>
      <c r="BF150" s="119"/>
      <c r="BG150" s="119"/>
      <c r="BH150" s="119"/>
      <c r="BI150" s="119"/>
      <c r="BJ150" s="119"/>
    </row>
    <row r="151" customFormat="false" ht="12.8" hidden="false" customHeight="false" outlineLevel="0" collapsed="false">
      <c r="A151" s="103"/>
      <c r="B151" s="103"/>
      <c r="C151" s="103"/>
      <c r="D151" s="103"/>
      <c r="E151" s="103"/>
      <c r="F151" s="103"/>
      <c r="G151" s="103"/>
      <c r="H151" s="103"/>
      <c r="I151" s="103"/>
      <c r="J151" s="117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18"/>
      <c r="AD151" s="103"/>
      <c r="AE151" s="103"/>
      <c r="AF151" s="103"/>
      <c r="AG151" s="103"/>
      <c r="AH151" s="103"/>
      <c r="AI151" s="103"/>
      <c r="AJ151" s="103"/>
      <c r="AK151" s="103"/>
      <c r="AL151" s="103"/>
      <c r="AM151" s="119"/>
      <c r="AN151" s="119"/>
      <c r="AO151" s="119"/>
      <c r="AP151" s="119"/>
      <c r="AQ151" s="119"/>
      <c r="AR151" s="119"/>
      <c r="AS151" s="103"/>
      <c r="AT151" s="103"/>
      <c r="AU151" s="103"/>
      <c r="AV151" s="103"/>
      <c r="AW151" s="103"/>
      <c r="AX151" s="103"/>
      <c r="AY151" s="119"/>
      <c r="AZ151" s="119"/>
      <c r="BA151" s="119"/>
      <c r="BB151" s="119"/>
      <c r="BC151" s="119"/>
      <c r="BD151" s="119"/>
      <c r="BE151" s="103"/>
      <c r="BF151" s="119"/>
      <c r="BG151" s="119"/>
      <c r="BH151" s="119"/>
      <c r="BI151" s="119"/>
      <c r="BJ151" s="119"/>
    </row>
    <row r="152" customFormat="false" ht="12.8" hidden="false" customHeight="false" outlineLevel="0" collapsed="false">
      <c r="A152" s="103"/>
      <c r="B152" s="103"/>
      <c r="C152" s="103"/>
      <c r="D152" s="103"/>
      <c r="E152" s="103"/>
      <c r="F152" s="103"/>
      <c r="G152" s="103"/>
      <c r="H152" s="103"/>
      <c r="I152" s="103"/>
      <c r="J152" s="117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18"/>
      <c r="AD152" s="103"/>
      <c r="AE152" s="103"/>
      <c r="AF152" s="103"/>
      <c r="AG152" s="103"/>
      <c r="AH152" s="103"/>
      <c r="AI152" s="103"/>
      <c r="AJ152" s="103"/>
      <c r="AK152" s="103"/>
      <c r="AL152" s="103"/>
      <c r="AM152" s="119"/>
      <c r="AN152" s="119"/>
      <c r="AO152" s="119"/>
      <c r="AP152" s="119"/>
      <c r="AQ152" s="119"/>
      <c r="AR152" s="119"/>
      <c r="AS152" s="103"/>
      <c r="AT152" s="103"/>
      <c r="AU152" s="103"/>
      <c r="AV152" s="103"/>
      <c r="AW152" s="103"/>
      <c r="AX152" s="103"/>
      <c r="AY152" s="119"/>
      <c r="AZ152" s="119"/>
      <c r="BA152" s="119"/>
      <c r="BB152" s="119"/>
      <c r="BC152" s="119"/>
      <c r="BD152" s="119"/>
      <c r="BE152" s="103"/>
      <c r="BF152" s="119"/>
      <c r="BG152" s="119"/>
      <c r="BH152" s="119"/>
      <c r="BI152" s="119"/>
      <c r="BJ152" s="119"/>
    </row>
    <row r="153" customFormat="false" ht="12.8" hidden="false" customHeight="false" outlineLevel="0" collapsed="false">
      <c r="A153" s="103"/>
      <c r="B153" s="103"/>
      <c r="C153" s="103"/>
      <c r="D153" s="103"/>
      <c r="E153" s="103"/>
      <c r="F153" s="103"/>
      <c r="G153" s="103"/>
      <c r="H153" s="103"/>
      <c r="I153" s="103"/>
      <c r="J153" s="117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18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19"/>
      <c r="AN153" s="119"/>
      <c r="AO153" s="119"/>
      <c r="AP153" s="119"/>
      <c r="AQ153" s="119"/>
      <c r="AR153" s="119"/>
      <c r="AS153" s="103"/>
      <c r="AT153" s="103"/>
      <c r="AU153" s="103"/>
      <c r="AV153" s="103"/>
      <c r="AW153" s="103"/>
      <c r="AX153" s="103"/>
      <c r="AY153" s="119"/>
      <c r="AZ153" s="119"/>
      <c r="BA153" s="119"/>
      <c r="BB153" s="119"/>
      <c r="BC153" s="119"/>
      <c r="BD153" s="119"/>
      <c r="BE153" s="103"/>
      <c r="BF153" s="119"/>
      <c r="BG153" s="119"/>
      <c r="BH153" s="119"/>
      <c r="BI153" s="119"/>
      <c r="BJ153" s="119"/>
    </row>
    <row r="154" customFormat="false" ht="12.8" hidden="false" customHeight="false" outlineLevel="0" collapsed="false">
      <c r="A154" s="103"/>
      <c r="B154" s="103"/>
      <c r="C154" s="103"/>
      <c r="D154" s="103"/>
      <c r="E154" s="103"/>
      <c r="F154" s="103"/>
      <c r="G154" s="103"/>
      <c r="H154" s="103"/>
      <c r="I154" s="103"/>
      <c r="J154" s="117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18"/>
      <c r="AD154" s="103"/>
      <c r="AE154" s="103"/>
      <c r="AF154" s="103"/>
      <c r="AG154" s="103"/>
      <c r="AH154" s="103"/>
      <c r="AI154" s="103"/>
      <c r="AJ154" s="103"/>
      <c r="AK154" s="103"/>
      <c r="AL154" s="103"/>
      <c r="AM154" s="119"/>
      <c r="AN154" s="119"/>
      <c r="AO154" s="119"/>
      <c r="AP154" s="119"/>
      <c r="AQ154" s="119"/>
      <c r="AR154" s="119"/>
      <c r="AS154" s="103"/>
      <c r="AT154" s="103"/>
      <c r="AU154" s="103"/>
      <c r="AV154" s="103"/>
      <c r="AW154" s="103"/>
      <c r="AX154" s="103"/>
      <c r="AY154" s="119"/>
      <c r="AZ154" s="119"/>
      <c r="BA154" s="119"/>
      <c r="BB154" s="119"/>
      <c r="BC154" s="119"/>
      <c r="BD154" s="119"/>
      <c r="BE154" s="103"/>
      <c r="BF154" s="119"/>
      <c r="BG154" s="119"/>
      <c r="BH154" s="119"/>
      <c r="BI154" s="119"/>
      <c r="BJ154" s="119"/>
    </row>
    <row r="155" customFormat="false" ht="12.8" hidden="false" customHeight="false" outlineLevel="0" collapsed="false">
      <c r="A155" s="103"/>
      <c r="B155" s="103"/>
      <c r="C155" s="103"/>
      <c r="D155" s="103"/>
      <c r="E155" s="103"/>
      <c r="F155" s="103"/>
      <c r="G155" s="103"/>
      <c r="H155" s="103"/>
      <c r="I155" s="103"/>
      <c r="J155" s="117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18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19"/>
      <c r="AN155" s="119"/>
      <c r="AO155" s="119"/>
      <c r="AP155" s="119"/>
      <c r="AQ155" s="119"/>
      <c r="AR155" s="119"/>
      <c r="AS155" s="103"/>
      <c r="AT155" s="103"/>
      <c r="AU155" s="103"/>
      <c r="AV155" s="103"/>
      <c r="AW155" s="103"/>
      <c r="AX155" s="103"/>
      <c r="AY155" s="119"/>
      <c r="AZ155" s="119"/>
      <c r="BA155" s="119"/>
      <c r="BB155" s="119"/>
      <c r="BC155" s="119"/>
      <c r="BD155" s="119"/>
      <c r="BE155" s="103"/>
      <c r="BF155" s="119"/>
      <c r="BG155" s="119"/>
      <c r="BH155" s="119"/>
      <c r="BI155" s="119"/>
      <c r="BJ155" s="119"/>
    </row>
    <row r="156" customFormat="false" ht="12.8" hidden="false" customHeight="false" outlineLevel="0" collapsed="false">
      <c r="A156" s="103"/>
      <c r="B156" s="103"/>
      <c r="C156" s="103"/>
      <c r="D156" s="103"/>
      <c r="E156" s="103"/>
      <c r="F156" s="103"/>
      <c r="G156" s="103"/>
      <c r="H156" s="103"/>
      <c r="I156" s="103"/>
      <c r="J156" s="117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18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19"/>
      <c r="AN156" s="119"/>
      <c r="AO156" s="119"/>
      <c r="AP156" s="119"/>
      <c r="AQ156" s="119"/>
      <c r="AR156" s="119"/>
      <c r="AS156" s="103"/>
      <c r="AT156" s="103"/>
      <c r="AU156" s="103"/>
      <c r="AV156" s="103"/>
      <c r="AW156" s="103"/>
      <c r="AX156" s="103"/>
      <c r="AY156" s="119"/>
      <c r="AZ156" s="119"/>
      <c r="BA156" s="119"/>
      <c r="BB156" s="119"/>
      <c r="BC156" s="119"/>
      <c r="BD156" s="119"/>
      <c r="BE156" s="103"/>
      <c r="BF156" s="119"/>
      <c r="BG156" s="119"/>
      <c r="BH156" s="119"/>
      <c r="BI156" s="119"/>
      <c r="BJ156" s="119"/>
    </row>
    <row r="157" customFormat="false" ht="12.8" hidden="false" customHeight="false" outlineLevel="0" collapsed="false">
      <c r="A157" s="103"/>
      <c r="B157" s="103"/>
      <c r="C157" s="103"/>
      <c r="D157" s="103"/>
      <c r="E157" s="103"/>
      <c r="F157" s="103"/>
      <c r="G157" s="103"/>
      <c r="H157" s="103"/>
      <c r="I157" s="103"/>
      <c r="J157" s="117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18"/>
      <c r="AD157" s="103"/>
      <c r="AE157" s="103"/>
      <c r="AF157" s="103"/>
      <c r="AG157" s="103"/>
      <c r="AH157" s="103"/>
      <c r="AI157" s="103"/>
      <c r="AJ157" s="103"/>
      <c r="AK157" s="103"/>
      <c r="AL157" s="103"/>
      <c r="AM157" s="119"/>
      <c r="AN157" s="119"/>
      <c r="AO157" s="119"/>
      <c r="AP157" s="119"/>
      <c r="AQ157" s="119"/>
      <c r="AR157" s="119"/>
      <c r="AS157" s="103"/>
      <c r="AT157" s="103"/>
      <c r="AU157" s="103"/>
      <c r="AV157" s="103"/>
      <c r="AW157" s="103"/>
      <c r="AX157" s="103"/>
      <c r="AY157" s="119"/>
      <c r="AZ157" s="119"/>
      <c r="BA157" s="119"/>
      <c r="BB157" s="119"/>
      <c r="BC157" s="119"/>
      <c r="BD157" s="119"/>
      <c r="BE157" s="103"/>
      <c r="BF157" s="119"/>
      <c r="BG157" s="119"/>
      <c r="BH157" s="119"/>
      <c r="BI157" s="119"/>
      <c r="BJ157" s="119"/>
    </row>
    <row r="158" customFormat="false" ht="12.8" hidden="false" customHeight="false" outlineLevel="0" collapsed="false">
      <c r="A158" s="103"/>
      <c r="B158" s="103"/>
      <c r="C158" s="103"/>
      <c r="D158" s="103"/>
      <c r="E158" s="103"/>
      <c r="F158" s="103"/>
      <c r="G158" s="103"/>
      <c r="H158" s="103"/>
      <c r="I158" s="103"/>
      <c r="J158" s="117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18"/>
      <c r="AD158" s="103"/>
      <c r="AE158" s="103"/>
      <c r="AF158" s="103"/>
      <c r="AG158" s="103"/>
      <c r="AH158" s="103"/>
      <c r="AI158" s="103"/>
      <c r="AJ158" s="103"/>
      <c r="AK158" s="103"/>
      <c r="AL158" s="103"/>
      <c r="AM158" s="119"/>
      <c r="AN158" s="119"/>
      <c r="AO158" s="119"/>
      <c r="AP158" s="119"/>
      <c r="AQ158" s="119"/>
      <c r="AR158" s="119"/>
      <c r="AS158" s="103"/>
      <c r="AT158" s="103"/>
      <c r="AU158" s="103"/>
      <c r="AV158" s="103"/>
      <c r="AW158" s="103"/>
      <c r="AX158" s="103"/>
      <c r="AY158" s="119"/>
      <c r="AZ158" s="119"/>
      <c r="BA158" s="119"/>
      <c r="BB158" s="119"/>
      <c r="BC158" s="119"/>
      <c r="BD158" s="119"/>
      <c r="BE158" s="103"/>
      <c r="BF158" s="119"/>
      <c r="BG158" s="119"/>
      <c r="BH158" s="119"/>
      <c r="BI158" s="119"/>
      <c r="BJ158" s="119"/>
    </row>
    <row r="159" customFormat="false" ht="12.8" hidden="false" customHeight="false" outlineLevel="0" collapsed="false">
      <c r="A159" s="103"/>
      <c r="B159" s="103"/>
      <c r="C159" s="103"/>
      <c r="D159" s="103"/>
      <c r="E159" s="103"/>
      <c r="F159" s="103"/>
      <c r="G159" s="103"/>
      <c r="H159" s="103"/>
      <c r="I159" s="103"/>
      <c r="J159" s="117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18"/>
      <c r="AD159" s="103"/>
      <c r="AE159" s="103"/>
      <c r="AF159" s="103"/>
      <c r="AG159" s="103"/>
      <c r="AH159" s="103"/>
      <c r="AI159" s="103"/>
      <c r="AJ159" s="103"/>
      <c r="AK159" s="103"/>
      <c r="AL159" s="103"/>
      <c r="AM159" s="119"/>
      <c r="AN159" s="119"/>
      <c r="AO159" s="119"/>
      <c r="AP159" s="119"/>
      <c r="AQ159" s="119"/>
      <c r="AR159" s="119"/>
      <c r="AS159" s="103"/>
      <c r="AT159" s="103"/>
      <c r="AU159" s="103"/>
      <c r="AV159" s="103"/>
      <c r="AW159" s="103"/>
      <c r="AX159" s="103"/>
      <c r="AY159" s="119"/>
      <c r="AZ159" s="119"/>
      <c r="BA159" s="119"/>
      <c r="BB159" s="119"/>
      <c r="BC159" s="119"/>
      <c r="BD159" s="119"/>
      <c r="BE159" s="103"/>
      <c r="BF159" s="119"/>
      <c r="BG159" s="119"/>
      <c r="BH159" s="119"/>
      <c r="BI159" s="119"/>
      <c r="BJ159" s="119"/>
    </row>
    <row r="160" customFormat="false" ht="12.8" hidden="false" customHeight="false" outlineLevel="0" collapsed="false">
      <c r="A160" s="103"/>
      <c r="B160" s="103"/>
      <c r="C160" s="103"/>
      <c r="D160" s="103"/>
      <c r="E160" s="103"/>
      <c r="F160" s="103"/>
      <c r="G160" s="103"/>
      <c r="H160" s="103"/>
      <c r="I160" s="103"/>
      <c r="J160" s="117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18"/>
      <c r="AD160" s="103"/>
      <c r="AE160" s="103"/>
      <c r="AF160" s="103"/>
      <c r="AG160" s="103"/>
      <c r="AH160" s="103"/>
      <c r="AI160" s="103"/>
      <c r="AJ160" s="103"/>
      <c r="AK160" s="103"/>
      <c r="AL160" s="103"/>
      <c r="AM160" s="119"/>
      <c r="AN160" s="119"/>
      <c r="AO160" s="119"/>
      <c r="AP160" s="119"/>
      <c r="AQ160" s="119"/>
      <c r="AR160" s="119"/>
      <c r="AS160" s="103"/>
      <c r="AT160" s="103"/>
      <c r="AU160" s="103"/>
      <c r="AV160" s="103"/>
      <c r="AW160" s="103"/>
      <c r="AX160" s="103"/>
      <c r="AY160" s="119"/>
      <c r="AZ160" s="119"/>
      <c r="BA160" s="119"/>
      <c r="BB160" s="119"/>
      <c r="BC160" s="119"/>
      <c r="BD160" s="119"/>
      <c r="BE160" s="103"/>
      <c r="BF160" s="119"/>
      <c r="BG160" s="119"/>
      <c r="BH160" s="119"/>
      <c r="BI160" s="119"/>
      <c r="BJ160" s="119"/>
    </row>
    <row r="161" customFormat="false" ht="12.8" hidden="false" customHeight="false" outlineLevel="0" collapsed="false">
      <c r="A161" s="103"/>
      <c r="B161" s="103"/>
      <c r="C161" s="103"/>
      <c r="D161" s="103"/>
      <c r="E161" s="103"/>
      <c r="F161" s="103"/>
      <c r="G161" s="103"/>
      <c r="H161" s="103"/>
      <c r="I161" s="103"/>
      <c r="J161" s="117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18"/>
      <c r="AD161" s="103"/>
      <c r="AE161" s="103"/>
      <c r="AF161" s="103"/>
      <c r="AG161" s="103"/>
      <c r="AH161" s="103"/>
      <c r="AI161" s="103"/>
      <c r="AJ161" s="103"/>
      <c r="AK161" s="103"/>
      <c r="AL161" s="103"/>
      <c r="AM161" s="119"/>
      <c r="AN161" s="119"/>
      <c r="AO161" s="119"/>
      <c r="AP161" s="119"/>
      <c r="AQ161" s="119"/>
      <c r="AR161" s="119"/>
      <c r="AS161" s="103"/>
      <c r="AT161" s="103"/>
      <c r="AU161" s="103"/>
      <c r="AV161" s="103"/>
      <c r="AW161" s="103"/>
      <c r="AX161" s="103"/>
      <c r="AY161" s="119"/>
      <c r="AZ161" s="119"/>
      <c r="BA161" s="119"/>
      <c r="BB161" s="119"/>
      <c r="BC161" s="119"/>
      <c r="BD161" s="119"/>
      <c r="BE161" s="103"/>
      <c r="BF161" s="119"/>
      <c r="BG161" s="119"/>
      <c r="BH161" s="119"/>
      <c r="BI161" s="119"/>
      <c r="BJ161" s="119"/>
    </row>
    <row r="162" customFormat="false" ht="12.8" hidden="false" customHeight="false" outlineLevel="0" collapsed="false">
      <c r="A162" s="103"/>
      <c r="B162" s="103"/>
      <c r="C162" s="103"/>
      <c r="D162" s="103"/>
      <c r="E162" s="103"/>
      <c r="F162" s="103"/>
      <c r="G162" s="103"/>
      <c r="H162" s="103"/>
      <c r="I162" s="103"/>
      <c r="J162" s="117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18"/>
      <c r="AD162" s="103"/>
      <c r="AE162" s="103"/>
      <c r="AF162" s="103"/>
      <c r="AG162" s="103"/>
      <c r="AH162" s="103"/>
      <c r="AI162" s="103"/>
      <c r="AJ162" s="103"/>
      <c r="AK162" s="103"/>
      <c r="AL162" s="103"/>
      <c r="AM162" s="119"/>
      <c r="AN162" s="119"/>
      <c r="AO162" s="119"/>
      <c r="AP162" s="119"/>
      <c r="AQ162" s="119"/>
      <c r="AR162" s="119"/>
      <c r="AS162" s="103"/>
      <c r="AT162" s="103"/>
      <c r="AU162" s="103"/>
      <c r="AV162" s="103"/>
      <c r="AW162" s="103"/>
      <c r="AX162" s="103"/>
      <c r="AY162" s="119"/>
      <c r="AZ162" s="119"/>
      <c r="BA162" s="119"/>
      <c r="BB162" s="119"/>
      <c r="BC162" s="119"/>
      <c r="BD162" s="119"/>
      <c r="BE162" s="103"/>
      <c r="BF162" s="119"/>
      <c r="BG162" s="119"/>
      <c r="BH162" s="119"/>
      <c r="BI162" s="119"/>
      <c r="BJ162" s="119"/>
    </row>
    <row r="163" customFormat="false" ht="12.8" hidden="false" customHeight="false" outlineLevel="0" collapsed="false">
      <c r="A163" s="103"/>
      <c r="B163" s="103"/>
      <c r="C163" s="103"/>
      <c r="D163" s="103"/>
      <c r="E163" s="103"/>
      <c r="F163" s="103"/>
      <c r="G163" s="103"/>
      <c r="H163" s="103"/>
      <c r="I163" s="103"/>
      <c r="J163" s="117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18"/>
      <c r="AD163" s="103"/>
      <c r="AE163" s="103"/>
      <c r="AF163" s="103"/>
      <c r="AG163" s="103"/>
      <c r="AH163" s="103"/>
      <c r="AI163" s="103"/>
      <c r="AJ163" s="103"/>
      <c r="AK163" s="103"/>
      <c r="AL163" s="103"/>
      <c r="AM163" s="119"/>
      <c r="AN163" s="119"/>
      <c r="AO163" s="119"/>
      <c r="AP163" s="119"/>
      <c r="AQ163" s="119"/>
      <c r="AR163" s="119"/>
      <c r="AS163" s="103"/>
      <c r="AT163" s="103"/>
      <c r="AU163" s="103"/>
      <c r="AV163" s="103"/>
      <c r="AW163" s="103"/>
      <c r="AX163" s="103"/>
      <c r="AY163" s="119"/>
      <c r="AZ163" s="119"/>
      <c r="BA163" s="119"/>
      <c r="BB163" s="119"/>
      <c r="BC163" s="119"/>
      <c r="BD163" s="119"/>
      <c r="BE163" s="103"/>
      <c r="BF163" s="119"/>
      <c r="BG163" s="119"/>
      <c r="BH163" s="119"/>
      <c r="BI163" s="119"/>
      <c r="BJ163" s="119"/>
    </row>
    <row r="164" customFormat="false" ht="12.8" hidden="false" customHeight="false" outlineLevel="0" collapsed="false">
      <c r="A164" s="103"/>
      <c r="B164" s="103"/>
      <c r="C164" s="103"/>
      <c r="D164" s="103"/>
      <c r="E164" s="103"/>
      <c r="F164" s="103"/>
      <c r="G164" s="103"/>
      <c r="H164" s="103"/>
      <c r="I164" s="103"/>
      <c r="J164" s="117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18"/>
      <c r="AD164" s="103"/>
      <c r="AE164" s="103"/>
      <c r="AF164" s="103"/>
      <c r="AG164" s="103"/>
      <c r="AH164" s="103"/>
      <c r="AI164" s="103"/>
      <c r="AJ164" s="103"/>
      <c r="AK164" s="103"/>
      <c r="AL164" s="103"/>
      <c r="AM164" s="119"/>
      <c r="AN164" s="119"/>
      <c r="AO164" s="119"/>
      <c r="AP164" s="119"/>
      <c r="AQ164" s="119"/>
      <c r="AR164" s="119"/>
      <c r="AS164" s="103"/>
      <c r="AT164" s="103"/>
      <c r="AU164" s="103"/>
      <c r="AV164" s="103"/>
      <c r="AW164" s="103"/>
      <c r="AX164" s="103"/>
      <c r="AY164" s="119"/>
      <c r="AZ164" s="119"/>
      <c r="BA164" s="119"/>
      <c r="BB164" s="119"/>
      <c r="BC164" s="119"/>
      <c r="BD164" s="119"/>
      <c r="BE164" s="103"/>
      <c r="BF164" s="119"/>
      <c r="BG164" s="119"/>
      <c r="BH164" s="119"/>
      <c r="BI164" s="119"/>
      <c r="BJ164" s="119"/>
    </row>
    <row r="165" customFormat="false" ht="12.8" hidden="false" customHeight="false" outlineLevel="0" collapsed="false">
      <c r="A165" s="103"/>
      <c r="B165" s="103"/>
      <c r="C165" s="103"/>
      <c r="D165" s="103"/>
      <c r="E165" s="103"/>
      <c r="F165" s="103"/>
      <c r="G165" s="103"/>
      <c r="H165" s="103"/>
      <c r="I165" s="103"/>
      <c r="J165" s="117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18"/>
      <c r="AD165" s="103"/>
      <c r="AE165" s="103"/>
      <c r="AF165" s="103"/>
      <c r="AG165" s="103"/>
      <c r="AH165" s="103"/>
      <c r="AI165" s="103"/>
      <c r="AJ165" s="103"/>
      <c r="AK165" s="103"/>
      <c r="AL165" s="103"/>
      <c r="AM165" s="119"/>
      <c r="AN165" s="119"/>
      <c r="AO165" s="119"/>
      <c r="AP165" s="119"/>
      <c r="AQ165" s="119"/>
      <c r="AR165" s="119"/>
      <c r="AS165" s="103"/>
      <c r="AT165" s="103"/>
      <c r="AU165" s="103"/>
      <c r="AV165" s="103"/>
      <c r="AW165" s="103"/>
      <c r="AX165" s="103"/>
      <c r="AY165" s="119"/>
      <c r="AZ165" s="119"/>
      <c r="BA165" s="119"/>
      <c r="BB165" s="119"/>
      <c r="BC165" s="119"/>
      <c r="BD165" s="119"/>
      <c r="BE165" s="103"/>
      <c r="BF165" s="119"/>
      <c r="BG165" s="119"/>
      <c r="BH165" s="119"/>
      <c r="BI165" s="119"/>
      <c r="BJ165" s="119"/>
    </row>
    <row r="166" customFormat="false" ht="12.8" hidden="false" customHeight="false" outlineLevel="0" collapsed="false">
      <c r="A166" s="103"/>
      <c r="B166" s="103"/>
      <c r="C166" s="103"/>
      <c r="D166" s="103"/>
      <c r="E166" s="103"/>
      <c r="F166" s="103"/>
      <c r="G166" s="103"/>
      <c r="H166" s="103"/>
      <c r="I166" s="103"/>
      <c r="J166" s="117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18"/>
      <c r="AD166" s="103"/>
      <c r="AE166" s="103"/>
      <c r="AF166" s="103"/>
      <c r="AG166" s="103"/>
      <c r="AH166" s="103"/>
      <c r="AI166" s="103"/>
      <c r="AJ166" s="103"/>
      <c r="AK166" s="103"/>
      <c r="AL166" s="103"/>
      <c r="AM166" s="119"/>
      <c r="AN166" s="119"/>
      <c r="AO166" s="119"/>
      <c r="AP166" s="119"/>
      <c r="AQ166" s="119"/>
      <c r="AR166" s="119"/>
      <c r="AS166" s="103"/>
      <c r="AT166" s="103"/>
      <c r="AU166" s="103"/>
      <c r="AV166" s="103"/>
      <c r="AW166" s="103"/>
      <c r="AX166" s="103"/>
      <c r="AY166" s="119"/>
      <c r="AZ166" s="119"/>
      <c r="BA166" s="119"/>
      <c r="BB166" s="119"/>
      <c r="BC166" s="119"/>
      <c r="BD166" s="119"/>
      <c r="BE166" s="103"/>
      <c r="BF166" s="119"/>
      <c r="BG166" s="119"/>
      <c r="BH166" s="119"/>
      <c r="BI166" s="119"/>
      <c r="BJ166" s="119"/>
    </row>
    <row r="167" customFormat="false" ht="12.8" hidden="false" customHeight="false" outlineLevel="0" collapsed="false">
      <c r="A167" s="103"/>
      <c r="B167" s="103"/>
      <c r="C167" s="103"/>
      <c r="D167" s="103"/>
      <c r="E167" s="103"/>
      <c r="F167" s="103"/>
      <c r="G167" s="103"/>
      <c r="H167" s="103"/>
      <c r="I167" s="103"/>
      <c r="J167" s="117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18"/>
      <c r="AD167" s="103"/>
      <c r="AE167" s="103"/>
      <c r="AF167" s="103"/>
      <c r="AG167" s="103"/>
      <c r="AH167" s="103"/>
      <c r="AI167" s="103"/>
      <c r="AJ167" s="103"/>
      <c r="AK167" s="103"/>
      <c r="AL167" s="103"/>
      <c r="AM167" s="119"/>
      <c r="AN167" s="119"/>
      <c r="AO167" s="119"/>
      <c r="AP167" s="119"/>
      <c r="AQ167" s="119"/>
      <c r="AR167" s="119"/>
      <c r="AS167" s="103"/>
      <c r="AT167" s="103"/>
      <c r="AU167" s="103"/>
      <c r="AV167" s="103"/>
      <c r="AW167" s="103"/>
      <c r="AX167" s="103"/>
      <c r="AY167" s="119"/>
      <c r="AZ167" s="119"/>
      <c r="BA167" s="119"/>
      <c r="BB167" s="119"/>
      <c r="BC167" s="119"/>
      <c r="BD167" s="119"/>
      <c r="BE167" s="103"/>
      <c r="BF167" s="119"/>
      <c r="BG167" s="119"/>
      <c r="BH167" s="119"/>
      <c r="BI167" s="119"/>
      <c r="BJ167" s="119"/>
    </row>
    <row r="168" customFormat="false" ht="12.8" hidden="false" customHeight="false" outlineLevel="0" collapsed="false">
      <c r="A168" s="103"/>
      <c r="B168" s="103"/>
      <c r="C168" s="103"/>
      <c r="D168" s="103"/>
      <c r="E168" s="103"/>
      <c r="F168" s="103"/>
      <c r="G168" s="103"/>
      <c r="H168" s="103"/>
      <c r="I168" s="103"/>
      <c r="J168" s="117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18"/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19"/>
      <c r="AN168" s="119"/>
      <c r="AO168" s="119"/>
      <c r="AP168" s="119"/>
      <c r="AQ168" s="119"/>
      <c r="AR168" s="119"/>
      <c r="AS168" s="103"/>
      <c r="AT168" s="103"/>
      <c r="AU168" s="103"/>
      <c r="AV168" s="103"/>
      <c r="AW168" s="103"/>
      <c r="AX168" s="103"/>
      <c r="AY168" s="119"/>
      <c r="AZ168" s="119"/>
      <c r="BA168" s="119"/>
      <c r="BB168" s="119"/>
      <c r="BC168" s="119"/>
      <c r="BD168" s="119"/>
      <c r="BE168" s="103"/>
      <c r="BF168" s="119"/>
      <c r="BG168" s="119"/>
      <c r="BH168" s="119"/>
      <c r="BI168" s="119"/>
      <c r="BJ168" s="119"/>
    </row>
    <row r="169" customFormat="false" ht="12.8" hidden="false" customHeight="false" outlineLevel="0" collapsed="false">
      <c r="A169" s="103"/>
      <c r="B169" s="103"/>
      <c r="C169" s="103"/>
      <c r="D169" s="103"/>
      <c r="E169" s="103"/>
      <c r="F169" s="103"/>
      <c r="G169" s="103"/>
      <c r="H169" s="103"/>
      <c r="I169" s="103"/>
      <c r="J169" s="117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18"/>
      <c r="AD169" s="103"/>
      <c r="AE169" s="103"/>
      <c r="AF169" s="103"/>
      <c r="AG169" s="103"/>
      <c r="AH169" s="103"/>
      <c r="AI169" s="103"/>
      <c r="AJ169" s="103"/>
      <c r="AK169" s="103"/>
      <c r="AL169" s="103"/>
      <c r="AM169" s="119"/>
      <c r="AN169" s="119"/>
      <c r="AO169" s="119"/>
      <c r="AP169" s="119"/>
      <c r="AQ169" s="119"/>
      <c r="AR169" s="119"/>
      <c r="AS169" s="103"/>
      <c r="AT169" s="103"/>
      <c r="AU169" s="103"/>
      <c r="AV169" s="103"/>
      <c r="AW169" s="103"/>
      <c r="AX169" s="103"/>
      <c r="AY169" s="119"/>
      <c r="AZ169" s="119"/>
      <c r="BA169" s="119"/>
      <c r="BB169" s="119"/>
      <c r="BC169" s="119"/>
      <c r="BD169" s="119"/>
      <c r="BE169" s="103"/>
      <c r="BF169" s="119"/>
      <c r="BG169" s="119"/>
      <c r="BH169" s="119"/>
      <c r="BI169" s="119"/>
      <c r="BJ169" s="119"/>
    </row>
    <row r="170" customFormat="false" ht="12.8" hidden="false" customHeight="false" outlineLevel="0" collapsed="false">
      <c r="A170" s="103"/>
      <c r="B170" s="103"/>
      <c r="C170" s="103"/>
      <c r="D170" s="103"/>
      <c r="E170" s="103"/>
      <c r="F170" s="103"/>
      <c r="G170" s="103"/>
      <c r="H170" s="103"/>
      <c r="I170" s="103"/>
      <c r="J170" s="117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18"/>
      <c r="AD170" s="103"/>
      <c r="AE170" s="103"/>
      <c r="AF170" s="103"/>
      <c r="AG170" s="103"/>
      <c r="AH170" s="103"/>
      <c r="AI170" s="103"/>
      <c r="AJ170" s="103"/>
      <c r="AK170" s="103"/>
      <c r="AL170" s="103"/>
      <c r="AM170" s="119"/>
      <c r="AN170" s="119"/>
      <c r="AO170" s="119"/>
      <c r="AP170" s="119"/>
      <c r="AQ170" s="119"/>
      <c r="AR170" s="119"/>
      <c r="AS170" s="103"/>
      <c r="AT170" s="103"/>
      <c r="AU170" s="103"/>
      <c r="AV170" s="103"/>
      <c r="AW170" s="103"/>
      <c r="AX170" s="103"/>
      <c r="AY170" s="119"/>
      <c r="AZ170" s="119"/>
      <c r="BA170" s="119"/>
      <c r="BB170" s="119"/>
      <c r="BC170" s="119"/>
      <c r="BD170" s="119"/>
      <c r="BE170" s="103"/>
      <c r="BF170" s="119"/>
      <c r="BG170" s="119"/>
      <c r="BH170" s="119"/>
      <c r="BI170" s="119"/>
      <c r="BJ170" s="119"/>
    </row>
    <row r="171" customFormat="false" ht="12.8" hidden="false" customHeight="false" outlineLevel="0" collapsed="false">
      <c r="A171" s="103"/>
      <c r="B171" s="103"/>
      <c r="C171" s="103"/>
      <c r="D171" s="103"/>
      <c r="E171" s="103"/>
      <c r="F171" s="103"/>
      <c r="G171" s="103"/>
      <c r="H171" s="103"/>
      <c r="I171" s="103"/>
      <c r="J171" s="117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18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19"/>
      <c r="AN171" s="119"/>
      <c r="AO171" s="119"/>
      <c r="AP171" s="119"/>
      <c r="AQ171" s="119"/>
      <c r="AR171" s="119"/>
      <c r="AS171" s="103"/>
      <c r="AT171" s="103"/>
      <c r="AU171" s="103"/>
      <c r="AV171" s="103"/>
      <c r="AW171" s="103"/>
      <c r="AX171" s="103"/>
      <c r="AY171" s="119"/>
      <c r="AZ171" s="119"/>
      <c r="BA171" s="119"/>
      <c r="BB171" s="119"/>
      <c r="BC171" s="119"/>
      <c r="BD171" s="119"/>
      <c r="BE171" s="103"/>
      <c r="BF171" s="119"/>
      <c r="BG171" s="119"/>
      <c r="BH171" s="119"/>
      <c r="BI171" s="119"/>
      <c r="BJ171" s="119"/>
    </row>
    <row r="172" customFormat="false" ht="12.8" hidden="false" customHeight="false" outlineLevel="0" collapsed="false">
      <c r="A172" s="103"/>
      <c r="B172" s="103"/>
      <c r="C172" s="103"/>
      <c r="D172" s="103"/>
      <c r="E172" s="103"/>
      <c r="F172" s="103"/>
      <c r="G172" s="103"/>
      <c r="H172" s="103"/>
      <c r="I172" s="103"/>
      <c r="J172" s="117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18"/>
      <c r="AD172" s="103"/>
      <c r="AE172" s="103"/>
      <c r="AF172" s="103"/>
      <c r="AG172" s="103"/>
      <c r="AH172" s="103"/>
      <c r="AI172" s="103"/>
      <c r="AJ172" s="103"/>
      <c r="AK172" s="103"/>
      <c r="AL172" s="103"/>
      <c r="AM172" s="119"/>
      <c r="AN172" s="119"/>
      <c r="AO172" s="119"/>
      <c r="AP172" s="119"/>
      <c r="AQ172" s="119"/>
      <c r="AR172" s="119"/>
      <c r="AS172" s="103"/>
      <c r="AT172" s="103"/>
      <c r="AU172" s="103"/>
      <c r="AV172" s="103"/>
      <c r="AW172" s="103"/>
      <c r="AX172" s="103"/>
      <c r="AY172" s="119"/>
      <c r="AZ172" s="119"/>
      <c r="BA172" s="119"/>
      <c r="BB172" s="119"/>
      <c r="BC172" s="119"/>
      <c r="BD172" s="119"/>
      <c r="BE172" s="103"/>
      <c r="BF172" s="119"/>
      <c r="BG172" s="119"/>
      <c r="BH172" s="119"/>
      <c r="BI172" s="119"/>
      <c r="BJ172" s="119"/>
    </row>
    <row r="173" customFormat="false" ht="12.8" hidden="false" customHeight="false" outlineLevel="0" collapsed="false">
      <c r="A173" s="103"/>
      <c r="B173" s="103"/>
      <c r="C173" s="103"/>
      <c r="D173" s="103"/>
      <c r="E173" s="103"/>
      <c r="F173" s="103"/>
      <c r="G173" s="103"/>
      <c r="H173" s="103"/>
      <c r="I173" s="103"/>
      <c r="J173" s="117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18"/>
      <c r="AD173" s="103"/>
      <c r="AE173" s="103"/>
      <c r="AF173" s="103"/>
      <c r="AG173" s="103"/>
      <c r="AH173" s="103"/>
      <c r="AI173" s="103"/>
      <c r="AJ173" s="103"/>
      <c r="AK173" s="103"/>
      <c r="AL173" s="103"/>
      <c r="AM173" s="119"/>
      <c r="AN173" s="119"/>
      <c r="AO173" s="119"/>
      <c r="AP173" s="119"/>
      <c r="AQ173" s="119"/>
      <c r="AR173" s="119"/>
      <c r="AS173" s="103"/>
      <c r="AT173" s="103"/>
      <c r="AU173" s="103"/>
      <c r="AV173" s="103"/>
      <c r="AW173" s="103"/>
      <c r="AX173" s="103"/>
      <c r="AY173" s="119"/>
      <c r="AZ173" s="119"/>
      <c r="BA173" s="119"/>
      <c r="BB173" s="119"/>
      <c r="BC173" s="119"/>
      <c r="BD173" s="119"/>
      <c r="BE173" s="103"/>
      <c r="BF173" s="119"/>
      <c r="BG173" s="119"/>
      <c r="BH173" s="119"/>
      <c r="BI173" s="119"/>
      <c r="BJ173" s="119"/>
    </row>
    <row r="174" customFormat="false" ht="12.8" hidden="false" customHeight="false" outlineLevel="0" collapsed="false">
      <c r="A174" s="103"/>
      <c r="B174" s="103"/>
      <c r="C174" s="103"/>
      <c r="D174" s="103"/>
      <c r="E174" s="103"/>
      <c r="F174" s="103"/>
      <c r="G174" s="103"/>
      <c r="H174" s="103"/>
      <c r="I174" s="103"/>
      <c r="J174" s="117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18"/>
      <c r="AD174" s="103"/>
      <c r="AE174" s="103"/>
      <c r="AF174" s="103"/>
      <c r="AG174" s="103"/>
      <c r="AH174" s="103"/>
      <c r="AI174" s="103"/>
      <c r="AJ174" s="103"/>
      <c r="AK174" s="103"/>
      <c r="AL174" s="103"/>
      <c r="AM174" s="119"/>
      <c r="AN174" s="119"/>
      <c r="AO174" s="119"/>
      <c r="AP174" s="119"/>
      <c r="AQ174" s="119"/>
      <c r="AR174" s="119"/>
      <c r="AS174" s="103"/>
      <c r="AT174" s="103"/>
      <c r="AU174" s="103"/>
      <c r="AV174" s="103"/>
      <c r="AW174" s="103"/>
      <c r="AX174" s="103"/>
      <c r="AY174" s="119"/>
      <c r="AZ174" s="119"/>
      <c r="BA174" s="119"/>
      <c r="BB174" s="119"/>
      <c r="BC174" s="119"/>
      <c r="BD174" s="119"/>
      <c r="BE174" s="103"/>
      <c r="BF174" s="119"/>
      <c r="BG174" s="119"/>
      <c r="BH174" s="119"/>
      <c r="BI174" s="119"/>
      <c r="BJ174" s="119"/>
    </row>
    <row r="175" customFormat="false" ht="12.8" hidden="false" customHeight="false" outlineLevel="0" collapsed="false">
      <c r="A175" s="103"/>
      <c r="B175" s="103"/>
      <c r="C175" s="103"/>
      <c r="D175" s="103"/>
      <c r="E175" s="103"/>
      <c r="F175" s="103"/>
      <c r="G175" s="103"/>
      <c r="H175" s="103"/>
      <c r="I175" s="103"/>
      <c r="J175" s="117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18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19"/>
      <c r="AN175" s="119"/>
      <c r="AO175" s="119"/>
      <c r="AP175" s="119"/>
      <c r="AQ175" s="119"/>
      <c r="AR175" s="119"/>
      <c r="AS175" s="103"/>
      <c r="AT175" s="103"/>
      <c r="AU175" s="103"/>
      <c r="AV175" s="103"/>
      <c r="AW175" s="103"/>
      <c r="AX175" s="103"/>
      <c r="AY175" s="119"/>
      <c r="AZ175" s="119"/>
      <c r="BA175" s="119"/>
      <c r="BB175" s="119"/>
      <c r="BC175" s="119"/>
      <c r="BD175" s="119"/>
      <c r="BE175" s="103"/>
      <c r="BF175" s="119"/>
      <c r="BG175" s="119"/>
      <c r="BH175" s="119"/>
      <c r="BI175" s="119"/>
      <c r="BJ175" s="119"/>
    </row>
    <row r="176" customFormat="false" ht="12.8" hidden="false" customHeight="false" outlineLevel="0" collapsed="false">
      <c r="A176" s="103"/>
      <c r="B176" s="103"/>
      <c r="C176" s="103"/>
      <c r="D176" s="103"/>
      <c r="E176" s="103"/>
      <c r="F176" s="103"/>
      <c r="G176" s="103"/>
      <c r="H176" s="103"/>
      <c r="I176" s="103"/>
      <c r="J176" s="117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18"/>
      <c r="AD176" s="103"/>
      <c r="AE176" s="103"/>
      <c r="AF176" s="103"/>
      <c r="AG176" s="103"/>
      <c r="AH176" s="103"/>
      <c r="AI176" s="103"/>
      <c r="AJ176" s="103"/>
      <c r="AK176" s="103"/>
      <c r="AL176" s="103"/>
      <c r="AM176" s="119"/>
      <c r="AN176" s="119"/>
      <c r="AO176" s="119"/>
      <c r="AP176" s="119"/>
      <c r="AQ176" s="119"/>
      <c r="AR176" s="119"/>
      <c r="AS176" s="103"/>
      <c r="AT176" s="103"/>
      <c r="AU176" s="103"/>
      <c r="AV176" s="103"/>
      <c r="AW176" s="103"/>
      <c r="AX176" s="103"/>
      <c r="AY176" s="119"/>
      <c r="AZ176" s="119"/>
      <c r="BA176" s="119"/>
      <c r="BB176" s="119"/>
      <c r="BC176" s="119"/>
      <c r="BD176" s="119"/>
      <c r="BE176" s="103"/>
      <c r="BF176" s="119"/>
      <c r="BG176" s="119"/>
      <c r="BH176" s="119"/>
      <c r="BI176" s="119"/>
      <c r="BJ176" s="119"/>
    </row>
    <row r="177" customFormat="false" ht="12.8" hidden="false" customHeight="false" outlineLevel="0" collapsed="false">
      <c r="A177" s="103"/>
      <c r="B177" s="103"/>
      <c r="C177" s="103"/>
      <c r="D177" s="103"/>
      <c r="E177" s="103"/>
      <c r="F177" s="103"/>
      <c r="G177" s="103"/>
      <c r="H177" s="103"/>
      <c r="I177" s="103"/>
      <c r="J177" s="117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18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19"/>
      <c r="AN177" s="119"/>
      <c r="AO177" s="119"/>
      <c r="AP177" s="119"/>
      <c r="AQ177" s="119"/>
      <c r="AR177" s="119"/>
      <c r="AS177" s="103"/>
      <c r="AT177" s="103"/>
      <c r="AU177" s="103"/>
      <c r="AV177" s="103"/>
      <c r="AW177" s="103"/>
      <c r="AX177" s="103"/>
      <c r="AY177" s="119"/>
      <c r="AZ177" s="119"/>
      <c r="BA177" s="119"/>
      <c r="BB177" s="119"/>
      <c r="BC177" s="119"/>
      <c r="BD177" s="119"/>
      <c r="BE177" s="103"/>
      <c r="BF177" s="119"/>
      <c r="BG177" s="119"/>
      <c r="BH177" s="119"/>
      <c r="BI177" s="119"/>
      <c r="BJ177" s="119"/>
    </row>
    <row r="178" customFormat="false" ht="12.8" hidden="false" customHeight="false" outlineLevel="0" collapsed="false">
      <c r="A178" s="103"/>
      <c r="B178" s="103"/>
      <c r="C178" s="103"/>
      <c r="D178" s="103"/>
      <c r="E178" s="103"/>
      <c r="F178" s="103"/>
      <c r="G178" s="103"/>
      <c r="H178" s="103"/>
      <c r="I178" s="103"/>
      <c r="J178" s="117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18"/>
      <c r="AD178" s="103"/>
      <c r="AE178" s="103"/>
      <c r="AF178" s="103"/>
      <c r="AG178" s="103"/>
      <c r="AH178" s="103"/>
      <c r="AI178" s="103"/>
      <c r="AJ178" s="103"/>
      <c r="AK178" s="103"/>
      <c r="AL178" s="103"/>
      <c r="AM178" s="119"/>
      <c r="AN178" s="119"/>
      <c r="AO178" s="119"/>
      <c r="AP178" s="119"/>
      <c r="AQ178" s="119"/>
      <c r="AR178" s="119"/>
      <c r="AS178" s="103"/>
      <c r="AT178" s="103"/>
      <c r="AU178" s="103"/>
      <c r="AV178" s="103"/>
      <c r="AW178" s="103"/>
      <c r="AX178" s="103"/>
      <c r="AY178" s="119"/>
      <c r="AZ178" s="119"/>
      <c r="BA178" s="119"/>
      <c r="BB178" s="119"/>
      <c r="BC178" s="119"/>
      <c r="BD178" s="119"/>
      <c r="BE178" s="103"/>
      <c r="BF178" s="119"/>
      <c r="BG178" s="119"/>
      <c r="BH178" s="119"/>
      <c r="BI178" s="119"/>
      <c r="BJ178" s="119"/>
    </row>
    <row r="179" customFormat="false" ht="12.8" hidden="false" customHeight="false" outlineLevel="0" collapsed="false">
      <c r="A179" s="103"/>
      <c r="B179" s="103"/>
      <c r="C179" s="103"/>
      <c r="D179" s="103"/>
      <c r="E179" s="103"/>
      <c r="F179" s="103"/>
      <c r="G179" s="103"/>
      <c r="H179" s="103"/>
      <c r="I179" s="103"/>
      <c r="J179" s="117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18"/>
      <c r="AD179" s="103"/>
      <c r="AE179" s="103"/>
      <c r="AF179" s="103"/>
      <c r="AG179" s="103"/>
      <c r="AH179" s="103"/>
      <c r="AI179" s="103"/>
      <c r="AJ179" s="103"/>
      <c r="AK179" s="103"/>
      <c r="AL179" s="103"/>
      <c r="AM179" s="119"/>
      <c r="AN179" s="119"/>
      <c r="AO179" s="119"/>
      <c r="AP179" s="119"/>
      <c r="AQ179" s="119"/>
      <c r="AR179" s="119"/>
      <c r="AS179" s="103"/>
      <c r="AT179" s="103"/>
      <c r="AU179" s="103"/>
      <c r="AV179" s="103"/>
      <c r="AW179" s="103"/>
      <c r="AX179" s="103"/>
      <c r="AY179" s="119"/>
      <c r="AZ179" s="119"/>
      <c r="BA179" s="119"/>
      <c r="BB179" s="119"/>
      <c r="BC179" s="119"/>
      <c r="BD179" s="119"/>
      <c r="BE179" s="103"/>
      <c r="BF179" s="119"/>
      <c r="BG179" s="119"/>
      <c r="BH179" s="119"/>
      <c r="BI179" s="119"/>
      <c r="BJ179" s="119"/>
    </row>
    <row r="180" customFormat="false" ht="12.8" hidden="false" customHeight="false" outlineLevel="0" collapsed="false">
      <c r="A180" s="103"/>
      <c r="B180" s="103"/>
      <c r="C180" s="103"/>
      <c r="D180" s="103"/>
      <c r="E180" s="103"/>
      <c r="F180" s="103"/>
      <c r="G180" s="103"/>
      <c r="H180" s="103"/>
      <c r="I180" s="103"/>
      <c r="J180" s="117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18"/>
      <c r="AD180" s="103"/>
      <c r="AE180" s="103"/>
      <c r="AF180" s="103"/>
      <c r="AG180" s="103"/>
      <c r="AH180" s="103"/>
      <c r="AI180" s="103"/>
      <c r="AJ180" s="103"/>
      <c r="AK180" s="103"/>
      <c r="AL180" s="103"/>
      <c r="AM180" s="119"/>
      <c r="AN180" s="119"/>
      <c r="AO180" s="119"/>
      <c r="AP180" s="119"/>
      <c r="AQ180" s="119"/>
      <c r="AR180" s="119"/>
      <c r="AS180" s="103"/>
      <c r="AT180" s="103"/>
      <c r="AU180" s="103"/>
      <c r="AV180" s="103"/>
      <c r="AW180" s="103"/>
      <c r="AX180" s="103"/>
      <c r="AY180" s="119"/>
      <c r="AZ180" s="119"/>
      <c r="BA180" s="119"/>
      <c r="BB180" s="119"/>
      <c r="BC180" s="119"/>
      <c r="BD180" s="119"/>
      <c r="BE180" s="103"/>
      <c r="BF180" s="119"/>
      <c r="BG180" s="119"/>
      <c r="BH180" s="119"/>
      <c r="BI180" s="119"/>
      <c r="BJ180" s="119"/>
    </row>
    <row r="181" customFormat="false" ht="12.8" hidden="false" customHeight="false" outlineLevel="0" collapsed="false">
      <c r="A181" s="103"/>
      <c r="B181" s="103"/>
      <c r="C181" s="103"/>
      <c r="D181" s="103"/>
      <c r="E181" s="103"/>
      <c r="F181" s="103"/>
      <c r="G181" s="103"/>
      <c r="H181" s="103"/>
      <c r="I181" s="103"/>
      <c r="J181" s="117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18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19"/>
      <c r="AN181" s="119"/>
      <c r="AO181" s="119"/>
      <c r="AP181" s="119"/>
      <c r="AQ181" s="119"/>
      <c r="AR181" s="119"/>
      <c r="AS181" s="103"/>
      <c r="AT181" s="103"/>
      <c r="AU181" s="103"/>
      <c r="AV181" s="103"/>
      <c r="AW181" s="103"/>
      <c r="AX181" s="103"/>
      <c r="AY181" s="119"/>
      <c r="AZ181" s="119"/>
      <c r="BA181" s="119"/>
      <c r="BB181" s="119"/>
      <c r="BC181" s="119"/>
      <c r="BD181" s="119"/>
      <c r="BE181" s="103"/>
      <c r="BF181" s="119"/>
      <c r="BG181" s="119"/>
      <c r="BH181" s="119"/>
      <c r="BI181" s="119"/>
      <c r="BJ181" s="119"/>
    </row>
    <row r="182" customFormat="false" ht="12.8" hidden="false" customHeight="false" outlineLevel="0" collapsed="false">
      <c r="A182" s="103"/>
      <c r="B182" s="103"/>
      <c r="C182" s="103"/>
      <c r="D182" s="103"/>
      <c r="E182" s="103"/>
      <c r="F182" s="103"/>
      <c r="G182" s="103"/>
      <c r="H182" s="103"/>
      <c r="I182" s="103"/>
      <c r="J182" s="117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18"/>
      <c r="AD182" s="103"/>
      <c r="AE182" s="103"/>
      <c r="AF182" s="103"/>
      <c r="AG182" s="103"/>
      <c r="AH182" s="103"/>
      <c r="AI182" s="103"/>
      <c r="AJ182" s="103"/>
      <c r="AK182" s="103"/>
      <c r="AL182" s="103"/>
      <c r="AM182" s="119"/>
      <c r="AN182" s="119"/>
      <c r="AO182" s="119"/>
      <c r="AP182" s="119"/>
      <c r="AQ182" s="119"/>
      <c r="AR182" s="119"/>
      <c r="AS182" s="103"/>
      <c r="AT182" s="103"/>
      <c r="AU182" s="103"/>
      <c r="AV182" s="103"/>
      <c r="AW182" s="103"/>
      <c r="AX182" s="103"/>
      <c r="AY182" s="119"/>
      <c r="AZ182" s="119"/>
      <c r="BA182" s="119"/>
      <c r="BB182" s="119"/>
      <c r="BC182" s="119"/>
      <c r="BD182" s="119"/>
      <c r="BE182" s="103"/>
      <c r="BF182" s="119"/>
      <c r="BG182" s="119"/>
      <c r="BH182" s="119"/>
      <c r="BI182" s="119"/>
      <c r="BJ182" s="119"/>
    </row>
    <row r="183" customFormat="false" ht="12.8" hidden="false" customHeight="false" outlineLevel="0" collapsed="false">
      <c r="A183" s="103"/>
      <c r="B183" s="103"/>
      <c r="C183" s="103"/>
      <c r="D183" s="103"/>
      <c r="E183" s="103"/>
      <c r="F183" s="103"/>
      <c r="G183" s="103"/>
      <c r="H183" s="103"/>
      <c r="I183" s="103"/>
      <c r="J183" s="117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18"/>
      <c r="AD183" s="103"/>
      <c r="AE183" s="103"/>
      <c r="AF183" s="103"/>
      <c r="AG183" s="103"/>
      <c r="AH183" s="103"/>
      <c r="AI183" s="103"/>
      <c r="AJ183" s="103"/>
      <c r="AK183" s="103"/>
      <c r="AL183" s="103"/>
      <c r="AM183" s="119"/>
      <c r="AN183" s="119"/>
      <c r="AO183" s="119"/>
      <c r="AP183" s="119"/>
      <c r="AQ183" s="119"/>
      <c r="AR183" s="119"/>
      <c r="AS183" s="103"/>
      <c r="AT183" s="103"/>
      <c r="AU183" s="103"/>
      <c r="AV183" s="103"/>
      <c r="AW183" s="103"/>
      <c r="AX183" s="103"/>
      <c r="AY183" s="119"/>
      <c r="AZ183" s="119"/>
      <c r="BA183" s="119"/>
      <c r="BB183" s="119"/>
      <c r="BC183" s="119"/>
      <c r="BD183" s="119"/>
      <c r="BE183" s="103"/>
      <c r="BF183" s="119"/>
      <c r="BG183" s="119"/>
      <c r="BH183" s="119"/>
      <c r="BI183" s="119"/>
      <c r="BJ183" s="119"/>
    </row>
    <row r="184" customFormat="false" ht="12.8" hidden="false" customHeight="false" outlineLevel="0" collapsed="false">
      <c r="A184" s="103"/>
      <c r="B184" s="103"/>
      <c r="C184" s="103"/>
      <c r="D184" s="103"/>
      <c r="E184" s="103"/>
      <c r="F184" s="103"/>
      <c r="G184" s="103"/>
      <c r="H184" s="103"/>
      <c r="I184" s="103"/>
      <c r="J184" s="117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18"/>
      <c r="AD184" s="103"/>
      <c r="AE184" s="103"/>
      <c r="AF184" s="103"/>
      <c r="AG184" s="103"/>
      <c r="AH184" s="103"/>
      <c r="AI184" s="103"/>
      <c r="AJ184" s="103"/>
      <c r="AK184" s="103"/>
      <c r="AL184" s="103"/>
      <c r="AM184" s="119"/>
      <c r="AN184" s="119"/>
      <c r="AO184" s="119"/>
      <c r="AP184" s="119"/>
      <c r="AQ184" s="119"/>
      <c r="AR184" s="119"/>
      <c r="AS184" s="103"/>
      <c r="AT184" s="103"/>
      <c r="AU184" s="103"/>
      <c r="AV184" s="103"/>
      <c r="AW184" s="103"/>
      <c r="AX184" s="103"/>
      <c r="AY184" s="119"/>
      <c r="AZ184" s="119"/>
      <c r="BA184" s="119"/>
      <c r="BB184" s="119"/>
      <c r="BC184" s="119"/>
      <c r="BD184" s="119"/>
      <c r="BE184" s="103"/>
      <c r="BF184" s="119"/>
      <c r="BG184" s="119"/>
      <c r="BH184" s="119"/>
      <c r="BI184" s="119"/>
      <c r="BJ184" s="119"/>
    </row>
    <row r="185" customFormat="false" ht="12.8" hidden="false" customHeight="false" outlineLevel="0" collapsed="false">
      <c r="A185" s="103"/>
      <c r="B185" s="103"/>
      <c r="C185" s="103"/>
      <c r="D185" s="103"/>
      <c r="E185" s="103"/>
      <c r="F185" s="103"/>
      <c r="G185" s="103"/>
      <c r="H185" s="103"/>
      <c r="I185" s="103"/>
      <c r="J185" s="117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18"/>
      <c r="AD185" s="103"/>
      <c r="AE185" s="103"/>
      <c r="AF185" s="103"/>
      <c r="AG185" s="103"/>
      <c r="AH185" s="103"/>
      <c r="AI185" s="103"/>
      <c r="AJ185" s="103"/>
      <c r="AK185" s="103"/>
      <c r="AL185" s="103"/>
      <c r="AM185" s="119"/>
      <c r="AN185" s="119"/>
      <c r="AO185" s="119"/>
      <c r="AP185" s="119"/>
      <c r="AQ185" s="119"/>
      <c r="AR185" s="119"/>
      <c r="AS185" s="103"/>
      <c r="AT185" s="103"/>
      <c r="AU185" s="103"/>
      <c r="AV185" s="103"/>
      <c r="AW185" s="103"/>
      <c r="AX185" s="103"/>
      <c r="AY185" s="119"/>
      <c r="AZ185" s="119"/>
      <c r="BA185" s="119"/>
      <c r="BB185" s="119"/>
      <c r="BC185" s="119"/>
      <c r="BD185" s="119"/>
      <c r="BE185" s="103"/>
      <c r="BF185" s="119"/>
      <c r="BG185" s="119"/>
      <c r="BH185" s="119"/>
      <c r="BI185" s="119"/>
      <c r="BJ185" s="119"/>
    </row>
    <row r="186" customFormat="false" ht="12.8" hidden="false" customHeight="false" outlineLevel="0" collapsed="false">
      <c r="A186" s="103"/>
      <c r="B186" s="103"/>
      <c r="C186" s="103"/>
      <c r="D186" s="103"/>
      <c r="E186" s="103"/>
      <c r="F186" s="103"/>
      <c r="G186" s="103"/>
      <c r="H186" s="103"/>
      <c r="I186" s="103"/>
      <c r="J186" s="117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18"/>
      <c r="AD186" s="103"/>
      <c r="AE186" s="103"/>
      <c r="AF186" s="103"/>
      <c r="AG186" s="103"/>
      <c r="AH186" s="103"/>
      <c r="AI186" s="103"/>
      <c r="AJ186" s="103"/>
      <c r="AK186" s="103"/>
      <c r="AL186" s="103"/>
      <c r="AM186" s="119"/>
      <c r="AN186" s="119"/>
      <c r="AO186" s="119"/>
      <c r="AP186" s="119"/>
      <c r="AQ186" s="119"/>
      <c r="AR186" s="119"/>
      <c r="AS186" s="103"/>
      <c r="AT186" s="103"/>
      <c r="AU186" s="103"/>
      <c r="AV186" s="103"/>
      <c r="AW186" s="103"/>
      <c r="AX186" s="103"/>
      <c r="AY186" s="119"/>
      <c r="AZ186" s="119"/>
      <c r="BA186" s="119"/>
      <c r="BB186" s="119"/>
      <c r="BC186" s="119"/>
      <c r="BD186" s="119"/>
      <c r="BE186" s="103"/>
      <c r="BF186" s="119"/>
      <c r="BG186" s="119"/>
      <c r="BH186" s="119"/>
      <c r="BI186" s="119"/>
      <c r="BJ186" s="119"/>
    </row>
    <row r="187" customFormat="false" ht="12.8" hidden="false" customHeight="false" outlineLevel="0" collapsed="false">
      <c r="A187" s="103"/>
      <c r="B187" s="103"/>
      <c r="C187" s="103"/>
      <c r="D187" s="103"/>
      <c r="E187" s="103"/>
      <c r="F187" s="103"/>
      <c r="G187" s="103"/>
      <c r="H187" s="103"/>
      <c r="I187" s="103"/>
      <c r="J187" s="117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18"/>
      <c r="AD187" s="103"/>
      <c r="AE187" s="103"/>
      <c r="AF187" s="103"/>
      <c r="AG187" s="103"/>
      <c r="AH187" s="103"/>
      <c r="AI187" s="103"/>
      <c r="AJ187" s="103"/>
      <c r="AK187" s="103"/>
      <c r="AL187" s="103"/>
      <c r="AM187" s="119"/>
      <c r="AN187" s="119"/>
      <c r="AO187" s="119"/>
      <c r="AP187" s="119"/>
      <c r="AQ187" s="119"/>
      <c r="AR187" s="119"/>
      <c r="AS187" s="103"/>
      <c r="AT187" s="103"/>
      <c r="AU187" s="103"/>
      <c r="AV187" s="103"/>
      <c r="AW187" s="103"/>
      <c r="AX187" s="103"/>
      <c r="AY187" s="119"/>
      <c r="AZ187" s="119"/>
      <c r="BA187" s="119"/>
      <c r="BB187" s="119"/>
      <c r="BC187" s="119"/>
      <c r="BD187" s="119"/>
      <c r="BE187" s="103"/>
      <c r="BF187" s="119"/>
      <c r="BG187" s="119"/>
      <c r="BH187" s="119"/>
      <c r="BI187" s="119"/>
      <c r="BJ187" s="119"/>
    </row>
    <row r="188" customFormat="false" ht="12.8" hidden="false" customHeight="false" outlineLevel="0" collapsed="false">
      <c r="A188" s="103"/>
      <c r="B188" s="103"/>
      <c r="C188" s="103"/>
      <c r="D188" s="103"/>
      <c r="E188" s="103"/>
      <c r="F188" s="103"/>
      <c r="G188" s="103"/>
      <c r="H188" s="103"/>
      <c r="I188" s="103"/>
      <c r="J188" s="117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18"/>
      <c r="AD188" s="103"/>
      <c r="AE188" s="103"/>
      <c r="AF188" s="103"/>
      <c r="AG188" s="103"/>
      <c r="AH188" s="103"/>
      <c r="AI188" s="103"/>
      <c r="AJ188" s="103"/>
      <c r="AK188" s="103"/>
      <c r="AL188" s="103"/>
      <c r="AM188" s="119"/>
      <c r="AN188" s="119"/>
      <c r="AO188" s="119"/>
      <c r="AP188" s="119"/>
      <c r="AQ188" s="119"/>
      <c r="AR188" s="119"/>
      <c r="AS188" s="103"/>
      <c r="AT188" s="103"/>
      <c r="AU188" s="103"/>
      <c r="AV188" s="103"/>
      <c r="AW188" s="103"/>
      <c r="AX188" s="103"/>
      <c r="AY188" s="119"/>
      <c r="AZ188" s="119"/>
      <c r="BA188" s="119"/>
      <c r="BB188" s="119"/>
      <c r="BC188" s="119"/>
      <c r="BD188" s="119"/>
      <c r="BE188" s="103"/>
      <c r="BF188" s="119"/>
      <c r="BG188" s="119"/>
      <c r="BH188" s="119"/>
      <c r="BI188" s="119"/>
      <c r="BJ188" s="119"/>
    </row>
    <row r="189" customFormat="false" ht="12.8" hidden="false" customHeight="false" outlineLevel="0" collapsed="false">
      <c r="A189" s="103"/>
      <c r="B189" s="103"/>
      <c r="C189" s="103"/>
      <c r="D189" s="103"/>
      <c r="E189" s="103"/>
      <c r="F189" s="103"/>
      <c r="G189" s="103"/>
      <c r="H189" s="103"/>
      <c r="I189" s="103"/>
      <c r="J189" s="117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18"/>
      <c r="AD189" s="103"/>
      <c r="AE189" s="103"/>
      <c r="AF189" s="103"/>
      <c r="AG189" s="103"/>
      <c r="AH189" s="103"/>
      <c r="AI189" s="103"/>
      <c r="AJ189" s="103"/>
      <c r="AK189" s="103"/>
      <c r="AL189" s="103"/>
      <c r="AM189" s="119"/>
      <c r="AN189" s="119"/>
      <c r="AO189" s="119"/>
      <c r="AP189" s="119"/>
      <c r="AQ189" s="119"/>
      <c r="AR189" s="119"/>
      <c r="AS189" s="103"/>
      <c r="AT189" s="103"/>
      <c r="AU189" s="103"/>
      <c r="AV189" s="103"/>
      <c r="AW189" s="103"/>
      <c r="AX189" s="103"/>
      <c r="AY189" s="119"/>
      <c r="AZ189" s="119"/>
      <c r="BA189" s="119"/>
      <c r="BB189" s="119"/>
      <c r="BC189" s="119"/>
      <c r="BD189" s="119"/>
      <c r="BE189" s="103"/>
      <c r="BF189" s="119"/>
      <c r="BG189" s="119"/>
      <c r="BH189" s="119"/>
      <c r="BI189" s="119"/>
      <c r="BJ189" s="119"/>
    </row>
    <row r="190" customFormat="false" ht="12.8" hidden="false" customHeight="false" outlineLevel="0" collapsed="false">
      <c r="A190" s="103"/>
      <c r="B190" s="103"/>
      <c r="C190" s="103"/>
      <c r="D190" s="103"/>
      <c r="E190" s="103"/>
      <c r="F190" s="103"/>
      <c r="G190" s="103"/>
      <c r="H190" s="103"/>
      <c r="I190" s="103"/>
      <c r="J190" s="117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18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19"/>
      <c r="AN190" s="119"/>
      <c r="AO190" s="119"/>
      <c r="AP190" s="119"/>
      <c r="AQ190" s="119"/>
      <c r="AR190" s="119"/>
      <c r="AS190" s="103"/>
      <c r="AT190" s="103"/>
      <c r="AU190" s="103"/>
      <c r="AV190" s="103"/>
      <c r="AW190" s="103"/>
      <c r="AX190" s="103"/>
      <c r="AY190" s="119"/>
      <c r="AZ190" s="119"/>
      <c r="BA190" s="119"/>
      <c r="BB190" s="119"/>
      <c r="BC190" s="119"/>
      <c r="BD190" s="119"/>
      <c r="BE190" s="103"/>
      <c r="BF190" s="119"/>
      <c r="BG190" s="119"/>
      <c r="BH190" s="119"/>
      <c r="BI190" s="119"/>
      <c r="BJ190" s="119"/>
    </row>
    <row r="191" customFormat="false" ht="12.8" hidden="false" customHeight="false" outlineLevel="0" collapsed="false">
      <c r="A191" s="103"/>
      <c r="B191" s="103"/>
      <c r="C191" s="103"/>
      <c r="D191" s="103"/>
      <c r="E191" s="103"/>
      <c r="F191" s="103"/>
      <c r="G191" s="103"/>
      <c r="H191" s="103"/>
      <c r="I191" s="103"/>
      <c r="J191" s="117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18"/>
      <c r="AD191" s="103"/>
      <c r="AE191" s="103"/>
      <c r="AF191" s="103"/>
      <c r="AG191" s="103"/>
      <c r="AH191" s="103"/>
      <c r="AI191" s="103"/>
      <c r="AJ191" s="103"/>
      <c r="AK191" s="103"/>
      <c r="AL191" s="103"/>
      <c r="AM191" s="119"/>
      <c r="AN191" s="119"/>
      <c r="AO191" s="119"/>
      <c r="AP191" s="119"/>
      <c r="AQ191" s="119"/>
      <c r="AR191" s="119"/>
      <c r="AS191" s="103"/>
      <c r="AT191" s="103"/>
      <c r="AU191" s="103"/>
      <c r="AV191" s="103"/>
      <c r="AW191" s="103"/>
      <c r="AX191" s="103"/>
      <c r="AY191" s="119"/>
      <c r="AZ191" s="119"/>
      <c r="BA191" s="119"/>
      <c r="BB191" s="119"/>
      <c r="BC191" s="119"/>
      <c r="BD191" s="119"/>
      <c r="BE191" s="103"/>
      <c r="BF191" s="119"/>
      <c r="BG191" s="119"/>
      <c r="BH191" s="119"/>
      <c r="BI191" s="119"/>
      <c r="BJ191" s="119"/>
    </row>
    <row r="192" customFormat="false" ht="12.8" hidden="false" customHeight="false" outlineLevel="0" collapsed="false">
      <c r="A192" s="103"/>
      <c r="B192" s="103"/>
      <c r="C192" s="103"/>
      <c r="D192" s="103"/>
      <c r="E192" s="103"/>
      <c r="F192" s="103"/>
      <c r="G192" s="103"/>
      <c r="H192" s="103"/>
      <c r="I192" s="103"/>
      <c r="J192" s="117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18"/>
      <c r="AD192" s="103"/>
      <c r="AE192" s="103"/>
      <c r="AF192" s="103"/>
      <c r="AG192" s="103"/>
      <c r="AH192" s="103"/>
      <c r="AI192" s="103"/>
      <c r="AJ192" s="103"/>
      <c r="AK192" s="103"/>
      <c r="AL192" s="103"/>
      <c r="AM192" s="119"/>
      <c r="AN192" s="119"/>
      <c r="AO192" s="119"/>
      <c r="AP192" s="119"/>
      <c r="AQ192" s="119"/>
      <c r="AR192" s="119"/>
      <c r="AS192" s="103"/>
      <c r="AT192" s="103"/>
      <c r="AU192" s="103"/>
      <c r="AV192" s="103"/>
      <c r="AW192" s="103"/>
      <c r="AX192" s="103"/>
      <c r="AY192" s="119"/>
      <c r="AZ192" s="119"/>
      <c r="BA192" s="119"/>
      <c r="BB192" s="119"/>
      <c r="BC192" s="119"/>
      <c r="BD192" s="119"/>
      <c r="BE192" s="103"/>
      <c r="BF192" s="119"/>
      <c r="BG192" s="119"/>
      <c r="BH192" s="119"/>
      <c r="BI192" s="119"/>
      <c r="BJ192" s="119"/>
    </row>
    <row r="193" customFormat="false" ht="12.8" hidden="false" customHeight="false" outlineLevel="0" collapsed="false">
      <c r="A193" s="103"/>
      <c r="B193" s="103"/>
      <c r="C193" s="103"/>
      <c r="D193" s="103"/>
      <c r="E193" s="103"/>
      <c r="F193" s="103"/>
      <c r="G193" s="103"/>
      <c r="H193" s="103"/>
      <c r="I193" s="103"/>
      <c r="J193" s="117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18"/>
      <c r="AD193" s="103"/>
      <c r="AE193" s="103"/>
      <c r="AF193" s="103"/>
      <c r="AG193" s="103"/>
      <c r="AH193" s="103"/>
      <c r="AI193" s="103"/>
      <c r="AJ193" s="103"/>
      <c r="AK193" s="103"/>
      <c r="AL193" s="103"/>
      <c r="AM193" s="119"/>
      <c r="AN193" s="119"/>
      <c r="AO193" s="119"/>
      <c r="AP193" s="119"/>
      <c r="AQ193" s="119"/>
      <c r="AR193" s="119"/>
      <c r="AS193" s="103"/>
      <c r="AT193" s="103"/>
      <c r="AU193" s="103"/>
      <c r="AV193" s="103"/>
      <c r="AW193" s="103"/>
      <c r="AX193" s="103"/>
      <c r="AY193" s="119"/>
      <c r="AZ193" s="119"/>
      <c r="BA193" s="119"/>
      <c r="BB193" s="119"/>
      <c r="BC193" s="119"/>
      <c r="BD193" s="119"/>
      <c r="BE193" s="103"/>
      <c r="BF193" s="119"/>
      <c r="BG193" s="119"/>
      <c r="BH193" s="119"/>
      <c r="BI193" s="119"/>
      <c r="BJ193" s="119"/>
    </row>
    <row r="194" customFormat="false" ht="12.8" hidden="false" customHeight="false" outlineLevel="0" collapsed="false">
      <c r="A194" s="103"/>
      <c r="B194" s="103"/>
      <c r="C194" s="103"/>
      <c r="D194" s="103"/>
      <c r="E194" s="103"/>
      <c r="F194" s="103"/>
      <c r="G194" s="103"/>
      <c r="H194" s="103"/>
      <c r="I194" s="103"/>
      <c r="J194" s="117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18"/>
      <c r="AD194" s="103"/>
      <c r="AE194" s="103"/>
      <c r="AF194" s="103"/>
      <c r="AG194" s="103"/>
      <c r="AH194" s="103"/>
      <c r="AI194" s="103"/>
      <c r="AJ194" s="103"/>
      <c r="AK194" s="103"/>
      <c r="AL194" s="103"/>
      <c r="AM194" s="119"/>
      <c r="AN194" s="119"/>
      <c r="AO194" s="119"/>
      <c r="AP194" s="119"/>
      <c r="AQ194" s="119"/>
      <c r="AR194" s="119"/>
      <c r="AS194" s="103"/>
      <c r="AT194" s="103"/>
      <c r="AU194" s="103"/>
      <c r="AV194" s="103"/>
      <c r="AW194" s="103"/>
      <c r="AX194" s="103"/>
      <c r="AY194" s="119"/>
      <c r="AZ194" s="119"/>
      <c r="BA194" s="119"/>
      <c r="BB194" s="119"/>
      <c r="BC194" s="119"/>
      <c r="BD194" s="119"/>
      <c r="BE194" s="103"/>
      <c r="BF194" s="119"/>
      <c r="BG194" s="119"/>
      <c r="BH194" s="119"/>
      <c r="BI194" s="119"/>
      <c r="BJ194" s="119"/>
    </row>
    <row r="195" customFormat="false" ht="12.8" hidden="false" customHeight="false" outlineLevel="0" collapsed="false">
      <c r="A195" s="103"/>
      <c r="B195" s="103"/>
      <c r="C195" s="103"/>
      <c r="D195" s="103"/>
      <c r="E195" s="103"/>
      <c r="F195" s="103"/>
      <c r="G195" s="103"/>
      <c r="H195" s="103"/>
      <c r="I195" s="103"/>
      <c r="J195" s="117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18"/>
      <c r="AD195" s="103"/>
      <c r="AE195" s="103"/>
      <c r="AF195" s="103"/>
      <c r="AG195" s="103"/>
      <c r="AH195" s="103"/>
      <c r="AI195" s="103"/>
      <c r="AJ195" s="103"/>
      <c r="AK195" s="103"/>
      <c r="AL195" s="103"/>
      <c r="AM195" s="119"/>
      <c r="AN195" s="119"/>
      <c r="AO195" s="119"/>
      <c r="AP195" s="119"/>
      <c r="AQ195" s="119"/>
      <c r="AR195" s="119"/>
      <c r="AS195" s="103"/>
      <c r="AT195" s="103"/>
      <c r="AU195" s="103"/>
      <c r="AV195" s="103"/>
      <c r="AW195" s="103"/>
      <c r="AX195" s="103"/>
      <c r="AY195" s="119"/>
      <c r="AZ195" s="119"/>
      <c r="BA195" s="119"/>
      <c r="BB195" s="119"/>
      <c r="BC195" s="119"/>
      <c r="BD195" s="119"/>
      <c r="BE195" s="103"/>
      <c r="BF195" s="119"/>
      <c r="BG195" s="119"/>
      <c r="BH195" s="119"/>
      <c r="BI195" s="119"/>
      <c r="BJ195" s="119"/>
    </row>
    <row r="196" customFormat="false" ht="12.8" hidden="false" customHeight="false" outlineLevel="0" collapsed="false">
      <c r="A196" s="103"/>
      <c r="B196" s="103"/>
      <c r="C196" s="103"/>
      <c r="D196" s="103"/>
      <c r="E196" s="103"/>
      <c r="F196" s="103"/>
      <c r="G196" s="103"/>
      <c r="H196" s="103"/>
      <c r="I196" s="103"/>
      <c r="J196" s="117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18"/>
      <c r="AD196" s="103"/>
      <c r="AE196" s="103"/>
      <c r="AF196" s="103"/>
      <c r="AG196" s="103"/>
      <c r="AH196" s="103"/>
      <c r="AI196" s="103"/>
      <c r="AJ196" s="103"/>
      <c r="AK196" s="103"/>
      <c r="AL196" s="103"/>
      <c r="AM196" s="119"/>
      <c r="AN196" s="119"/>
      <c r="AO196" s="119"/>
      <c r="AP196" s="119"/>
      <c r="AQ196" s="119"/>
      <c r="AR196" s="119"/>
      <c r="AS196" s="103"/>
      <c r="AT196" s="103"/>
      <c r="AU196" s="103"/>
      <c r="AV196" s="103"/>
      <c r="AW196" s="103"/>
      <c r="AX196" s="103"/>
      <c r="AY196" s="119"/>
      <c r="AZ196" s="119"/>
      <c r="BA196" s="119"/>
      <c r="BB196" s="119"/>
      <c r="BC196" s="119"/>
      <c r="BD196" s="119"/>
      <c r="BE196" s="103"/>
      <c r="BF196" s="119"/>
      <c r="BG196" s="119"/>
      <c r="BH196" s="119"/>
      <c r="BI196" s="119"/>
      <c r="BJ196" s="119"/>
    </row>
    <row r="197" customFormat="false" ht="12.8" hidden="false" customHeight="false" outlineLevel="0" collapsed="false">
      <c r="A197" s="103"/>
      <c r="B197" s="103"/>
      <c r="C197" s="103"/>
      <c r="D197" s="103"/>
      <c r="E197" s="103"/>
      <c r="F197" s="103"/>
      <c r="G197" s="103"/>
      <c r="H197" s="103"/>
      <c r="I197" s="103"/>
      <c r="J197" s="117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18"/>
      <c r="AD197" s="103"/>
      <c r="AE197" s="103"/>
      <c r="AF197" s="103"/>
      <c r="AG197" s="103"/>
      <c r="AH197" s="103"/>
      <c r="AI197" s="103"/>
      <c r="AJ197" s="103"/>
      <c r="AK197" s="103"/>
      <c r="AL197" s="103"/>
      <c r="AM197" s="119"/>
      <c r="AN197" s="119"/>
      <c r="AO197" s="119"/>
      <c r="AP197" s="119"/>
      <c r="AQ197" s="119"/>
      <c r="AR197" s="119"/>
      <c r="AS197" s="103"/>
      <c r="AT197" s="103"/>
      <c r="AU197" s="103"/>
      <c r="AV197" s="103"/>
      <c r="AW197" s="103"/>
      <c r="AX197" s="103"/>
      <c r="AY197" s="119"/>
      <c r="AZ197" s="119"/>
      <c r="BA197" s="119"/>
      <c r="BB197" s="119"/>
      <c r="BC197" s="119"/>
      <c r="BD197" s="119"/>
      <c r="BE197" s="103"/>
      <c r="BF197" s="119"/>
      <c r="BG197" s="119"/>
      <c r="BH197" s="119"/>
      <c r="BI197" s="119"/>
      <c r="BJ197" s="119"/>
    </row>
    <row r="198" customFormat="false" ht="12.8" hidden="false" customHeight="false" outlineLevel="0" collapsed="false">
      <c r="A198" s="103"/>
      <c r="B198" s="103"/>
      <c r="C198" s="103"/>
      <c r="D198" s="103"/>
      <c r="E198" s="103"/>
      <c r="F198" s="103"/>
      <c r="G198" s="103"/>
      <c r="H198" s="103"/>
      <c r="I198" s="103"/>
      <c r="J198" s="117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18"/>
      <c r="AD198" s="103"/>
      <c r="AE198" s="103"/>
      <c r="AF198" s="103"/>
      <c r="AG198" s="103"/>
      <c r="AH198" s="103"/>
      <c r="AI198" s="103"/>
      <c r="AJ198" s="103"/>
      <c r="AK198" s="103"/>
      <c r="AL198" s="103"/>
      <c r="AM198" s="119"/>
      <c r="AN198" s="119"/>
      <c r="AO198" s="119"/>
      <c r="AP198" s="119"/>
      <c r="AQ198" s="119"/>
      <c r="AR198" s="119"/>
      <c r="AS198" s="103"/>
      <c r="AT198" s="103"/>
      <c r="AU198" s="103"/>
      <c r="AV198" s="103"/>
      <c r="AW198" s="103"/>
      <c r="AX198" s="103"/>
      <c r="AY198" s="119"/>
      <c r="AZ198" s="119"/>
      <c r="BA198" s="119"/>
      <c r="BB198" s="119"/>
      <c r="BC198" s="119"/>
      <c r="BD198" s="119"/>
      <c r="BE198" s="103"/>
      <c r="BF198" s="119"/>
      <c r="BG198" s="119"/>
      <c r="BH198" s="119"/>
      <c r="BI198" s="119"/>
      <c r="BJ198" s="119"/>
    </row>
    <row r="199" customFormat="false" ht="12.8" hidden="false" customHeight="false" outlineLevel="0" collapsed="false">
      <c r="A199" s="103"/>
      <c r="B199" s="103"/>
      <c r="C199" s="103"/>
      <c r="D199" s="103"/>
      <c r="E199" s="103"/>
      <c r="F199" s="103"/>
      <c r="G199" s="103"/>
      <c r="H199" s="103"/>
      <c r="I199" s="103"/>
      <c r="J199" s="117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18"/>
      <c r="AD199" s="103"/>
      <c r="AE199" s="103"/>
      <c r="AF199" s="103"/>
      <c r="AG199" s="103"/>
      <c r="AH199" s="103"/>
      <c r="AI199" s="103"/>
      <c r="AJ199" s="103"/>
      <c r="AK199" s="103"/>
      <c r="AL199" s="103"/>
      <c r="AM199" s="119"/>
      <c r="AN199" s="119"/>
      <c r="AO199" s="119"/>
      <c r="AP199" s="119"/>
      <c r="AQ199" s="119"/>
      <c r="AR199" s="119"/>
      <c r="AS199" s="103"/>
      <c r="AT199" s="103"/>
      <c r="AU199" s="103"/>
      <c r="AV199" s="103"/>
      <c r="AW199" s="103"/>
      <c r="AX199" s="103"/>
      <c r="AY199" s="119"/>
      <c r="AZ199" s="119"/>
      <c r="BA199" s="119"/>
      <c r="BB199" s="119"/>
      <c r="BC199" s="119"/>
      <c r="BD199" s="119"/>
      <c r="BE199" s="103"/>
      <c r="BF199" s="119"/>
      <c r="BG199" s="119"/>
      <c r="BH199" s="119"/>
      <c r="BI199" s="119"/>
      <c r="BJ199" s="119"/>
    </row>
    <row r="200" customFormat="false" ht="12.8" hidden="false" customHeight="false" outlineLevel="0" collapsed="false">
      <c r="A200" s="103"/>
      <c r="B200" s="103"/>
      <c r="C200" s="103"/>
      <c r="D200" s="103"/>
      <c r="E200" s="103"/>
      <c r="F200" s="103"/>
      <c r="G200" s="103"/>
      <c r="H200" s="103"/>
      <c r="I200" s="103"/>
      <c r="J200" s="117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18"/>
      <c r="AD200" s="103"/>
      <c r="AE200" s="103"/>
      <c r="AF200" s="103"/>
      <c r="AG200" s="103"/>
      <c r="AH200" s="103"/>
      <c r="AI200" s="103"/>
      <c r="AJ200" s="103"/>
      <c r="AK200" s="103"/>
      <c r="AL200" s="103"/>
      <c r="AM200" s="119"/>
      <c r="AN200" s="119"/>
      <c r="AO200" s="119"/>
      <c r="AP200" s="119"/>
      <c r="AQ200" s="119"/>
      <c r="AR200" s="119"/>
      <c r="AS200" s="103"/>
      <c r="AT200" s="103"/>
      <c r="AU200" s="103"/>
      <c r="AV200" s="103"/>
      <c r="AW200" s="103"/>
      <c r="AX200" s="103"/>
      <c r="AY200" s="119"/>
      <c r="AZ200" s="119"/>
      <c r="BA200" s="119"/>
      <c r="BB200" s="119"/>
      <c r="BC200" s="119"/>
      <c r="BD200" s="119"/>
      <c r="BE200" s="103"/>
      <c r="BF200" s="119"/>
      <c r="BG200" s="119"/>
      <c r="BH200" s="119"/>
      <c r="BI200" s="119"/>
      <c r="BJ200" s="119"/>
    </row>
    <row r="201" customFormat="false" ht="12.8" hidden="false" customHeight="false" outlineLevel="0" collapsed="false">
      <c r="A201" s="103"/>
      <c r="B201" s="103"/>
      <c r="C201" s="103"/>
      <c r="D201" s="103"/>
      <c r="E201" s="103"/>
      <c r="F201" s="103"/>
      <c r="G201" s="103"/>
      <c r="H201" s="103"/>
      <c r="I201" s="103"/>
      <c r="J201" s="117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18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19"/>
      <c r="AN201" s="119"/>
      <c r="AO201" s="119"/>
      <c r="AP201" s="119"/>
      <c r="AQ201" s="119"/>
      <c r="AR201" s="119"/>
      <c r="AS201" s="103"/>
      <c r="AT201" s="103"/>
      <c r="AU201" s="103"/>
      <c r="AV201" s="103"/>
      <c r="AW201" s="103"/>
      <c r="AX201" s="103"/>
      <c r="AY201" s="119"/>
      <c r="AZ201" s="119"/>
      <c r="BA201" s="119"/>
      <c r="BB201" s="119"/>
      <c r="BC201" s="119"/>
      <c r="BD201" s="119"/>
      <c r="BE201" s="103"/>
      <c r="BF201" s="119"/>
      <c r="BG201" s="119"/>
      <c r="BH201" s="119"/>
      <c r="BI201" s="119"/>
      <c r="BJ201" s="119"/>
    </row>
    <row r="202" customFormat="false" ht="12.8" hidden="false" customHeight="false" outlineLevel="0" collapsed="false">
      <c r="A202" s="103"/>
      <c r="B202" s="103"/>
      <c r="C202" s="103"/>
      <c r="D202" s="103"/>
      <c r="E202" s="103"/>
      <c r="F202" s="103"/>
      <c r="G202" s="103"/>
      <c r="H202" s="103"/>
      <c r="I202" s="103"/>
      <c r="J202" s="117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18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19"/>
      <c r="AN202" s="119"/>
      <c r="AO202" s="119"/>
      <c r="AP202" s="119"/>
      <c r="AQ202" s="119"/>
      <c r="AR202" s="119"/>
      <c r="AS202" s="103"/>
      <c r="AT202" s="103"/>
      <c r="AU202" s="103"/>
      <c r="AV202" s="103"/>
      <c r="AW202" s="103"/>
      <c r="AX202" s="103"/>
      <c r="AY202" s="119"/>
      <c r="AZ202" s="119"/>
      <c r="BA202" s="119"/>
      <c r="BB202" s="119"/>
      <c r="BC202" s="119"/>
      <c r="BD202" s="119"/>
      <c r="BE202" s="103"/>
      <c r="BF202" s="119"/>
      <c r="BG202" s="119"/>
      <c r="BH202" s="119"/>
      <c r="BI202" s="119"/>
      <c r="BJ202" s="119"/>
    </row>
    <row r="203" customFormat="false" ht="12.8" hidden="false" customHeight="false" outlineLevel="0" collapsed="false">
      <c r="A203" s="103"/>
      <c r="B203" s="103"/>
      <c r="C203" s="103"/>
      <c r="D203" s="103"/>
      <c r="E203" s="103"/>
      <c r="F203" s="103"/>
      <c r="G203" s="103"/>
      <c r="H203" s="103"/>
      <c r="I203" s="103"/>
      <c r="J203" s="117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18"/>
      <c r="AD203" s="103"/>
      <c r="AE203" s="103"/>
      <c r="AF203" s="103"/>
      <c r="AG203" s="103"/>
      <c r="AH203" s="103"/>
      <c r="AI203" s="103"/>
      <c r="AJ203" s="103"/>
      <c r="AK203" s="103"/>
      <c r="AL203" s="103"/>
      <c r="AM203" s="119"/>
      <c r="AN203" s="119"/>
      <c r="AO203" s="119"/>
      <c r="AP203" s="119"/>
      <c r="AQ203" s="119"/>
      <c r="AR203" s="119"/>
      <c r="AS203" s="103"/>
      <c r="AT203" s="103"/>
      <c r="AU203" s="103"/>
      <c r="AV203" s="103"/>
      <c r="AW203" s="103"/>
      <c r="AX203" s="103"/>
      <c r="AY203" s="119"/>
      <c r="AZ203" s="119"/>
      <c r="BA203" s="119"/>
      <c r="BB203" s="119"/>
      <c r="BC203" s="119"/>
      <c r="BD203" s="119"/>
      <c r="BE203" s="103"/>
      <c r="BF203" s="119"/>
      <c r="BG203" s="119"/>
      <c r="BH203" s="119"/>
      <c r="BI203" s="119"/>
      <c r="BJ203" s="119"/>
    </row>
    <row r="204" customFormat="false" ht="12.8" hidden="false" customHeight="false" outlineLevel="0" collapsed="false">
      <c r="A204" s="103"/>
      <c r="B204" s="103"/>
      <c r="C204" s="103"/>
      <c r="D204" s="103"/>
      <c r="E204" s="103"/>
      <c r="F204" s="103"/>
      <c r="G204" s="103"/>
      <c r="H204" s="103"/>
      <c r="I204" s="103"/>
      <c r="J204" s="117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18"/>
      <c r="AD204" s="103"/>
      <c r="AE204" s="103"/>
      <c r="AF204" s="103"/>
      <c r="AG204" s="103"/>
      <c r="AH204" s="103"/>
      <c r="AI204" s="103"/>
      <c r="AJ204" s="103"/>
      <c r="AK204" s="103"/>
      <c r="AL204" s="103"/>
      <c r="AM204" s="119"/>
      <c r="AN204" s="119"/>
      <c r="AO204" s="119"/>
      <c r="AP204" s="119"/>
      <c r="AQ204" s="119"/>
      <c r="AR204" s="119"/>
      <c r="AS204" s="103"/>
      <c r="AT204" s="103"/>
      <c r="AU204" s="103"/>
      <c r="AV204" s="103"/>
      <c r="AW204" s="103"/>
      <c r="AX204" s="103"/>
      <c r="AY204" s="119"/>
      <c r="AZ204" s="119"/>
      <c r="BA204" s="119"/>
      <c r="BB204" s="119"/>
      <c r="BC204" s="119"/>
      <c r="BD204" s="119"/>
      <c r="BE204" s="103"/>
      <c r="BF204" s="119"/>
      <c r="BG204" s="119"/>
      <c r="BH204" s="119"/>
      <c r="BI204" s="119"/>
      <c r="BJ204" s="119"/>
    </row>
    <row r="205" customFormat="false" ht="12.8" hidden="false" customHeight="false" outlineLevel="0" collapsed="false">
      <c r="A205" s="103"/>
      <c r="B205" s="103"/>
      <c r="C205" s="103"/>
      <c r="D205" s="103"/>
      <c r="E205" s="103"/>
      <c r="F205" s="103"/>
      <c r="G205" s="103"/>
      <c r="H205" s="103"/>
      <c r="I205" s="103"/>
      <c r="J205" s="117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18"/>
      <c r="AD205" s="103"/>
      <c r="AE205" s="103"/>
      <c r="AF205" s="103"/>
      <c r="AG205" s="103"/>
      <c r="AH205" s="103"/>
      <c r="AI205" s="103"/>
      <c r="AJ205" s="103"/>
      <c r="AK205" s="103"/>
      <c r="AL205" s="103"/>
      <c r="AM205" s="119"/>
      <c r="AN205" s="119"/>
      <c r="AO205" s="119"/>
      <c r="AP205" s="119"/>
      <c r="AQ205" s="119"/>
      <c r="AR205" s="119"/>
      <c r="AS205" s="103"/>
      <c r="AT205" s="103"/>
      <c r="AU205" s="103"/>
      <c r="AV205" s="103"/>
      <c r="AW205" s="103"/>
      <c r="AX205" s="103"/>
      <c r="AY205" s="119"/>
      <c r="AZ205" s="119"/>
      <c r="BA205" s="119"/>
      <c r="BB205" s="119"/>
      <c r="BC205" s="119"/>
      <c r="BD205" s="119"/>
      <c r="BE205" s="103"/>
      <c r="BF205" s="119"/>
      <c r="BG205" s="119"/>
      <c r="BH205" s="119"/>
      <c r="BI205" s="119"/>
      <c r="BJ205" s="119"/>
    </row>
    <row r="206" customFormat="false" ht="12.8" hidden="false" customHeight="false" outlineLevel="0" collapsed="false">
      <c r="A206" s="103"/>
      <c r="B206" s="103"/>
      <c r="C206" s="103"/>
      <c r="D206" s="103"/>
      <c r="E206" s="103"/>
      <c r="F206" s="103"/>
      <c r="G206" s="103"/>
      <c r="H206" s="103"/>
      <c r="I206" s="103"/>
      <c r="J206" s="117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18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19"/>
      <c r="AN206" s="119"/>
      <c r="AO206" s="119"/>
      <c r="AP206" s="119"/>
      <c r="AQ206" s="119"/>
      <c r="AR206" s="119"/>
      <c r="AS206" s="103"/>
      <c r="AT206" s="103"/>
      <c r="AU206" s="103"/>
      <c r="AV206" s="103"/>
      <c r="AW206" s="103"/>
      <c r="AX206" s="103"/>
      <c r="AY206" s="119"/>
      <c r="AZ206" s="119"/>
      <c r="BA206" s="119"/>
      <c r="BB206" s="119"/>
      <c r="BC206" s="119"/>
      <c r="BD206" s="119"/>
      <c r="BE206" s="103"/>
      <c r="BF206" s="119"/>
      <c r="BG206" s="119"/>
      <c r="BH206" s="119"/>
      <c r="BI206" s="119"/>
      <c r="BJ206" s="119"/>
    </row>
    <row r="207" customFormat="false" ht="12.8" hidden="false" customHeight="false" outlineLevel="0" collapsed="false">
      <c r="A207" s="103"/>
      <c r="B207" s="103"/>
      <c r="C207" s="103"/>
      <c r="D207" s="103"/>
      <c r="E207" s="103"/>
      <c r="F207" s="103"/>
      <c r="G207" s="103"/>
      <c r="H207" s="103"/>
      <c r="I207" s="103"/>
      <c r="J207" s="117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18"/>
      <c r="AD207" s="103"/>
      <c r="AE207" s="103"/>
      <c r="AF207" s="103"/>
      <c r="AG207" s="103"/>
      <c r="AH207" s="103"/>
      <c r="AI207" s="103"/>
      <c r="AJ207" s="103"/>
      <c r="AK207" s="103"/>
      <c r="AL207" s="103"/>
      <c r="AM207" s="119"/>
      <c r="AN207" s="119"/>
      <c r="AO207" s="119"/>
      <c r="AP207" s="119"/>
      <c r="AQ207" s="119"/>
      <c r="AR207" s="119"/>
      <c r="AS207" s="103"/>
      <c r="AT207" s="103"/>
      <c r="AU207" s="103"/>
      <c r="AV207" s="103"/>
      <c r="AW207" s="103"/>
      <c r="AX207" s="103"/>
      <c r="AY207" s="119"/>
      <c r="AZ207" s="119"/>
      <c r="BA207" s="119"/>
      <c r="BB207" s="119"/>
      <c r="BC207" s="119"/>
      <c r="BD207" s="119"/>
      <c r="BE207" s="103"/>
      <c r="BF207" s="119"/>
      <c r="BG207" s="119"/>
      <c r="BH207" s="119"/>
      <c r="BI207" s="119"/>
      <c r="BJ207" s="119"/>
    </row>
    <row r="208" customFormat="false" ht="12.8" hidden="false" customHeight="false" outlineLevel="0" collapsed="false">
      <c r="A208" s="103"/>
      <c r="B208" s="103"/>
      <c r="C208" s="103"/>
      <c r="D208" s="103"/>
      <c r="E208" s="103"/>
      <c r="F208" s="103"/>
      <c r="G208" s="103"/>
      <c r="H208" s="103"/>
      <c r="I208" s="103"/>
      <c r="J208" s="117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18"/>
      <c r="AD208" s="103"/>
      <c r="AE208" s="103"/>
      <c r="AF208" s="103"/>
      <c r="AG208" s="103"/>
      <c r="AH208" s="103"/>
      <c r="AI208" s="103"/>
      <c r="AJ208" s="103"/>
      <c r="AK208" s="103"/>
      <c r="AL208" s="103"/>
      <c r="AM208" s="119"/>
      <c r="AN208" s="119"/>
      <c r="AO208" s="119"/>
      <c r="AP208" s="119"/>
      <c r="AQ208" s="119"/>
      <c r="AR208" s="119"/>
      <c r="AS208" s="103"/>
      <c r="AT208" s="103"/>
      <c r="AU208" s="103"/>
      <c r="AV208" s="103"/>
      <c r="AW208" s="103"/>
      <c r="AX208" s="103"/>
      <c r="AY208" s="119"/>
      <c r="AZ208" s="119"/>
      <c r="BA208" s="119"/>
      <c r="BB208" s="119"/>
      <c r="BC208" s="119"/>
      <c r="BD208" s="119"/>
      <c r="BE208" s="103"/>
      <c r="BF208" s="119"/>
      <c r="BG208" s="119"/>
      <c r="BH208" s="119"/>
      <c r="BI208" s="119"/>
      <c r="BJ208" s="119"/>
    </row>
    <row r="209" customFormat="false" ht="12.8" hidden="false" customHeight="false" outlineLevel="0" collapsed="false">
      <c r="A209" s="103"/>
      <c r="B209" s="103"/>
      <c r="C209" s="103"/>
      <c r="D209" s="103"/>
      <c r="E209" s="103"/>
      <c r="F209" s="103"/>
      <c r="G209" s="103"/>
      <c r="H209" s="103"/>
      <c r="I209" s="103"/>
      <c r="J209" s="117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18"/>
      <c r="AD209" s="103"/>
      <c r="AE209" s="103"/>
      <c r="AF209" s="103"/>
      <c r="AG209" s="103"/>
      <c r="AH209" s="103"/>
      <c r="AI209" s="103"/>
      <c r="AJ209" s="103"/>
      <c r="AK209" s="103"/>
      <c r="AL209" s="103"/>
      <c r="AM209" s="119"/>
      <c r="AN209" s="119"/>
      <c r="AO209" s="119"/>
      <c r="AP209" s="119"/>
      <c r="AQ209" s="119"/>
      <c r="AR209" s="119"/>
      <c r="AS209" s="103"/>
      <c r="AT209" s="103"/>
      <c r="AU209" s="103"/>
      <c r="AV209" s="103"/>
      <c r="AW209" s="103"/>
      <c r="AX209" s="103"/>
      <c r="AY209" s="119"/>
      <c r="AZ209" s="119"/>
      <c r="BA209" s="119"/>
      <c r="BB209" s="119"/>
      <c r="BC209" s="119"/>
      <c r="BD209" s="119"/>
      <c r="BE209" s="103"/>
      <c r="BF209" s="119"/>
      <c r="BG209" s="119"/>
      <c r="BH209" s="119"/>
      <c r="BI209" s="119"/>
      <c r="BJ209" s="119"/>
    </row>
    <row r="210" customFormat="false" ht="12.8" hidden="false" customHeight="false" outlineLevel="0" collapsed="false">
      <c r="A210" s="103"/>
      <c r="B210" s="103"/>
      <c r="C210" s="103"/>
      <c r="D210" s="103"/>
      <c r="E210" s="103"/>
      <c r="F210" s="103"/>
      <c r="G210" s="103"/>
      <c r="H210" s="103"/>
      <c r="I210" s="103"/>
      <c r="J210" s="117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18"/>
      <c r="AD210" s="103"/>
      <c r="AE210" s="103"/>
      <c r="AF210" s="103"/>
      <c r="AG210" s="103"/>
      <c r="AH210" s="103"/>
      <c r="AI210" s="103"/>
      <c r="AJ210" s="103"/>
      <c r="AK210" s="103"/>
      <c r="AL210" s="103"/>
      <c r="AM210" s="119"/>
      <c r="AN210" s="119"/>
      <c r="AO210" s="119"/>
      <c r="AP210" s="119"/>
      <c r="AQ210" s="119"/>
      <c r="AR210" s="119"/>
      <c r="AS210" s="103"/>
      <c r="AT210" s="103"/>
      <c r="AU210" s="103"/>
      <c r="AV210" s="103"/>
      <c r="AW210" s="103"/>
      <c r="AX210" s="103"/>
      <c r="AY210" s="119"/>
      <c r="AZ210" s="119"/>
      <c r="BA210" s="119"/>
      <c r="BB210" s="119"/>
      <c r="BC210" s="119"/>
      <c r="BD210" s="119"/>
      <c r="BE210" s="103"/>
      <c r="BF210" s="119"/>
      <c r="BG210" s="119"/>
      <c r="BH210" s="119"/>
      <c r="BI210" s="119"/>
      <c r="BJ210" s="119"/>
    </row>
    <row r="211" customFormat="false" ht="12.8" hidden="false" customHeight="false" outlineLevel="0" collapsed="false">
      <c r="A211" s="103"/>
      <c r="B211" s="103"/>
      <c r="C211" s="103"/>
      <c r="D211" s="103"/>
      <c r="E211" s="103"/>
      <c r="F211" s="103"/>
      <c r="G211" s="103"/>
      <c r="H211" s="103"/>
      <c r="I211" s="103"/>
      <c r="J211" s="117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18"/>
      <c r="AD211" s="103"/>
      <c r="AE211" s="103"/>
      <c r="AF211" s="103"/>
      <c r="AG211" s="103"/>
      <c r="AH211" s="103"/>
      <c r="AI211" s="103"/>
      <c r="AJ211" s="103"/>
      <c r="AK211" s="103"/>
      <c r="AL211" s="103"/>
      <c r="AM211" s="119"/>
      <c r="AN211" s="119"/>
      <c r="AO211" s="119"/>
      <c r="AP211" s="119"/>
      <c r="AQ211" s="119"/>
      <c r="AR211" s="119"/>
      <c r="AS211" s="103"/>
      <c r="AT211" s="103"/>
      <c r="AU211" s="103"/>
      <c r="AV211" s="103"/>
      <c r="AW211" s="103"/>
      <c r="AX211" s="103"/>
      <c r="AY211" s="119"/>
      <c r="AZ211" s="119"/>
      <c r="BA211" s="119"/>
      <c r="BB211" s="119"/>
      <c r="BC211" s="119"/>
      <c r="BD211" s="119"/>
      <c r="BE211" s="103"/>
      <c r="BF211" s="119"/>
      <c r="BG211" s="119"/>
      <c r="BH211" s="119"/>
      <c r="BI211" s="119"/>
      <c r="BJ211" s="119"/>
    </row>
    <row r="212" customFormat="false" ht="12.8" hidden="false" customHeight="false" outlineLevel="0" collapsed="false">
      <c r="A212" s="103"/>
      <c r="B212" s="103"/>
      <c r="C212" s="103"/>
      <c r="D212" s="103"/>
      <c r="E212" s="103"/>
      <c r="F212" s="103"/>
      <c r="G212" s="103"/>
      <c r="H212" s="103"/>
      <c r="I212" s="103"/>
      <c r="J212" s="117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18"/>
      <c r="AD212" s="103"/>
      <c r="AE212" s="103"/>
      <c r="AF212" s="103"/>
      <c r="AG212" s="103"/>
      <c r="AH212" s="103"/>
      <c r="AI212" s="103"/>
      <c r="AJ212" s="103"/>
      <c r="AK212" s="103"/>
      <c r="AL212" s="103"/>
      <c r="AM212" s="119"/>
      <c r="AN212" s="119"/>
      <c r="AO212" s="119"/>
      <c r="AP212" s="119"/>
      <c r="AQ212" s="119"/>
      <c r="AR212" s="119"/>
      <c r="AS212" s="103"/>
      <c r="AT212" s="103"/>
      <c r="AU212" s="103"/>
      <c r="AV212" s="103"/>
      <c r="AW212" s="103"/>
      <c r="AX212" s="103"/>
      <c r="AY212" s="119"/>
      <c r="AZ212" s="119"/>
      <c r="BA212" s="119"/>
      <c r="BB212" s="119"/>
      <c r="BC212" s="119"/>
      <c r="BD212" s="119"/>
      <c r="BE212" s="103"/>
      <c r="BF212" s="119"/>
      <c r="BG212" s="119"/>
      <c r="BH212" s="119"/>
      <c r="BI212" s="119"/>
      <c r="BJ212" s="119"/>
    </row>
    <row r="213" customFormat="false" ht="12.8" hidden="false" customHeight="false" outlineLevel="0" collapsed="false">
      <c r="A213" s="103"/>
      <c r="B213" s="103"/>
      <c r="C213" s="103"/>
      <c r="D213" s="103"/>
      <c r="E213" s="103"/>
      <c r="F213" s="103"/>
      <c r="G213" s="103"/>
      <c r="H213" s="103"/>
      <c r="I213" s="103"/>
      <c r="J213" s="117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18"/>
      <c r="AD213" s="103"/>
      <c r="AE213" s="103"/>
      <c r="AF213" s="103"/>
      <c r="AG213" s="103"/>
      <c r="AH213" s="103"/>
      <c r="AI213" s="103"/>
      <c r="AJ213" s="103"/>
      <c r="AK213" s="103"/>
      <c r="AL213" s="103"/>
      <c r="AM213" s="119"/>
      <c r="AN213" s="119"/>
      <c r="AO213" s="119"/>
      <c r="AP213" s="119"/>
      <c r="AQ213" s="119"/>
      <c r="AR213" s="119"/>
      <c r="AS213" s="103"/>
      <c r="AT213" s="103"/>
      <c r="AU213" s="103"/>
      <c r="AV213" s="103"/>
      <c r="AW213" s="103"/>
      <c r="AX213" s="103"/>
      <c r="AY213" s="119"/>
      <c r="AZ213" s="119"/>
      <c r="BA213" s="119"/>
      <c r="BB213" s="119"/>
      <c r="BC213" s="119"/>
      <c r="BD213" s="119"/>
      <c r="BE213" s="103"/>
      <c r="BF213" s="119"/>
      <c r="BG213" s="119"/>
      <c r="BH213" s="119"/>
      <c r="BI213" s="119"/>
      <c r="BJ213" s="119"/>
    </row>
    <row r="214" customFormat="false" ht="12.8" hidden="false" customHeight="false" outlineLevel="0" collapsed="false">
      <c r="A214" s="103"/>
      <c r="B214" s="103"/>
      <c r="C214" s="103"/>
      <c r="D214" s="103"/>
      <c r="E214" s="103"/>
      <c r="F214" s="103"/>
      <c r="G214" s="103"/>
      <c r="H214" s="103"/>
      <c r="I214" s="103"/>
      <c r="J214" s="117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18"/>
      <c r="AD214" s="103"/>
      <c r="AE214" s="103"/>
      <c r="AF214" s="103"/>
      <c r="AG214" s="103"/>
      <c r="AH214" s="103"/>
      <c r="AI214" s="103"/>
      <c r="AJ214" s="103"/>
      <c r="AK214" s="103"/>
      <c r="AL214" s="103"/>
      <c r="AM214" s="119"/>
      <c r="AN214" s="119"/>
      <c r="AO214" s="119"/>
      <c r="AP214" s="119"/>
      <c r="AQ214" s="119"/>
      <c r="AR214" s="119"/>
      <c r="AS214" s="103"/>
      <c r="AT214" s="103"/>
      <c r="AU214" s="103"/>
      <c r="AV214" s="103"/>
      <c r="AW214" s="103"/>
      <c r="AX214" s="103"/>
      <c r="AY214" s="119"/>
      <c r="AZ214" s="119"/>
      <c r="BA214" s="119"/>
      <c r="BB214" s="119"/>
      <c r="BC214" s="119"/>
      <c r="BD214" s="119"/>
      <c r="BE214" s="103"/>
      <c r="BF214" s="119"/>
      <c r="BG214" s="119"/>
      <c r="BH214" s="119"/>
      <c r="BI214" s="119"/>
      <c r="BJ214" s="119"/>
    </row>
    <row r="215" customFormat="false" ht="12.8" hidden="false" customHeight="false" outlineLevel="0" collapsed="false">
      <c r="A215" s="103"/>
      <c r="B215" s="103"/>
      <c r="C215" s="103"/>
      <c r="D215" s="103"/>
      <c r="E215" s="103"/>
      <c r="F215" s="103"/>
      <c r="G215" s="103"/>
      <c r="H215" s="103"/>
      <c r="I215" s="103"/>
      <c r="J215" s="117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18"/>
      <c r="AD215" s="103"/>
      <c r="AE215" s="103"/>
      <c r="AF215" s="103"/>
      <c r="AG215" s="103"/>
      <c r="AH215" s="103"/>
      <c r="AI215" s="103"/>
      <c r="AJ215" s="103"/>
      <c r="AK215" s="103"/>
      <c r="AL215" s="103"/>
      <c r="AM215" s="119"/>
      <c r="AN215" s="119"/>
      <c r="AO215" s="119"/>
      <c r="AP215" s="119"/>
      <c r="AQ215" s="119"/>
      <c r="AR215" s="119"/>
      <c r="AS215" s="103"/>
      <c r="AT215" s="103"/>
      <c r="AU215" s="103"/>
      <c r="AV215" s="103"/>
      <c r="AW215" s="103"/>
      <c r="AX215" s="103"/>
      <c r="AY215" s="119"/>
      <c r="AZ215" s="119"/>
      <c r="BA215" s="119"/>
      <c r="BB215" s="119"/>
      <c r="BC215" s="119"/>
      <c r="BD215" s="119"/>
      <c r="BE215" s="103"/>
      <c r="BF215" s="119"/>
      <c r="BG215" s="119"/>
      <c r="BH215" s="119"/>
      <c r="BI215" s="119"/>
      <c r="BJ215" s="119"/>
    </row>
    <row r="216" customFormat="false" ht="12.8" hidden="false" customHeight="false" outlineLevel="0" collapsed="false">
      <c r="A216" s="103"/>
      <c r="B216" s="103"/>
      <c r="C216" s="103"/>
      <c r="D216" s="103"/>
      <c r="E216" s="103"/>
      <c r="F216" s="103"/>
      <c r="G216" s="103"/>
      <c r="H216" s="103"/>
      <c r="I216" s="103"/>
      <c r="J216" s="117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18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19"/>
      <c r="AN216" s="119"/>
      <c r="AO216" s="119"/>
      <c r="AP216" s="119"/>
      <c r="AQ216" s="119"/>
      <c r="AR216" s="119"/>
      <c r="AS216" s="103"/>
      <c r="AT216" s="103"/>
      <c r="AU216" s="103"/>
      <c r="AV216" s="103"/>
      <c r="AW216" s="103"/>
      <c r="AX216" s="103"/>
      <c r="AY216" s="119"/>
      <c r="AZ216" s="119"/>
      <c r="BA216" s="119"/>
      <c r="BB216" s="119"/>
      <c r="BC216" s="119"/>
      <c r="BD216" s="119"/>
      <c r="BE216" s="103"/>
      <c r="BF216" s="119"/>
      <c r="BG216" s="119"/>
      <c r="BH216" s="119"/>
      <c r="BI216" s="119"/>
      <c r="BJ216" s="119"/>
    </row>
    <row r="217" customFormat="false" ht="12.8" hidden="false" customHeight="false" outlineLevel="0" collapsed="false">
      <c r="A217" s="103"/>
      <c r="B217" s="103"/>
      <c r="C217" s="103"/>
      <c r="D217" s="103"/>
      <c r="E217" s="103"/>
      <c r="F217" s="103"/>
      <c r="G217" s="103"/>
      <c r="H217" s="103"/>
      <c r="I217" s="103"/>
      <c r="J217" s="117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18"/>
      <c r="AD217" s="103"/>
      <c r="AE217" s="103"/>
      <c r="AF217" s="103"/>
      <c r="AG217" s="103"/>
      <c r="AH217" s="103"/>
      <c r="AI217" s="103"/>
      <c r="AJ217" s="103"/>
      <c r="AK217" s="103"/>
      <c r="AL217" s="103"/>
      <c r="AM217" s="119"/>
      <c r="AN217" s="119"/>
      <c r="AO217" s="119"/>
      <c r="AP217" s="119"/>
      <c r="AQ217" s="119"/>
      <c r="AR217" s="119"/>
      <c r="AS217" s="103"/>
      <c r="AT217" s="103"/>
      <c r="AU217" s="103"/>
      <c r="AV217" s="103"/>
      <c r="AW217" s="103"/>
      <c r="AX217" s="103"/>
      <c r="AY217" s="119"/>
      <c r="AZ217" s="119"/>
      <c r="BA217" s="119"/>
      <c r="BB217" s="119"/>
      <c r="BC217" s="119"/>
      <c r="BD217" s="119"/>
      <c r="BE217" s="103"/>
      <c r="BF217" s="119"/>
      <c r="BG217" s="119"/>
      <c r="BH217" s="119"/>
      <c r="BI217" s="119"/>
      <c r="BJ217" s="119"/>
    </row>
    <row r="218" customFormat="false" ht="12.8" hidden="false" customHeight="false" outlineLevel="0" collapsed="false">
      <c r="A218" s="103"/>
      <c r="B218" s="103"/>
      <c r="C218" s="103"/>
      <c r="D218" s="103"/>
      <c r="E218" s="103"/>
      <c r="F218" s="103"/>
      <c r="G218" s="103"/>
      <c r="H218" s="103"/>
      <c r="I218" s="103"/>
      <c r="J218" s="117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18"/>
      <c r="AD218" s="103"/>
      <c r="AE218" s="103"/>
      <c r="AF218" s="103"/>
      <c r="AG218" s="103"/>
      <c r="AH218" s="103"/>
      <c r="AI218" s="103"/>
      <c r="AJ218" s="103"/>
      <c r="AK218" s="103"/>
      <c r="AL218" s="103"/>
      <c r="AM218" s="119"/>
      <c r="AN218" s="119"/>
      <c r="AO218" s="119"/>
      <c r="AP218" s="119"/>
      <c r="AQ218" s="119"/>
      <c r="AR218" s="119"/>
      <c r="AS218" s="103"/>
      <c r="AT218" s="103"/>
      <c r="AU218" s="103"/>
      <c r="AV218" s="103"/>
      <c r="AW218" s="103"/>
      <c r="AX218" s="103"/>
      <c r="AY218" s="119"/>
      <c r="AZ218" s="119"/>
      <c r="BA218" s="119"/>
      <c r="BB218" s="119"/>
      <c r="BC218" s="119"/>
      <c r="BD218" s="119"/>
      <c r="BE218" s="103"/>
      <c r="BF218" s="119"/>
      <c r="BG218" s="119"/>
      <c r="BH218" s="119"/>
      <c r="BI218" s="119"/>
      <c r="BJ218" s="119"/>
    </row>
    <row r="219" customFormat="false" ht="12.8" hidden="false" customHeight="false" outlineLevel="0" collapsed="false">
      <c r="A219" s="103"/>
      <c r="B219" s="103"/>
      <c r="C219" s="103"/>
      <c r="D219" s="103"/>
      <c r="E219" s="103"/>
      <c r="F219" s="103"/>
      <c r="G219" s="103"/>
      <c r="H219" s="103"/>
      <c r="I219" s="103"/>
      <c r="J219" s="117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18"/>
      <c r="AD219" s="103"/>
      <c r="AE219" s="103"/>
      <c r="AF219" s="103"/>
      <c r="AG219" s="103"/>
      <c r="AH219" s="103"/>
      <c r="AI219" s="103"/>
      <c r="AJ219" s="103"/>
      <c r="AK219" s="103"/>
      <c r="AL219" s="103"/>
      <c r="AM219" s="119"/>
      <c r="AN219" s="119"/>
      <c r="AO219" s="119"/>
      <c r="AP219" s="119"/>
      <c r="AQ219" s="119"/>
      <c r="AR219" s="119"/>
      <c r="AS219" s="103"/>
      <c r="AT219" s="103"/>
      <c r="AU219" s="103"/>
      <c r="AV219" s="103"/>
      <c r="AW219" s="103"/>
      <c r="AX219" s="103"/>
      <c r="AY219" s="119"/>
      <c r="AZ219" s="119"/>
      <c r="BA219" s="119"/>
      <c r="BB219" s="119"/>
      <c r="BC219" s="119"/>
      <c r="BD219" s="119"/>
      <c r="BE219" s="103"/>
      <c r="BF219" s="119"/>
      <c r="BG219" s="119"/>
      <c r="BH219" s="119"/>
      <c r="BI219" s="119"/>
      <c r="BJ219" s="119"/>
    </row>
    <row r="220" customFormat="false" ht="12.8" hidden="false" customHeight="false" outlineLevel="0" collapsed="false">
      <c r="A220" s="103"/>
      <c r="B220" s="103"/>
      <c r="C220" s="103"/>
      <c r="D220" s="103"/>
      <c r="E220" s="103"/>
      <c r="F220" s="103"/>
      <c r="G220" s="103"/>
      <c r="H220" s="103"/>
      <c r="I220" s="103"/>
      <c r="J220" s="117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18"/>
      <c r="AD220" s="103"/>
      <c r="AE220" s="103"/>
      <c r="AF220" s="103"/>
      <c r="AG220" s="103"/>
      <c r="AH220" s="103"/>
      <c r="AI220" s="103"/>
      <c r="AJ220" s="103"/>
      <c r="AK220" s="103"/>
      <c r="AL220" s="103"/>
      <c r="AM220" s="119"/>
      <c r="AN220" s="119"/>
      <c r="AO220" s="119"/>
      <c r="AP220" s="119"/>
      <c r="AQ220" s="119"/>
      <c r="AR220" s="119"/>
      <c r="AS220" s="103"/>
      <c r="AT220" s="103"/>
      <c r="AU220" s="103"/>
      <c r="AV220" s="103"/>
      <c r="AW220" s="103"/>
      <c r="AX220" s="103"/>
      <c r="AY220" s="119"/>
      <c r="AZ220" s="119"/>
      <c r="BA220" s="119"/>
      <c r="BB220" s="119"/>
      <c r="BC220" s="119"/>
      <c r="BD220" s="119"/>
      <c r="BE220" s="103"/>
      <c r="BF220" s="119"/>
      <c r="BG220" s="119"/>
      <c r="BH220" s="119"/>
      <c r="BI220" s="119"/>
      <c r="BJ220" s="119"/>
    </row>
    <row r="221" customFormat="false" ht="12.8" hidden="false" customHeight="false" outlineLevel="0" collapsed="false">
      <c r="A221" s="103"/>
      <c r="B221" s="103"/>
      <c r="C221" s="103"/>
      <c r="D221" s="103"/>
      <c r="E221" s="103"/>
      <c r="F221" s="103"/>
      <c r="G221" s="103"/>
      <c r="H221" s="103"/>
      <c r="I221" s="103"/>
      <c r="J221" s="117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18"/>
      <c r="AD221" s="103"/>
      <c r="AE221" s="103"/>
      <c r="AF221" s="103"/>
      <c r="AG221" s="103"/>
      <c r="AH221" s="103"/>
      <c r="AI221" s="103"/>
      <c r="AJ221" s="103"/>
      <c r="AK221" s="103"/>
      <c r="AL221" s="103"/>
      <c r="AM221" s="119"/>
      <c r="AN221" s="119"/>
      <c r="AO221" s="119"/>
      <c r="AP221" s="119"/>
      <c r="AQ221" s="119"/>
      <c r="AR221" s="119"/>
      <c r="AS221" s="103"/>
      <c r="AT221" s="103"/>
      <c r="AU221" s="103"/>
      <c r="AV221" s="103"/>
      <c r="AW221" s="103"/>
      <c r="AX221" s="103"/>
      <c r="AY221" s="119"/>
      <c r="AZ221" s="119"/>
      <c r="BA221" s="119"/>
      <c r="BB221" s="119"/>
      <c r="BC221" s="119"/>
      <c r="BD221" s="119"/>
      <c r="BE221" s="103"/>
      <c r="BF221" s="119"/>
      <c r="BG221" s="119"/>
      <c r="BH221" s="119"/>
      <c r="BI221" s="119"/>
      <c r="BJ221" s="119"/>
    </row>
    <row r="222" customFormat="false" ht="12.8" hidden="false" customHeight="false" outlineLevel="0" collapsed="false">
      <c r="A222" s="103"/>
      <c r="B222" s="103"/>
      <c r="C222" s="103"/>
      <c r="D222" s="103"/>
      <c r="E222" s="103"/>
      <c r="F222" s="103"/>
      <c r="G222" s="103"/>
      <c r="H222" s="103"/>
      <c r="I222" s="103"/>
      <c r="J222" s="117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18"/>
      <c r="AD222" s="103"/>
      <c r="AE222" s="103"/>
      <c r="AF222" s="103"/>
      <c r="AG222" s="103"/>
      <c r="AH222" s="103"/>
      <c r="AI222" s="103"/>
      <c r="AJ222" s="103"/>
      <c r="AK222" s="103"/>
      <c r="AL222" s="103"/>
      <c r="AM222" s="119"/>
      <c r="AN222" s="119"/>
      <c r="AO222" s="119"/>
      <c r="AP222" s="119"/>
      <c r="AQ222" s="119"/>
      <c r="AR222" s="119"/>
      <c r="AS222" s="103"/>
      <c r="AT222" s="103"/>
      <c r="AU222" s="103"/>
      <c r="AV222" s="103"/>
      <c r="AW222" s="103"/>
      <c r="AX222" s="103"/>
      <c r="AY222" s="119"/>
      <c r="AZ222" s="119"/>
      <c r="BA222" s="119"/>
      <c r="BB222" s="119"/>
      <c r="BC222" s="119"/>
      <c r="BD222" s="119"/>
      <c r="BE222" s="103"/>
      <c r="BF222" s="119"/>
      <c r="BG222" s="119"/>
      <c r="BH222" s="119"/>
      <c r="BI222" s="119"/>
      <c r="BJ222" s="119"/>
    </row>
    <row r="223" customFormat="false" ht="12.8" hidden="false" customHeight="false" outlineLevel="0" collapsed="false">
      <c r="A223" s="103"/>
      <c r="B223" s="103"/>
      <c r="C223" s="103"/>
      <c r="D223" s="103"/>
      <c r="E223" s="103"/>
      <c r="F223" s="103"/>
      <c r="G223" s="103"/>
      <c r="H223" s="103"/>
      <c r="I223" s="103"/>
      <c r="J223" s="117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18"/>
      <c r="AD223" s="103"/>
      <c r="AE223" s="103"/>
      <c r="AF223" s="103"/>
      <c r="AG223" s="103"/>
      <c r="AH223" s="103"/>
      <c r="AI223" s="103"/>
      <c r="AJ223" s="103"/>
      <c r="AK223" s="103"/>
      <c r="AL223" s="103"/>
      <c r="AM223" s="119"/>
      <c r="AN223" s="119"/>
      <c r="AO223" s="119"/>
      <c r="AP223" s="119"/>
      <c r="AQ223" s="119"/>
      <c r="AR223" s="119"/>
      <c r="AS223" s="103"/>
      <c r="AT223" s="103"/>
      <c r="AU223" s="103"/>
      <c r="AV223" s="103"/>
      <c r="AW223" s="103"/>
      <c r="AX223" s="103"/>
      <c r="AY223" s="119"/>
      <c r="AZ223" s="119"/>
      <c r="BA223" s="119"/>
      <c r="BB223" s="119"/>
      <c r="BC223" s="119"/>
      <c r="BD223" s="119"/>
      <c r="BE223" s="103"/>
      <c r="BF223" s="119"/>
      <c r="BG223" s="119"/>
      <c r="BH223" s="119"/>
      <c r="BI223" s="119"/>
      <c r="BJ223" s="119"/>
    </row>
    <row r="224" customFormat="false" ht="12.8" hidden="false" customHeight="false" outlineLevel="0" collapsed="false">
      <c r="A224" s="103"/>
      <c r="B224" s="103"/>
      <c r="C224" s="103"/>
      <c r="D224" s="103"/>
      <c r="E224" s="103"/>
      <c r="F224" s="103"/>
      <c r="G224" s="103"/>
      <c r="H224" s="103"/>
      <c r="I224" s="103"/>
      <c r="J224" s="117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18"/>
      <c r="AD224" s="103"/>
      <c r="AE224" s="103"/>
      <c r="AF224" s="103"/>
      <c r="AG224" s="103"/>
      <c r="AH224" s="103"/>
      <c r="AI224" s="103"/>
      <c r="AJ224" s="103"/>
      <c r="AK224" s="103"/>
      <c r="AL224" s="103"/>
      <c r="AM224" s="119"/>
      <c r="AN224" s="119"/>
      <c r="AO224" s="119"/>
      <c r="AP224" s="119"/>
      <c r="AQ224" s="119"/>
      <c r="AR224" s="119"/>
      <c r="AS224" s="103"/>
      <c r="AT224" s="103"/>
      <c r="AU224" s="103"/>
      <c r="AV224" s="103"/>
      <c r="AW224" s="103"/>
      <c r="AX224" s="103"/>
      <c r="AY224" s="119"/>
      <c r="AZ224" s="119"/>
      <c r="BA224" s="119"/>
      <c r="BB224" s="119"/>
      <c r="BC224" s="119"/>
      <c r="BD224" s="119"/>
      <c r="BE224" s="103"/>
      <c r="BF224" s="119"/>
      <c r="BG224" s="119"/>
      <c r="BH224" s="119"/>
      <c r="BI224" s="119"/>
      <c r="BJ224" s="119"/>
    </row>
  </sheetData>
  <mergeCells count="25">
    <mergeCell ref="AC1:AG1"/>
    <mergeCell ref="AH1:AL1"/>
    <mergeCell ref="M2:Q2"/>
    <mergeCell ref="R2:Y2"/>
    <mergeCell ref="AC2:AG2"/>
    <mergeCell ref="AH2:AL2"/>
    <mergeCell ref="AM2:AR2"/>
    <mergeCell ref="AS2:AX2"/>
    <mergeCell ref="AY2:BD2"/>
    <mergeCell ref="BE2:BJ2"/>
    <mergeCell ref="O3:Q3"/>
    <mergeCell ref="V3:X3"/>
    <mergeCell ref="Z3:AB3"/>
    <mergeCell ref="AC3:AD3"/>
    <mergeCell ref="AE3:AG3"/>
    <mergeCell ref="AH3:AI3"/>
    <mergeCell ref="AJ3:AL3"/>
    <mergeCell ref="AM3:AN3"/>
    <mergeCell ref="AO3:AR3"/>
    <mergeCell ref="AS3:AT3"/>
    <mergeCell ref="AU3:AX3"/>
    <mergeCell ref="AY3:AZ3"/>
    <mergeCell ref="BA3:BD3"/>
    <mergeCell ref="BE3:BF3"/>
    <mergeCell ref="BG3:BJ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R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10.73046875" defaultRowHeight="12.8" zeroHeight="false" outlineLevelRow="0" outlineLevelCol="0"/>
  <cols>
    <col collapsed="false" customWidth="true" hidden="false" outlineLevel="0" max="2" min="1" style="0" width="13.86"/>
    <col collapsed="false" customWidth="true" hidden="false" outlineLevel="0" max="3" min="3" style="0" width="21.43"/>
    <col collapsed="false" customWidth="true" hidden="false" outlineLevel="0" max="4" min="4" style="0" width="23.95"/>
    <col collapsed="false" customWidth="true" hidden="false" outlineLevel="0" max="5" min="5" style="0" width="12.6"/>
    <col collapsed="false" customWidth="true" hidden="false" outlineLevel="0" max="6" min="6" style="0" width="15.12"/>
    <col collapsed="false" customWidth="true" hidden="false" outlineLevel="0" max="7" min="7" style="0" width="21.43"/>
    <col collapsed="false" customWidth="true" hidden="false" outlineLevel="0" max="8" min="8" style="0" width="15.12"/>
    <col collapsed="false" customWidth="true" hidden="false" outlineLevel="0" max="9" min="9" style="0" width="10.08"/>
    <col collapsed="false" customWidth="true" hidden="false" outlineLevel="0" max="11" min="10" style="0" width="17.64"/>
    <col collapsed="false" customWidth="true" hidden="false" outlineLevel="0" max="12" min="12" style="0" width="15.12"/>
    <col collapsed="false" customWidth="true" hidden="false" outlineLevel="0" max="16" min="13" style="0" width="12.6"/>
    <col collapsed="false" customWidth="true" hidden="false" outlineLevel="0" max="19" min="17" style="0" width="10.08"/>
    <col collapsed="false" customWidth="true" hidden="false" outlineLevel="0" max="20" min="20" style="0" width="12.6"/>
    <col collapsed="false" customWidth="true" hidden="false" outlineLevel="0" max="23" min="21" style="0" width="15.12"/>
    <col collapsed="false" customWidth="true" hidden="false" outlineLevel="0" max="24" min="24" style="0" width="16.38"/>
    <col collapsed="false" customWidth="true" hidden="false" outlineLevel="0" max="25" min="25" style="0" width="15.12"/>
    <col collapsed="false" customWidth="true" hidden="false" outlineLevel="0" max="26" min="26" style="0" width="18.9"/>
    <col collapsed="false" customWidth="true" hidden="false" outlineLevel="0" max="27" min="27" style="0" width="15.12"/>
    <col collapsed="false" customWidth="true" hidden="false" outlineLevel="0" max="32" min="28" style="0" width="10.08"/>
    <col collapsed="false" customWidth="true" hidden="false" outlineLevel="0" max="33" min="33" style="0" width="11.34"/>
    <col collapsed="false" customWidth="true" hidden="false" outlineLevel="0" max="34" min="34" style="0" width="31.51"/>
    <col collapsed="false" customWidth="true" hidden="false" outlineLevel="0" max="35" min="35" style="0" width="10.08"/>
    <col collapsed="false" customWidth="true" hidden="false" outlineLevel="0" max="39" min="36" style="0" width="11.34"/>
    <col collapsed="false" customWidth="true" hidden="false" outlineLevel="0" max="40" min="40" style="0" width="10.08"/>
    <col collapsed="false" customWidth="true" hidden="false" outlineLevel="0" max="41" min="41" style="0" width="15.12"/>
    <col collapsed="false" customWidth="true" hidden="false" outlineLevel="0" max="42" min="42" style="0" width="10.08"/>
    <col collapsed="false" customWidth="true" hidden="false" outlineLevel="0" max="44" min="43" style="0" width="12.6"/>
    <col collapsed="false" customWidth="true" hidden="false" outlineLevel="0" max="45" min="45" style="0" width="11.34"/>
    <col collapsed="false" customWidth="true" hidden="false" outlineLevel="0" max="46" min="46" style="0" width="10.08"/>
    <col collapsed="false" customWidth="true" hidden="false" outlineLevel="0" max="47" min="47" style="0" width="11.34"/>
    <col collapsed="false" customWidth="true" hidden="false" outlineLevel="0" max="48" min="48" style="0" width="15.12"/>
    <col collapsed="false" customWidth="true" hidden="false" outlineLevel="0" max="50" min="49" style="0" width="10.08"/>
    <col collapsed="false" customWidth="true" hidden="false" outlineLevel="0" max="54" min="51" style="0" width="11.34"/>
    <col collapsed="false" customWidth="true" hidden="false" outlineLevel="0" max="55" min="55" style="0" width="15.12"/>
    <col collapsed="false" customWidth="true" hidden="false" outlineLevel="0" max="57" min="56" style="0" width="10.08"/>
    <col collapsed="false" customWidth="true" hidden="false" outlineLevel="0" max="61" min="58" style="0" width="11.34"/>
    <col collapsed="false" customWidth="true" hidden="false" outlineLevel="0" max="62" min="62" style="0" width="15.12"/>
    <col collapsed="false" customWidth="true" hidden="false" outlineLevel="0" max="64" min="63" style="0" width="10.08"/>
    <col collapsed="false" customWidth="true" hidden="false" outlineLevel="0" max="68" min="65" style="0" width="11.34"/>
    <col collapsed="false" customWidth="true" hidden="false" outlineLevel="0" max="69" min="69" style="0" width="15.12"/>
    <col collapsed="false" customWidth="true" hidden="false" outlineLevel="0" max="73" min="70" style="0" width="10.08"/>
    <col collapsed="false" customWidth="true" hidden="false" outlineLevel="0" max="75" min="74" style="0" width="11.34"/>
    <col collapsed="false" customWidth="true" hidden="false" outlineLevel="0" max="76" min="76" style="0" width="15.12"/>
    <col collapsed="false" customWidth="true" hidden="false" outlineLevel="0" max="77" min="77" style="0" width="10.08"/>
    <col collapsed="false" customWidth="true" hidden="false" outlineLevel="0" max="78" min="78" style="0" width="13.86"/>
    <col collapsed="false" customWidth="true" hidden="false" outlineLevel="0" max="80" min="79" style="0" width="15.12"/>
    <col collapsed="false" customWidth="true" hidden="false" outlineLevel="0" max="82" min="81" style="0" width="17.64"/>
    <col collapsed="false" customWidth="true" hidden="false" outlineLevel="0" max="83" min="83" style="0" width="15.12"/>
    <col collapsed="false" customWidth="true" hidden="false" outlineLevel="0" max="85" min="84" style="0" width="10.08"/>
    <col collapsed="false" customWidth="true" hidden="false" outlineLevel="0" max="89" min="86" style="0" width="11.34"/>
    <col collapsed="false" customWidth="true" hidden="false" outlineLevel="0" max="90" min="90" style="0" width="15.12"/>
    <col collapsed="false" customWidth="true" hidden="false" outlineLevel="0" max="94" min="91" style="0" width="10.08"/>
    <col collapsed="false" customWidth="true" hidden="false" outlineLevel="0" max="96" min="95" style="0" width="11.34"/>
  </cols>
  <sheetData>
    <row r="1" customFormat="false" ht="12.8" hidden="false" customHeight="false" outlineLevel="0" collapsed="false">
      <c r="A1" s="120"/>
      <c r="B1" s="120"/>
      <c r="C1" s="120"/>
      <c r="D1" s="120"/>
      <c r="E1" s="120"/>
      <c r="F1" s="120"/>
      <c r="G1" s="120"/>
      <c r="H1" s="120"/>
      <c r="I1" s="120"/>
      <c r="J1" s="120"/>
      <c r="K1" s="4"/>
      <c r="L1" s="121"/>
      <c r="M1" s="122"/>
      <c r="N1" s="4"/>
      <c r="O1" s="4"/>
      <c r="P1" s="4"/>
      <c r="Q1" s="6"/>
      <c r="R1" s="6"/>
      <c r="S1" s="6"/>
      <c r="T1" s="6"/>
      <c r="U1" s="6"/>
      <c r="V1" s="6"/>
      <c r="W1" s="6"/>
      <c r="X1" s="6"/>
      <c r="Y1" s="6"/>
      <c r="Z1" s="6"/>
      <c r="AA1" s="10" t="s">
        <v>418</v>
      </c>
      <c r="AB1" s="10"/>
      <c r="AC1" s="10"/>
      <c r="AD1" s="10"/>
      <c r="AE1" s="10"/>
      <c r="AF1" s="10"/>
      <c r="AG1" s="10"/>
      <c r="AH1" s="10" t="s">
        <v>419</v>
      </c>
      <c r="AI1" s="10"/>
      <c r="AJ1" s="10"/>
      <c r="AK1" s="10"/>
      <c r="AL1" s="10"/>
      <c r="AM1" s="10"/>
      <c r="AN1" s="10"/>
      <c r="AO1" s="10" t="s">
        <v>420</v>
      </c>
      <c r="AP1" s="10"/>
      <c r="AQ1" s="10"/>
      <c r="AR1" s="10"/>
      <c r="AS1" s="10"/>
      <c r="AT1" s="10"/>
      <c r="AU1" s="10"/>
      <c r="AV1" s="4"/>
      <c r="AW1" s="6"/>
      <c r="AX1" s="6"/>
      <c r="AY1" s="6"/>
      <c r="AZ1" s="6"/>
      <c r="BA1" s="6"/>
      <c r="BB1" s="6"/>
      <c r="BC1" s="4"/>
      <c r="BD1" s="100"/>
      <c r="BE1" s="100"/>
      <c r="BF1" s="100"/>
      <c r="BG1" s="100"/>
      <c r="BH1" s="100"/>
      <c r="BI1" s="100"/>
      <c r="BJ1" s="10" t="s">
        <v>421</v>
      </c>
      <c r="BK1" s="10"/>
      <c r="BL1" s="10"/>
      <c r="BM1" s="10"/>
      <c r="BN1" s="10"/>
      <c r="BO1" s="10"/>
      <c r="BP1" s="10"/>
      <c r="BQ1" s="4"/>
      <c r="BR1" s="6"/>
      <c r="BS1" s="6"/>
      <c r="BT1" s="6"/>
      <c r="BU1" s="6"/>
      <c r="BV1" s="6"/>
      <c r="BW1" s="6"/>
      <c r="BX1" s="4"/>
      <c r="BY1" s="6"/>
      <c r="BZ1" s="6"/>
      <c r="CA1" s="6"/>
      <c r="CB1" s="6"/>
      <c r="CC1" s="6"/>
      <c r="CD1" s="6"/>
      <c r="CE1" s="4"/>
      <c r="CF1" s="6"/>
      <c r="CG1" s="6"/>
      <c r="CH1" s="6"/>
      <c r="CI1" s="6"/>
      <c r="CJ1" s="6"/>
      <c r="CK1" s="6"/>
      <c r="CL1" s="4"/>
      <c r="CM1" s="4"/>
      <c r="CN1" s="4"/>
      <c r="CO1" s="4"/>
      <c r="CP1" s="4"/>
      <c r="CQ1" s="4"/>
      <c r="CR1" s="4"/>
    </row>
    <row r="2" customFormat="false" ht="12.8" hidden="false" customHeight="false" outlineLevel="0" collapsed="false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4"/>
      <c r="L2" s="121"/>
      <c r="M2" s="122"/>
      <c r="N2" s="4"/>
      <c r="O2" s="4"/>
      <c r="P2" s="10" t="s">
        <v>0</v>
      </c>
      <c r="Q2" s="10"/>
      <c r="R2" s="10"/>
      <c r="S2" s="10"/>
      <c r="T2" s="10"/>
      <c r="U2" s="10"/>
      <c r="V2" s="10"/>
      <c r="W2" s="10"/>
      <c r="X2" s="107"/>
      <c r="Y2" s="107"/>
      <c r="Z2" s="107"/>
      <c r="AA2" s="123" t="s">
        <v>422</v>
      </c>
      <c r="AB2" s="123"/>
      <c r="AC2" s="123"/>
      <c r="AD2" s="123"/>
      <c r="AE2" s="123"/>
      <c r="AF2" s="123"/>
      <c r="AG2" s="123"/>
      <c r="AH2" s="124" t="s">
        <v>423</v>
      </c>
      <c r="AI2" s="124"/>
      <c r="AJ2" s="124"/>
      <c r="AK2" s="124"/>
      <c r="AL2" s="124"/>
      <c r="AM2" s="124"/>
      <c r="AN2" s="124"/>
      <c r="AO2" s="123" t="s">
        <v>424</v>
      </c>
      <c r="AP2" s="123"/>
      <c r="AQ2" s="123"/>
      <c r="AR2" s="123"/>
      <c r="AS2" s="123"/>
      <c r="AT2" s="123"/>
      <c r="AU2" s="123"/>
      <c r="AV2" s="10" t="s">
        <v>425</v>
      </c>
      <c r="AW2" s="10"/>
      <c r="AX2" s="10"/>
      <c r="AY2" s="10"/>
      <c r="AZ2" s="10"/>
      <c r="BA2" s="10"/>
      <c r="BB2" s="10"/>
      <c r="BC2" s="10" t="s">
        <v>426</v>
      </c>
      <c r="BD2" s="10"/>
      <c r="BE2" s="10"/>
      <c r="BF2" s="10"/>
      <c r="BG2" s="10"/>
      <c r="BH2" s="10"/>
      <c r="BI2" s="10"/>
      <c r="BJ2" s="10" t="s">
        <v>427</v>
      </c>
      <c r="BK2" s="10"/>
      <c r="BL2" s="10"/>
      <c r="BM2" s="10"/>
      <c r="BN2" s="10"/>
      <c r="BO2" s="10"/>
      <c r="BP2" s="10"/>
      <c r="BQ2" s="9" t="s">
        <v>428</v>
      </c>
      <c r="BR2" s="9"/>
      <c r="BS2" s="9"/>
      <c r="BT2" s="9"/>
      <c r="BU2" s="9"/>
      <c r="BV2" s="9"/>
      <c r="BW2" s="9"/>
      <c r="BX2" s="10" t="s">
        <v>429</v>
      </c>
      <c r="BY2" s="10"/>
      <c r="BZ2" s="10"/>
      <c r="CA2" s="10"/>
      <c r="CB2" s="10"/>
      <c r="CC2" s="10"/>
      <c r="CD2" s="10"/>
      <c r="CE2" s="11" t="s">
        <v>430</v>
      </c>
      <c r="CF2" s="11"/>
      <c r="CG2" s="11"/>
      <c r="CH2" s="11"/>
      <c r="CI2" s="11"/>
      <c r="CJ2" s="11"/>
      <c r="CK2" s="11"/>
      <c r="CL2" s="10" t="s">
        <v>431</v>
      </c>
      <c r="CM2" s="10"/>
      <c r="CN2" s="10"/>
      <c r="CO2" s="10"/>
      <c r="CP2" s="10"/>
      <c r="CQ2" s="10"/>
      <c r="CR2" s="10"/>
    </row>
    <row r="3" customFormat="false" ht="12.8" hidden="false" customHeight="false" outlineLevel="0" collapsed="false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4"/>
      <c r="L3" s="121"/>
      <c r="M3" s="122"/>
      <c r="N3" s="4"/>
      <c r="O3" s="4"/>
      <c r="P3" s="12"/>
      <c r="Q3" s="124" t="s">
        <v>7</v>
      </c>
      <c r="R3" s="124"/>
      <c r="S3" s="124"/>
      <c r="T3" s="124" t="s">
        <v>9</v>
      </c>
      <c r="U3" s="124" t="s">
        <v>432</v>
      </c>
      <c r="V3" s="124"/>
      <c r="W3" s="124"/>
      <c r="X3" s="106" t="s">
        <v>354</v>
      </c>
      <c r="Y3" s="106"/>
      <c r="Z3" s="106"/>
      <c r="AA3" s="11" t="s">
        <v>355</v>
      </c>
      <c r="AB3" s="11"/>
      <c r="AC3" s="10" t="s">
        <v>356</v>
      </c>
      <c r="AD3" s="10"/>
      <c r="AE3" s="10"/>
      <c r="AF3" s="10"/>
      <c r="AG3" s="10"/>
      <c r="AH3" s="124" t="s">
        <v>355</v>
      </c>
      <c r="AI3" s="124"/>
      <c r="AJ3" s="124" t="s">
        <v>356</v>
      </c>
      <c r="AK3" s="124"/>
      <c r="AL3" s="124"/>
      <c r="AM3" s="124"/>
      <c r="AN3" s="124"/>
      <c r="AO3" s="10" t="s">
        <v>355</v>
      </c>
      <c r="AP3" s="10"/>
      <c r="AQ3" s="9" t="s">
        <v>356</v>
      </c>
      <c r="AR3" s="9"/>
      <c r="AS3" s="9"/>
      <c r="AT3" s="9"/>
      <c r="AU3" s="9"/>
      <c r="AV3" s="10" t="s">
        <v>355</v>
      </c>
      <c r="AW3" s="10"/>
      <c r="AX3" s="10" t="s">
        <v>356</v>
      </c>
      <c r="AY3" s="10"/>
      <c r="AZ3" s="10"/>
      <c r="BA3" s="10"/>
      <c r="BB3" s="10"/>
      <c r="BC3" s="10" t="s">
        <v>355</v>
      </c>
      <c r="BD3" s="10"/>
      <c r="BE3" s="10" t="s">
        <v>356</v>
      </c>
      <c r="BF3" s="10"/>
      <c r="BG3" s="10"/>
      <c r="BH3" s="10"/>
      <c r="BI3" s="10"/>
      <c r="BJ3" s="10" t="s">
        <v>355</v>
      </c>
      <c r="BK3" s="10"/>
      <c r="BL3" s="10" t="s">
        <v>356</v>
      </c>
      <c r="BM3" s="10"/>
      <c r="BN3" s="10"/>
      <c r="BO3" s="10"/>
      <c r="BP3" s="10"/>
      <c r="BQ3" s="10" t="s">
        <v>355</v>
      </c>
      <c r="BR3" s="10"/>
      <c r="BS3" s="9" t="s">
        <v>356</v>
      </c>
      <c r="BT3" s="9"/>
      <c r="BU3" s="9"/>
      <c r="BV3" s="9"/>
      <c r="BW3" s="9"/>
      <c r="BX3" s="10" t="s">
        <v>355</v>
      </c>
      <c r="BY3" s="10"/>
      <c r="BZ3" s="10" t="s">
        <v>356</v>
      </c>
      <c r="CA3" s="10"/>
      <c r="CB3" s="10"/>
      <c r="CC3" s="10"/>
      <c r="CD3" s="10"/>
      <c r="CE3" s="11" t="s">
        <v>355</v>
      </c>
      <c r="CF3" s="11"/>
      <c r="CG3" s="10" t="s">
        <v>356</v>
      </c>
      <c r="CH3" s="10"/>
      <c r="CI3" s="10"/>
      <c r="CJ3" s="10"/>
      <c r="CK3" s="10"/>
      <c r="CL3" s="10" t="s">
        <v>355</v>
      </c>
      <c r="CM3" s="10"/>
      <c r="CN3" s="10" t="s">
        <v>356</v>
      </c>
      <c r="CO3" s="10"/>
      <c r="CP3" s="10"/>
      <c r="CQ3" s="10"/>
      <c r="CR3" s="10"/>
    </row>
    <row r="4" customFormat="false" ht="12.8" hidden="false" customHeight="false" outlineLevel="0" collapsed="false">
      <c r="A4" s="16" t="s">
        <v>12</v>
      </c>
      <c r="B4" s="17" t="s">
        <v>13</v>
      </c>
      <c r="C4" s="16" t="s">
        <v>14</v>
      </c>
      <c r="D4" s="16" t="s">
        <v>15</v>
      </c>
      <c r="E4" s="16" t="s">
        <v>16</v>
      </c>
      <c r="F4" s="16" t="s">
        <v>17</v>
      </c>
      <c r="G4" s="21" t="s">
        <v>357</v>
      </c>
      <c r="H4" s="21" t="s">
        <v>433</v>
      </c>
      <c r="I4" s="21" t="s">
        <v>434</v>
      </c>
      <c r="J4" s="21" t="s">
        <v>358</v>
      </c>
      <c r="K4" s="21" t="s">
        <v>435</v>
      </c>
      <c r="L4" s="26" t="s">
        <v>36</v>
      </c>
      <c r="M4" s="23" t="s">
        <v>37</v>
      </c>
      <c r="N4" s="9" t="s">
        <v>359</v>
      </c>
      <c r="O4" s="9" t="s">
        <v>360</v>
      </c>
      <c r="P4" s="21" t="s">
        <v>43</v>
      </c>
      <c r="Q4" s="21" t="s">
        <v>44</v>
      </c>
      <c r="R4" s="21" t="s">
        <v>45</v>
      </c>
      <c r="S4" s="21" t="s">
        <v>46</v>
      </c>
      <c r="T4" s="21" t="s">
        <v>49</v>
      </c>
      <c r="U4" s="11" t="s">
        <v>436</v>
      </c>
      <c r="V4" s="11" t="s">
        <v>437</v>
      </c>
      <c r="W4" s="11" t="s">
        <v>438</v>
      </c>
      <c r="X4" s="125" t="s">
        <v>15</v>
      </c>
      <c r="Y4" s="105" t="s">
        <v>361</v>
      </c>
      <c r="Z4" s="126" t="s">
        <v>368</v>
      </c>
      <c r="AA4" s="127" t="s">
        <v>369</v>
      </c>
      <c r="AB4" s="21" t="s">
        <v>370</v>
      </c>
      <c r="AC4" s="128" t="s">
        <v>371</v>
      </c>
      <c r="AD4" s="128" t="s">
        <v>372</v>
      </c>
      <c r="AE4" s="128" t="s">
        <v>373</v>
      </c>
      <c r="AF4" s="128" t="s">
        <v>374</v>
      </c>
      <c r="AG4" s="128" t="s">
        <v>439</v>
      </c>
      <c r="AH4" s="17" t="s">
        <v>440</v>
      </c>
      <c r="AI4" s="21" t="s">
        <v>370</v>
      </c>
      <c r="AJ4" s="128" t="s">
        <v>371</v>
      </c>
      <c r="AK4" s="128" t="s">
        <v>372</v>
      </c>
      <c r="AL4" s="128" t="s">
        <v>373</v>
      </c>
      <c r="AM4" s="129" t="s">
        <v>374</v>
      </c>
      <c r="AN4" s="129" t="s">
        <v>439</v>
      </c>
      <c r="AO4" s="17" t="s">
        <v>369</v>
      </c>
      <c r="AP4" s="21" t="s">
        <v>370</v>
      </c>
      <c r="AQ4" s="128" t="s">
        <v>371</v>
      </c>
      <c r="AR4" s="128" t="s">
        <v>372</v>
      </c>
      <c r="AS4" s="128" t="s">
        <v>373</v>
      </c>
      <c r="AT4" s="128" t="s">
        <v>374</v>
      </c>
      <c r="AU4" s="129" t="s">
        <v>439</v>
      </c>
      <c r="AV4" s="21" t="s">
        <v>369</v>
      </c>
      <c r="AW4" s="21" t="s">
        <v>370</v>
      </c>
      <c r="AX4" s="128" t="s">
        <v>371</v>
      </c>
      <c r="AY4" s="128" t="s">
        <v>372</v>
      </c>
      <c r="AZ4" s="128" t="s">
        <v>373</v>
      </c>
      <c r="BA4" s="128" t="s">
        <v>374</v>
      </c>
      <c r="BB4" s="128" t="s">
        <v>439</v>
      </c>
      <c r="BC4" s="21" t="s">
        <v>369</v>
      </c>
      <c r="BD4" s="21" t="s">
        <v>370</v>
      </c>
      <c r="BE4" s="128" t="s">
        <v>371</v>
      </c>
      <c r="BF4" s="128" t="s">
        <v>372</v>
      </c>
      <c r="BG4" s="128" t="s">
        <v>373</v>
      </c>
      <c r="BH4" s="128" t="s">
        <v>374</v>
      </c>
      <c r="BI4" s="128" t="s">
        <v>439</v>
      </c>
      <c r="BJ4" s="21" t="s">
        <v>369</v>
      </c>
      <c r="BK4" s="21" t="s">
        <v>370</v>
      </c>
      <c r="BL4" s="128" t="s">
        <v>371</v>
      </c>
      <c r="BM4" s="128" t="s">
        <v>372</v>
      </c>
      <c r="BN4" s="128" t="s">
        <v>373</v>
      </c>
      <c r="BO4" s="128" t="s">
        <v>374</v>
      </c>
      <c r="BP4" s="128" t="s">
        <v>439</v>
      </c>
      <c r="BQ4" s="17" t="s">
        <v>369</v>
      </c>
      <c r="BR4" s="21" t="s">
        <v>370</v>
      </c>
      <c r="BS4" s="128" t="s">
        <v>371</v>
      </c>
      <c r="BT4" s="128" t="s">
        <v>372</v>
      </c>
      <c r="BU4" s="128" t="s">
        <v>373</v>
      </c>
      <c r="BV4" s="128" t="s">
        <v>374</v>
      </c>
      <c r="BW4" s="129" t="s">
        <v>439</v>
      </c>
      <c r="BX4" s="17" t="s">
        <v>369</v>
      </c>
      <c r="BY4" s="21" t="s">
        <v>370</v>
      </c>
      <c r="BZ4" s="128" t="s">
        <v>371</v>
      </c>
      <c r="CA4" s="128" t="s">
        <v>372</v>
      </c>
      <c r="CB4" s="128" t="s">
        <v>373</v>
      </c>
      <c r="CC4" s="128" t="s">
        <v>374</v>
      </c>
      <c r="CD4" s="128" t="s">
        <v>439</v>
      </c>
      <c r="CE4" s="127" t="s">
        <v>369</v>
      </c>
      <c r="CF4" s="21" t="s">
        <v>370</v>
      </c>
      <c r="CG4" s="128" t="s">
        <v>371</v>
      </c>
      <c r="CH4" s="128" t="s">
        <v>372</v>
      </c>
      <c r="CI4" s="128" t="s">
        <v>373</v>
      </c>
      <c r="CJ4" s="128" t="s">
        <v>374</v>
      </c>
      <c r="CK4" s="128" t="s">
        <v>439</v>
      </c>
      <c r="CL4" s="21" t="s">
        <v>369</v>
      </c>
      <c r="CM4" s="21" t="s">
        <v>370</v>
      </c>
      <c r="CN4" s="128" t="s">
        <v>371</v>
      </c>
      <c r="CO4" s="128" t="s">
        <v>372</v>
      </c>
      <c r="CP4" s="128" t="s">
        <v>373</v>
      </c>
      <c r="CQ4" s="128" t="s">
        <v>374</v>
      </c>
      <c r="CR4" s="128" t="s">
        <v>439</v>
      </c>
    </row>
    <row r="5" customFormat="false" ht="12.8" hidden="false" customHeight="false" outlineLevel="0" collapsed="false">
      <c r="A5" s="17" t="s">
        <v>328</v>
      </c>
      <c r="B5" s="17" t="s">
        <v>158</v>
      </c>
      <c r="C5" s="17" t="s">
        <v>333</v>
      </c>
      <c r="D5" s="17" t="s">
        <v>334</v>
      </c>
      <c r="E5" s="130" t="s">
        <v>89</v>
      </c>
      <c r="F5" s="17" t="s">
        <v>116</v>
      </c>
      <c r="G5" s="16"/>
      <c r="H5" s="16"/>
      <c r="I5" s="39"/>
      <c r="J5" s="39" t="n">
        <v>200</v>
      </c>
      <c r="K5" s="37" t="n">
        <v>3750</v>
      </c>
      <c r="L5" s="40"/>
      <c r="M5" s="41"/>
      <c r="N5" s="37" t="n">
        <v>2</v>
      </c>
      <c r="O5" s="44" t="n">
        <f aca="false">IF(Y5,1,0)+AB5+AI5+AP5+AW5+BD5+BK5+BR5+BY5+CF5+CM5</f>
        <v>0</v>
      </c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128" t="n">
        <v>5</v>
      </c>
      <c r="AB5" s="128" t="n">
        <v>3</v>
      </c>
      <c r="AC5" s="131" t="s">
        <v>390</v>
      </c>
      <c r="AD5" s="131" t="s">
        <v>391</v>
      </c>
      <c r="AE5" s="131" t="s">
        <v>410</v>
      </c>
      <c r="AF5" s="131" t="s">
        <v>411</v>
      </c>
      <c r="AG5" s="131" t="s">
        <v>415</v>
      </c>
      <c r="AH5" s="16"/>
      <c r="AI5" s="16"/>
      <c r="AJ5" s="16"/>
      <c r="AK5" s="16"/>
      <c r="AL5" s="16"/>
      <c r="AM5" s="132"/>
      <c r="AN5" s="132"/>
      <c r="AO5" s="131"/>
      <c r="AP5" s="128"/>
      <c r="AQ5" s="131"/>
      <c r="AR5" s="131"/>
      <c r="AS5" s="131"/>
      <c r="AT5" s="131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1"/>
      <c r="BK5" s="128"/>
      <c r="BL5" s="131"/>
      <c r="BM5" s="131"/>
      <c r="BN5" s="131"/>
      <c r="BO5" s="131"/>
      <c r="BP5" s="133"/>
      <c r="BQ5" s="133"/>
      <c r="BR5" s="133"/>
      <c r="BS5" s="133"/>
      <c r="BT5" s="133"/>
      <c r="BU5" s="133"/>
      <c r="BV5" s="133"/>
      <c r="BW5" s="133"/>
      <c r="BX5" s="131"/>
      <c r="BY5" s="128"/>
      <c r="BZ5" s="131"/>
      <c r="CA5" s="131"/>
      <c r="CB5" s="131"/>
      <c r="CC5" s="131"/>
      <c r="CD5" s="131"/>
      <c r="CE5" s="134"/>
      <c r="CF5" s="128"/>
      <c r="CG5" s="131"/>
      <c r="CH5" s="131"/>
      <c r="CI5" s="131"/>
      <c r="CJ5" s="131"/>
      <c r="CK5" s="131"/>
      <c r="CL5" s="131"/>
      <c r="CM5" s="128"/>
      <c r="CN5" s="131"/>
      <c r="CO5" s="131"/>
      <c r="CP5" s="131"/>
      <c r="CQ5" s="131"/>
      <c r="CR5" s="131"/>
    </row>
    <row r="6" customFormat="false" ht="12.8" hidden="false" customHeight="false" outlineLevel="0" collapsed="false">
      <c r="A6" s="17" t="s">
        <v>337</v>
      </c>
      <c r="B6" s="17" t="s">
        <v>158</v>
      </c>
      <c r="C6" s="17" t="s">
        <v>340</v>
      </c>
      <c r="D6" s="17" t="s">
        <v>341</v>
      </c>
      <c r="E6" s="130" t="s">
        <v>89</v>
      </c>
      <c r="F6" s="17" t="s">
        <v>145</v>
      </c>
      <c r="G6" s="16"/>
      <c r="H6" s="16"/>
      <c r="I6" s="39"/>
      <c r="J6" s="39" t="n">
        <v>200</v>
      </c>
      <c r="K6" s="37" t="n">
        <v>4780</v>
      </c>
      <c r="L6" s="40"/>
      <c r="M6" s="41"/>
      <c r="N6" s="37" t="n">
        <v>3</v>
      </c>
      <c r="O6" s="44" t="n">
        <f aca="false">IF(Y6,1,0)+AB6+AI6+AP6+AW6+BD6+BK6+BR6+BY6+CF6+CM6</f>
        <v>0</v>
      </c>
      <c r="P6" s="41"/>
      <c r="Q6" s="41" t="n">
        <v>-0.2</v>
      </c>
      <c r="R6" s="41" t="n">
        <v>-0.25</v>
      </c>
      <c r="S6" s="41" t="n">
        <v>-0.35</v>
      </c>
      <c r="T6" s="41"/>
      <c r="U6" s="41"/>
      <c r="V6" s="41"/>
      <c r="W6" s="41"/>
      <c r="X6" s="41"/>
      <c r="Y6" s="41"/>
      <c r="Z6" s="41"/>
      <c r="AA6" s="128" t="n">
        <v>5</v>
      </c>
      <c r="AB6" s="128" t="n">
        <v>3</v>
      </c>
      <c r="AC6" s="131" t="s">
        <v>390</v>
      </c>
      <c r="AD6" s="131" t="s">
        <v>391</v>
      </c>
      <c r="AE6" s="131" t="s">
        <v>410</v>
      </c>
      <c r="AF6" s="131" t="s">
        <v>411</v>
      </c>
      <c r="AG6" s="131" t="s">
        <v>415</v>
      </c>
      <c r="AH6" s="16"/>
      <c r="AI6" s="16"/>
      <c r="AJ6" s="16"/>
      <c r="AK6" s="16"/>
      <c r="AL6" s="16"/>
      <c r="AM6" s="132"/>
      <c r="AN6" s="132"/>
      <c r="AO6" s="128" t="n">
        <v>5</v>
      </c>
      <c r="AP6" s="128" t="n">
        <v>1</v>
      </c>
      <c r="AQ6" s="131" t="s">
        <v>390</v>
      </c>
      <c r="AR6" s="131" t="s">
        <v>391</v>
      </c>
      <c r="AS6" s="131" t="s">
        <v>410</v>
      </c>
      <c r="AT6" s="131" t="s">
        <v>411</v>
      </c>
      <c r="AU6" s="131" t="s">
        <v>415</v>
      </c>
      <c r="AV6" s="131"/>
      <c r="AW6" s="131"/>
      <c r="AX6" s="131"/>
      <c r="AY6" s="131"/>
      <c r="AZ6" s="131"/>
      <c r="BA6" s="131"/>
      <c r="BB6" s="131"/>
      <c r="BC6" s="131"/>
      <c r="BD6" s="131"/>
      <c r="BE6" s="131"/>
      <c r="BF6" s="131"/>
      <c r="BG6" s="131"/>
      <c r="BH6" s="131"/>
      <c r="BI6" s="131"/>
      <c r="BJ6" s="131"/>
      <c r="BK6" s="128"/>
      <c r="BL6" s="131"/>
      <c r="BM6" s="131"/>
      <c r="BN6" s="131"/>
      <c r="BO6" s="131"/>
      <c r="BP6" s="133"/>
      <c r="BQ6" s="131"/>
      <c r="BR6" s="131"/>
      <c r="BS6" s="131"/>
      <c r="BT6" s="131"/>
      <c r="BU6" s="131"/>
      <c r="BV6" s="131"/>
      <c r="BW6" s="133"/>
      <c r="BX6" s="131"/>
      <c r="BY6" s="128"/>
      <c r="BZ6" s="131"/>
      <c r="CA6" s="131"/>
      <c r="CB6" s="131"/>
      <c r="CC6" s="131"/>
      <c r="CD6" s="131"/>
      <c r="CE6" s="134"/>
      <c r="CF6" s="128"/>
      <c r="CG6" s="131"/>
      <c r="CH6" s="131"/>
      <c r="CI6" s="131"/>
      <c r="CJ6" s="131"/>
      <c r="CK6" s="131"/>
      <c r="CL6" s="131"/>
      <c r="CM6" s="128"/>
      <c r="CN6" s="131"/>
      <c r="CO6" s="131"/>
      <c r="CP6" s="131"/>
      <c r="CQ6" s="131"/>
      <c r="CR6" s="131"/>
    </row>
    <row r="7" customFormat="false" ht="12.8" hidden="false" customHeight="false" outlineLevel="0" collapsed="false">
      <c r="A7" s="17" t="s">
        <v>199</v>
      </c>
      <c r="B7" s="17" t="s">
        <v>158</v>
      </c>
      <c r="C7" s="17" t="s">
        <v>206</v>
      </c>
      <c r="D7" s="17" t="s">
        <v>207</v>
      </c>
      <c r="E7" s="130" t="s">
        <v>89</v>
      </c>
      <c r="F7" s="17" t="s">
        <v>130</v>
      </c>
      <c r="G7" s="16"/>
      <c r="H7" s="16"/>
      <c r="I7" s="39"/>
      <c r="J7" s="39" t="n">
        <v>200</v>
      </c>
      <c r="K7" s="37" t="n">
        <v>3250</v>
      </c>
      <c r="L7" s="40"/>
      <c r="M7" s="41"/>
      <c r="N7" s="37" t="n">
        <v>3</v>
      </c>
      <c r="O7" s="44" t="n">
        <f aca="false">IF(Y7,1,0)+AB7+AI7+AP7+AW7+BD7+BK7+BR7+BY7+CF7+CM7</f>
        <v>0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128" t="n">
        <v>5</v>
      </c>
      <c r="AB7" s="128" t="n">
        <v>3</v>
      </c>
      <c r="AC7" s="131" t="s">
        <v>390</v>
      </c>
      <c r="AD7" s="131" t="s">
        <v>391</v>
      </c>
      <c r="AE7" s="131" t="s">
        <v>410</v>
      </c>
      <c r="AF7" s="131" t="s">
        <v>411</v>
      </c>
      <c r="AG7" s="131" t="s">
        <v>415</v>
      </c>
      <c r="AH7" s="16"/>
      <c r="AI7" s="16"/>
      <c r="AJ7" s="16"/>
      <c r="AK7" s="16"/>
      <c r="AL7" s="16"/>
      <c r="AM7" s="132"/>
      <c r="AN7" s="132"/>
      <c r="AO7" s="131"/>
      <c r="AP7" s="128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31"/>
      <c r="BD7" s="131"/>
      <c r="BE7" s="131"/>
      <c r="BF7" s="131"/>
      <c r="BG7" s="131"/>
      <c r="BH7" s="131"/>
      <c r="BI7" s="131"/>
      <c r="BJ7" s="131"/>
      <c r="BK7" s="128"/>
      <c r="BL7" s="131"/>
      <c r="BM7" s="131"/>
      <c r="BN7" s="131"/>
      <c r="BO7" s="131"/>
      <c r="BP7" s="133"/>
      <c r="BQ7" s="131"/>
      <c r="BR7" s="131"/>
      <c r="BS7" s="131"/>
      <c r="BT7" s="131"/>
      <c r="BU7" s="131"/>
      <c r="BV7" s="131"/>
      <c r="BW7" s="133"/>
      <c r="BX7" s="128" t="n">
        <v>5</v>
      </c>
      <c r="BY7" s="128" t="n">
        <v>1</v>
      </c>
      <c r="BZ7" s="131" t="s">
        <v>441</v>
      </c>
      <c r="CA7" s="131" t="s">
        <v>442</v>
      </c>
      <c r="CB7" s="131" t="s">
        <v>443</v>
      </c>
      <c r="CC7" s="131" t="s">
        <v>444</v>
      </c>
      <c r="CD7" s="131" t="s">
        <v>445</v>
      </c>
      <c r="CE7" s="135"/>
      <c r="CF7" s="20"/>
      <c r="CG7" s="28"/>
      <c r="CH7" s="28"/>
      <c r="CI7" s="28"/>
      <c r="CJ7" s="28"/>
      <c r="CK7" s="28"/>
      <c r="CL7" s="131"/>
      <c r="CM7" s="128"/>
      <c r="CN7" s="131"/>
      <c r="CO7" s="131"/>
      <c r="CP7" s="131"/>
      <c r="CQ7" s="131"/>
      <c r="CR7" s="131"/>
    </row>
    <row r="8" customFormat="false" ht="12.8" hidden="false" customHeight="false" outlineLevel="0" collapsed="false">
      <c r="A8" s="17" t="s">
        <v>328</v>
      </c>
      <c r="B8" s="17" t="s">
        <v>158</v>
      </c>
      <c r="C8" s="130" t="s">
        <v>332</v>
      </c>
      <c r="D8" s="17" t="s">
        <v>330</v>
      </c>
      <c r="E8" s="130" t="s">
        <v>89</v>
      </c>
      <c r="F8" s="17" t="s">
        <v>101</v>
      </c>
      <c r="G8" s="16"/>
      <c r="H8" s="16"/>
      <c r="I8" s="39"/>
      <c r="J8" s="39" t="n">
        <v>200</v>
      </c>
      <c r="K8" s="37" t="n">
        <v>4290</v>
      </c>
      <c r="L8" s="40"/>
      <c r="M8" s="41"/>
      <c r="N8" s="37" t="n">
        <v>3</v>
      </c>
      <c r="O8" s="44" t="n">
        <f aca="false">IF(Y8,1,0)+AB8+AI8+AP8+AW8+BD8+BK8+BR8+BY8+CF8+CM8</f>
        <v>0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128" t="n">
        <v>5</v>
      </c>
      <c r="AB8" s="128" t="n">
        <v>3</v>
      </c>
      <c r="AC8" s="131" t="s">
        <v>390</v>
      </c>
      <c r="AD8" s="131" t="s">
        <v>391</v>
      </c>
      <c r="AE8" s="131" t="s">
        <v>410</v>
      </c>
      <c r="AF8" s="131" t="s">
        <v>411</v>
      </c>
      <c r="AG8" s="131" t="s">
        <v>415</v>
      </c>
      <c r="AH8" s="16"/>
      <c r="AI8" s="16"/>
      <c r="AJ8" s="16"/>
      <c r="AK8" s="16"/>
      <c r="AL8" s="16"/>
      <c r="AM8" s="16"/>
      <c r="AN8" s="16"/>
      <c r="AO8" s="131"/>
      <c r="AP8" s="128"/>
      <c r="AQ8" s="131"/>
      <c r="AR8" s="131"/>
      <c r="AS8" s="131"/>
      <c r="AT8" s="131"/>
      <c r="AU8" s="131"/>
      <c r="AV8" s="131"/>
      <c r="AW8" s="131"/>
      <c r="AX8" s="131"/>
      <c r="AY8" s="131"/>
      <c r="AZ8" s="131"/>
      <c r="BA8" s="131"/>
      <c r="BB8" s="131"/>
      <c r="BC8" s="131"/>
      <c r="BD8" s="131"/>
      <c r="BE8" s="131"/>
      <c r="BF8" s="131"/>
      <c r="BG8" s="131"/>
      <c r="BH8" s="131"/>
      <c r="BI8" s="131"/>
      <c r="BJ8" s="131"/>
      <c r="BK8" s="128"/>
      <c r="BL8" s="131"/>
      <c r="BM8" s="131"/>
      <c r="BN8" s="131"/>
      <c r="BO8" s="131"/>
      <c r="BP8" s="133"/>
      <c r="BQ8" s="131"/>
      <c r="BR8" s="131"/>
      <c r="BS8" s="131"/>
      <c r="BT8" s="131"/>
      <c r="BU8" s="131"/>
      <c r="BV8" s="131"/>
      <c r="BW8" s="133"/>
      <c r="BX8" s="128" t="n">
        <v>5</v>
      </c>
      <c r="BY8" s="128" t="n">
        <v>1</v>
      </c>
      <c r="BZ8" s="131" t="s">
        <v>441</v>
      </c>
      <c r="CA8" s="131" t="s">
        <v>442</v>
      </c>
      <c r="CB8" s="131" t="s">
        <v>443</v>
      </c>
      <c r="CC8" s="131" t="s">
        <v>444</v>
      </c>
      <c r="CD8" s="131" t="s">
        <v>445</v>
      </c>
      <c r="CE8" s="134"/>
      <c r="CF8" s="128"/>
      <c r="CG8" s="131"/>
      <c r="CH8" s="131"/>
      <c r="CI8" s="131"/>
      <c r="CJ8" s="131"/>
      <c r="CK8" s="131"/>
      <c r="CL8" s="131"/>
      <c r="CM8" s="128"/>
      <c r="CN8" s="131"/>
      <c r="CO8" s="131"/>
      <c r="CP8" s="131"/>
      <c r="CQ8" s="131"/>
      <c r="CR8" s="131"/>
    </row>
    <row r="9" customFormat="false" ht="12.8" hidden="false" customHeight="false" outlineLevel="0" collapsed="false">
      <c r="A9" s="17" t="s">
        <v>337</v>
      </c>
      <c r="B9" s="17" t="s">
        <v>98</v>
      </c>
      <c r="C9" s="17" t="s">
        <v>387</v>
      </c>
      <c r="D9" s="17" t="s">
        <v>339</v>
      </c>
      <c r="E9" s="130" t="s">
        <v>89</v>
      </c>
      <c r="F9" s="17" t="s">
        <v>116</v>
      </c>
      <c r="G9" s="16"/>
      <c r="H9" s="16"/>
      <c r="I9" s="39"/>
      <c r="J9" s="39" t="n">
        <v>200</v>
      </c>
      <c r="K9" s="37" t="n">
        <v>5340</v>
      </c>
      <c r="L9" s="40" t="n">
        <v>10</v>
      </c>
      <c r="M9" s="41"/>
      <c r="N9" s="37" t="n">
        <v>4</v>
      </c>
      <c r="O9" s="44" t="n">
        <f aca="false">IF(Y9,1,0)+AB9+AI9+AP9+AW9+BD9+BK9+BR9+BY9+CF9+CM9</f>
        <v>0</v>
      </c>
      <c r="P9" s="37"/>
      <c r="Q9" s="37"/>
      <c r="R9" s="41" t="n">
        <v>-0.18</v>
      </c>
      <c r="S9" s="41" t="n">
        <v>-0.3</v>
      </c>
      <c r="T9" s="41"/>
      <c r="U9" s="41"/>
      <c r="V9" s="41"/>
      <c r="W9" s="41"/>
      <c r="X9" s="41"/>
      <c r="Y9" s="41"/>
      <c r="Z9" s="41"/>
      <c r="AA9" s="128" t="n">
        <v>5</v>
      </c>
      <c r="AB9" s="128" t="n">
        <v>3</v>
      </c>
      <c r="AC9" s="131" t="s">
        <v>390</v>
      </c>
      <c r="AD9" s="131" t="s">
        <v>391</v>
      </c>
      <c r="AE9" s="131" t="s">
        <v>410</v>
      </c>
      <c r="AF9" s="131" t="s">
        <v>411</v>
      </c>
      <c r="AG9" s="131" t="s">
        <v>415</v>
      </c>
      <c r="AH9" s="16"/>
      <c r="AI9" s="16"/>
      <c r="AJ9" s="16"/>
      <c r="AK9" s="16"/>
      <c r="AL9" s="16"/>
      <c r="AM9" s="16"/>
      <c r="AN9" s="16"/>
      <c r="AO9" s="131"/>
      <c r="AP9" s="128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1"/>
      <c r="BH9" s="131"/>
      <c r="BI9" s="131"/>
      <c r="BJ9" s="131"/>
      <c r="BK9" s="128"/>
      <c r="BL9" s="131"/>
      <c r="BM9" s="131"/>
      <c r="BN9" s="131"/>
      <c r="BO9" s="131"/>
      <c r="BP9" s="133"/>
      <c r="BQ9" s="131"/>
      <c r="BR9" s="131"/>
      <c r="BS9" s="131"/>
      <c r="BT9" s="131"/>
      <c r="BU9" s="131"/>
      <c r="BV9" s="131"/>
      <c r="BW9" s="133"/>
      <c r="BX9" s="131"/>
      <c r="BY9" s="128"/>
      <c r="BZ9" s="131"/>
      <c r="CA9" s="131"/>
      <c r="CB9" s="131"/>
      <c r="CC9" s="131"/>
      <c r="CD9" s="131"/>
      <c r="CE9" s="128" t="n">
        <v>5</v>
      </c>
      <c r="CF9" s="128" t="n">
        <v>2</v>
      </c>
      <c r="CG9" s="131" t="s">
        <v>411</v>
      </c>
      <c r="CH9" s="131" t="s">
        <v>446</v>
      </c>
      <c r="CI9" s="131" t="s">
        <v>447</v>
      </c>
      <c r="CJ9" s="131" t="s">
        <v>448</v>
      </c>
      <c r="CK9" s="131" t="s">
        <v>449</v>
      </c>
      <c r="CL9" s="131"/>
      <c r="CM9" s="128"/>
      <c r="CN9" s="131"/>
      <c r="CO9" s="131"/>
      <c r="CP9" s="131"/>
      <c r="CQ9" s="131"/>
      <c r="CR9" s="131"/>
    </row>
    <row r="10" customFormat="false" ht="12.8" hidden="false" customHeight="false" outlineLevel="0" collapsed="false">
      <c r="A10" s="17" t="s">
        <v>328</v>
      </c>
      <c r="B10" s="17" t="s">
        <v>98</v>
      </c>
      <c r="C10" s="17" t="s">
        <v>329</v>
      </c>
      <c r="D10" s="17" t="s">
        <v>330</v>
      </c>
      <c r="E10" s="130" t="s">
        <v>89</v>
      </c>
      <c r="F10" s="17" t="s">
        <v>116</v>
      </c>
      <c r="G10" s="16" t="s">
        <v>450</v>
      </c>
      <c r="H10" s="16"/>
      <c r="I10" s="39"/>
      <c r="J10" s="39" t="n">
        <v>200</v>
      </c>
      <c r="K10" s="42" t="n">
        <v>4920</v>
      </c>
      <c r="L10" s="50" t="n">
        <v>3</v>
      </c>
      <c r="M10" s="41"/>
      <c r="N10" s="37" t="n">
        <v>3</v>
      </c>
      <c r="O10" s="44" t="n">
        <f aca="false">IF(Y10,1,0)+AB10+AI10+AP10+AW10+BD10+BK10+BR10+BY10+CF10+CM10</f>
        <v>0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128" t="n">
        <v>5</v>
      </c>
      <c r="AB10" s="128" t="n">
        <v>3</v>
      </c>
      <c r="AC10" s="131" t="s">
        <v>390</v>
      </c>
      <c r="AD10" s="131" t="s">
        <v>391</v>
      </c>
      <c r="AE10" s="131" t="s">
        <v>410</v>
      </c>
      <c r="AF10" s="131" t="s">
        <v>411</v>
      </c>
      <c r="AG10" s="131" t="s">
        <v>415</v>
      </c>
      <c r="AH10" s="16"/>
      <c r="AI10" s="16"/>
      <c r="AJ10" s="16"/>
      <c r="AK10" s="16"/>
      <c r="AL10" s="16"/>
      <c r="AM10" s="16"/>
      <c r="AN10" s="16"/>
      <c r="AO10" s="131"/>
      <c r="AP10" s="128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1"/>
      <c r="BD10" s="131"/>
      <c r="BE10" s="131"/>
      <c r="BF10" s="131"/>
      <c r="BG10" s="131"/>
      <c r="BH10" s="131"/>
      <c r="BI10" s="131"/>
      <c r="BJ10" s="131"/>
      <c r="BK10" s="128"/>
      <c r="BL10" s="131"/>
      <c r="BM10" s="131"/>
      <c r="BN10" s="131"/>
      <c r="BO10" s="131"/>
      <c r="BP10" s="133"/>
      <c r="BQ10" s="131"/>
      <c r="BR10" s="131"/>
      <c r="BS10" s="131"/>
      <c r="BT10" s="131"/>
      <c r="BU10" s="131"/>
      <c r="BV10" s="131"/>
      <c r="BW10" s="133"/>
      <c r="BX10" s="128" t="n">
        <v>5</v>
      </c>
      <c r="BY10" s="128" t="n">
        <v>1</v>
      </c>
      <c r="BZ10" s="131" t="s">
        <v>441</v>
      </c>
      <c r="CA10" s="131" t="s">
        <v>442</v>
      </c>
      <c r="CB10" s="131" t="s">
        <v>443</v>
      </c>
      <c r="CC10" s="131" t="s">
        <v>444</v>
      </c>
      <c r="CD10" s="131" t="s">
        <v>445</v>
      </c>
      <c r="CE10" s="134"/>
      <c r="CF10" s="128"/>
      <c r="CG10" s="131"/>
      <c r="CH10" s="131"/>
      <c r="CI10" s="131"/>
      <c r="CJ10" s="131"/>
      <c r="CK10" s="131"/>
      <c r="CL10" s="131"/>
      <c r="CM10" s="128"/>
      <c r="CN10" s="131"/>
      <c r="CO10" s="131"/>
      <c r="CP10" s="131"/>
      <c r="CQ10" s="131"/>
      <c r="CR10" s="131"/>
    </row>
    <row r="11" customFormat="false" ht="12.8" hidden="false" customHeight="false" outlineLevel="0" collapsed="false">
      <c r="A11" s="17" t="s">
        <v>199</v>
      </c>
      <c r="B11" s="17" t="s">
        <v>98</v>
      </c>
      <c r="C11" s="17" t="s">
        <v>203</v>
      </c>
      <c r="D11" s="17" t="s">
        <v>204</v>
      </c>
      <c r="E11" s="130" t="s">
        <v>89</v>
      </c>
      <c r="F11" s="17" t="s">
        <v>205</v>
      </c>
      <c r="G11" s="16"/>
      <c r="H11" s="16"/>
      <c r="I11" s="39"/>
      <c r="J11" s="39" t="n">
        <v>200</v>
      </c>
      <c r="K11" s="42" t="n">
        <v>3250</v>
      </c>
      <c r="L11" s="94"/>
      <c r="M11" s="41"/>
      <c r="N11" s="37" t="n">
        <v>3</v>
      </c>
      <c r="O11" s="44" t="n">
        <f aca="false">IF(Y11,1,0)+AB11+AI11+AP11+AW11+BD11+BK11+BR11+BY11+CF11+CM11</f>
        <v>0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128" t="n">
        <v>5</v>
      </c>
      <c r="AB11" s="128" t="n">
        <v>2</v>
      </c>
      <c r="AC11" s="131" t="s">
        <v>390</v>
      </c>
      <c r="AD11" s="131" t="s">
        <v>391</v>
      </c>
      <c r="AE11" s="131" t="s">
        <v>410</v>
      </c>
      <c r="AF11" s="131" t="s">
        <v>411</v>
      </c>
      <c r="AG11" s="131" t="s">
        <v>415</v>
      </c>
      <c r="AH11" s="16"/>
      <c r="AI11" s="16"/>
      <c r="AJ11" s="16"/>
      <c r="AK11" s="16"/>
      <c r="AL11" s="16"/>
      <c r="AM11" s="16"/>
      <c r="AN11" s="16"/>
      <c r="AO11" s="128" t="n">
        <v>5</v>
      </c>
      <c r="AP11" s="128" t="n">
        <v>1</v>
      </c>
      <c r="AQ11" s="131" t="s">
        <v>390</v>
      </c>
      <c r="AR11" s="131" t="s">
        <v>391</v>
      </c>
      <c r="AS11" s="131" t="s">
        <v>410</v>
      </c>
      <c r="AT11" s="131" t="s">
        <v>411</v>
      </c>
      <c r="AU11" s="131" t="s">
        <v>415</v>
      </c>
      <c r="AV11" s="131"/>
      <c r="AW11" s="131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  <c r="BJ11" s="131"/>
      <c r="BK11" s="128"/>
      <c r="BL11" s="131"/>
      <c r="BM11" s="131"/>
      <c r="BN11" s="131"/>
      <c r="BO11" s="131"/>
      <c r="BP11" s="133"/>
      <c r="BQ11" s="128" t="n">
        <v>5</v>
      </c>
      <c r="BR11" s="128" t="n">
        <v>1</v>
      </c>
      <c r="BS11" s="131" t="s">
        <v>451</v>
      </c>
      <c r="BT11" s="131" t="s">
        <v>410</v>
      </c>
      <c r="BU11" s="131" t="s">
        <v>452</v>
      </c>
      <c r="BV11" s="131" t="s">
        <v>453</v>
      </c>
      <c r="BW11" s="133" t="s">
        <v>389</v>
      </c>
      <c r="BX11" s="131"/>
      <c r="BY11" s="128"/>
      <c r="BZ11" s="131"/>
      <c r="CA11" s="131"/>
      <c r="CB11" s="131"/>
      <c r="CC11" s="131"/>
      <c r="CD11" s="131"/>
      <c r="CE11" s="134"/>
      <c r="CF11" s="128"/>
      <c r="CG11" s="131"/>
      <c r="CH11" s="131"/>
      <c r="CI11" s="131"/>
      <c r="CJ11" s="131"/>
      <c r="CK11" s="131"/>
      <c r="CL11" s="131"/>
      <c r="CM11" s="128"/>
      <c r="CN11" s="131"/>
      <c r="CO11" s="131"/>
      <c r="CP11" s="131"/>
      <c r="CQ11" s="131"/>
      <c r="CR11" s="131"/>
    </row>
    <row r="12" customFormat="false" ht="12.8" hidden="false" customHeight="false" outlineLevel="0" collapsed="false">
      <c r="A12" s="17" t="s">
        <v>328</v>
      </c>
      <c r="B12" s="17" t="s">
        <v>81</v>
      </c>
      <c r="C12" s="17" t="s">
        <v>335</v>
      </c>
      <c r="D12" s="17" t="s">
        <v>336</v>
      </c>
      <c r="E12" s="130" t="s">
        <v>89</v>
      </c>
      <c r="F12" s="17" t="s">
        <v>116</v>
      </c>
      <c r="G12" s="16"/>
      <c r="H12" s="16"/>
      <c r="I12" s="39"/>
      <c r="J12" s="39" t="n">
        <v>200</v>
      </c>
      <c r="K12" s="42" t="n">
        <v>4500</v>
      </c>
      <c r="L12" s="50"/>
      <c r="M12" s="41"/>
      <c r="N12" s="37" t="n">
        <v>3</v>
      </c>
      <c r="O12" s="44" t="n">
        <f aca="false">IF(Y12,1,0)+AB12+AI12+AP12+AW12+BD12+BK12+BR12+BY12+CF12+CM12</f>
        <v>0</v>
      </c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128" t="n">
        <v>5</v>
      </c>
      <c r="AB12" s="128" t="n">
        <v>3</v>
      </c>
      <c r="AC12" s="131" t="s">
        <v>390</v>
      </c>
      <c r="AD12" s="131" t="s">
        <v>391</v>
      </c>
      <c r="AE12" s="131" t="s">
        <v>410</v>
      </c>
      <c r="AF12" s="131" t="s">
        <v>411</v>
      </c>
      <c r="AG12" s="131" t="s">
        <v>415</v>
      </c>
      <c r="AH12" s="16"/>
      <c r="AI12" s="16"/>
      <c r="AJ12" s="16"/>
      <c r="AK12" s="16"/>
      <c r="AL12" s="16"/>
      <c r="AM12" s="16"/>
      <c r="AN12" s="16"/>
      <c r="AO12" s="131"/>
      <c r="AP12" s="128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  <c r="BK12" s="128"/>
      <c r="BL12" s="131"/>
      <c r="BM12" s="131"/>
      <c r="BN12" s="131"/>
      <c r="BO12" s="131"/>
      <c r="BP12" s="133"/>
      <c r="BQ12" s="131"/>
      <c r="BR12" s="131"/>
      <c r="BS12" s="131"/>
      <c r="BT12" s="131"/>
      <c r="BU12" s="131"/>
      <c r="BV12" s="131"/>
      <c r="BW12" s="133"/>
      <c r="BX12" s="128" t="n">
        <v>5</v>
      </c>
      <c r="BY12" s="128" t="n">
        <v>1</v>
      </c>
      <c r="BZ12" s="131" t="s">
        <v>441</v>
      </c>
      <c r="CA12" s="131" t="s">
        <v>442</v>
      </c>
      <c r="CB12" s="131" t="s">
        <v>443</v>
      </c>
      <c r="CC12" s="131" t="s">
        <v>444</v>
      </c>
      <c r="CD12" s="131" t="s">
        <v>445</v>
      </c>
      <c r="CE12" s="134"/>
      <c r="CF12" s="128"/>
      <c r="CG12" s="131"/>
      <c r="CH12" s="131"/>
      <c r="CI12" s="131"/>
      <c r="CJ12" s="131"/>
      <c r="CK12" s="131"/>
      <c r="CL12" s="131"/>
      <c r="CM12" s="128"/>
      <c r="CN12" s="131"/>
      <c r="CO12" s="131"/>
      <c r="CP12" s="131"/>
      <c r="CQ12" s="131"/>
      <c r="CR12" s="131"/>
    </row>
    <row r="13" customFormat="false" ht="12.8" hidden="false" customHeight="false" outlineLevel="0" collapsed="false">
      <c r="A13" s="17" t="s">
        <v>337</v>
      </c>
      <c r="B13" s="17" t="s">
        <v>81</v>
      </c>
      <c r="C13" s="17" t="s">
        <v>342</v>
      </c>
      <c r="D13" s="17" t="s">
        <v>343</v>
      </c>
      <c r="E13" s="130" t="s">
        <v>89</v>
      </c>
      <c r="F13" s="17" t="s">
        <v>153</v>
      </c>
      <c r="G13" s="16"/>
      <c r="H13" s="16"/>
      <c r="I13" s="39"/>
      <c r="J13" s="39" t="n">
        <v>200</v>
      </c>
      <c r="K13" s="42" t="n">
        <v>4240</v>
      </c>
      <c r="L13" s="50"/>
      <c r="M13" s="41"/>
      <c r="N13" s="37" t="n">
        <v>4</v>
      </c>
      <c r="O13" s="44" t="n">
        <f aca="false">IF(Y13,1,0)+AB13+AI13+AP13+AW13+BD13+BK13+BR13+BY13+CF13+CM13</f>
        <v>0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128" t="n">
        <v>5</v>
      </c>
      <c r="AB13" s="128" t="n">
        <v>3</v>
      </c>
      <c r="AC13" s="131" t="s">
        <v>390</v>
      </c>
      <c r="AD13" s="131" t="s">
        <v>391</v>
      </c>
      <c r="AE13" s="131" t="s">
        <v>410</v>
      </c>
      <c r="AF13" s="131" t="s">
        <v>411</v>
      </c>
      <c r="AG13" s="131" t="s">
        <v>415</v>
      </c>
      <c r="AH13" s="130" t="s">
        <v>454</v>
      </c>
      <c r="AI13" s="128" t="n">
        <v>2</v>
      </c>
      <c r="AJ13" s="130" t="s">
        <v>455</v>
      </c>
      <c r="AK13" s="130" t="s">
        <v>456</v>
      </c>
      <c r="AL13" s="130" t="s">
        <v>457</v>
      </c>
      <c r="AM13" s="16"/>
      <c r="AN13" s="16"/>
      <c r="AO13" s="131"/>
      <c r="AP13" s="128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1"/>
      <c r="BE13" s="131"/>
      <c r="BF13" s="131"/>
      <c r="BG13" s="131"/>
      <c r="BH13" s="131"/>
      <c r="BI13" s="131"/>
      <c r="BJ13" s="131"/>
      <c r="BK13" s="128"/>
      <c r="BL13" s="131"/>
      <c r="BM13" s="131"/>
      <c r="BN13" s="131"/>
      <c r="BO13" s="131"/>
      <c r="BP13" s="133"/>
      <c r="BQ13" s="131"/>
      <c r="BR13" s="131"/>
      <c r="BS13" s="131"/>
      <c r="BT13" s="131"/>
      <c r="BU13" s="131"/>
      <c r="BV13" s="131"/>
      <c r="BW13" s="133"/>
      <c r="BX13" s="131"/>
      <c r="BY13" s="128"/>
      <c r="BZ13" s="131"/>
      <c r="CA13" s="131"/>
      <c r="CB13" s="131"/>
      <c r="CC13" s="131"/>
      <c r="CD13" s="131"/>
      <c r="CE13" s="134"/>
      <c r="CF13" s="128"/>
      <c r="CG13" s="131"/>
      <c r="CH13" s="131"/>
      <c r="CI13" s="131"/>
      <c r="CJ13" s="131"/>
      <c r="CK13" s="131"/>
      <c r="CL13" s="131"/>
      <c r="CM13" s="128"/>
      <c r="CN13" s="131"/>
      <c r="CO13" s="131"/>
      <c r="CP13" s="131"/>
      <c r="CQ13" s="131"/>
      <c r="CR13" s="131"/>
    </row>
    <row r="14" customFormat="false" ht="12.8" hidden="false" customHeight="false" outlineLevel="0" collapsed="false">
      <c r="A14" s="17" t="s">
        <v>199</v>
      </c>
      <c r="B14" s="17" t="s">
        <v>81</v>
      </c>
      <c r="C14" s="17" t="s">
        <v>208</v>
      </c>
      <c r="D14" s="17" t="s">
        <v>209</v>
      </c>
      <c r="E14" s="130" t="s">
        <v>89</v>
      </c>
      <c r="F14" s="17" t="s">
        <v>210</v>
      </c>
      <c r="G14" s="16"/>
      <c r="H14" s="16"/>
      <c r="I14" s="39"/>
      <c r="J14" s="39" t="n">
        <v>200</v>
      </c>
      <c r="K14" s="42" t="n">
        <v>3900</v>
      </c>
      <c r="L14" s="50"/>
      <c r="M14" s="41"/>
      <c r="N14" s="37" t="n">
        <v>4</v>
      </c>
      <c r="O14" s="44" t="n">
        <f aca="false">IF(Y14,1,0)+AB14+AI14+AP14+AW14+BD14+BK14+BR14+BY14+CF14+CM14</f>
        <v>0</v>
      </c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128" t="n">
        <v>5</v>
      </c>
      <c r="AB14" s="128" t="n">
        <v>3</v>
      </c>
      <c r="AC14" s="131" t="s">
        <v>390</v>
      </c>
      <c r="AD14" s="131" t="s">
        <v>391</v>
      </c>
      <c r="AE14" s="131" t="s">
        <v>410</v>
      </c>
      <c r="AF14" s="131" t="s">
        <v>411</v>
      </c>
      <c r="AG14" s="131" t="s">
        <v>415</v>
      </c>
      <c r="AH14" s="16"/>
      <c r="AI14" s="16"/>
      <c r="AJ14" s="16"/>
      <c r="AK14" s="16"/>
      <c r="AL14" s="16"/>
      <c r="AM14" s="16"/>
      <c r="AN14" s="16"/>
      <c r="AO14" s="131"/>
      <c r="AP14" s="128"/>
      <c r="AQ14" s="131"/>
      <c r="AR14" s="131"/>
      <c r="AS14" s="131"/>
      <c r="AT14" s="131"/>
      <c r="AU14" s="131"/>
      <c r="AV14" s="131"/>
      <c r="AW14" s="131"/>
      <c r="AX14" s="131"/>
      <c r="AY14" s="131"/>
      <c r="AZ14" s="131"/>
      <c r="BA14" s="131"/>
      <c r="BB14" s="131"/>
      <c r="BC14" s="131"/>
      <c r="BD14" s="131"/>
      <c r="BE14" s="131"/>
      <c r="BF14" s="131"/>
      <c r="BG14" s="131"/>
      <c r="BH14" s="131"/>
      <c r="BI14" s="131"/>
      <c r="BJ14" s="131"/>
      <c r="BK14" s="128"/>
      <c r="BL14" s="131"/>
      <c r="BM14" s="131"/>
      <c r="BN14" s="131"/>
      <c r="BO14" s="131"/>
      <c r="BP14" s="133"/>
      <c r="BQ14" s="131"/>
      <c r="BR14" s="131"/>
      <c r="BS14" s="131"/>
      <c r="BT14" s="131"/>
      <c r="BU14" s="131"/>
      <c r="BV14" s="131"/>
      <c r="BW14" s="133"/>
      <c r="BX14" s="131"/>
      <c r="BY14" s="128"/>
      <c r="BZ14" s="131"/>
      <c r="CA14" s="131"/>
      <c r="CB14" s="131"/>
      <c r="CC14" s="131"/>
      <c r="CD14" s="131"/>
      <c r="CE14" s="134"/>
      <c r="CF14" s="128"/>
      <c r="CG14" s="131"/>
      <c r="CH14" s="131"/>
      <c r="CI14" s="131"/>
      <c r="CJ14" s="131"/>
      <c r="CK14" s="131"/>
      <c r="CL14" s="128" t="n">
        <v>5</v>
      </c>
      <c r="CM14" s="128" t="n">
        <v>2</v>
      </c>
      <c r="CN14" s="131" t="s">
        <v>451</v>
      </c>
      <c r="CO14" s="131" t="s">
        <v>410</v>
      </c>
      <c r="CP14" s="131" t="s">
        <v>452</v>
      </c>
      <c r="CQ14" s="131" t="s">
        <v>453</v>
      </c>
      <c r="CR14" s="131" t="s">
        <v>389</v>
      </c>
    </row>
    <row r="15" customFormat="false" ht="12.8" hidden="false" customHeight="false" outlineLevel="0" collapsed="false">
      <c r="A15" s="17" t="s">
        <v>199</v>
      </c>
      <c r="B15" s="17" t="s">
        <v>93</v>
      </c>
      <c r="C15" s="130" t="s">
        <v>211</v>
      </c>
      <c r="D15" s="17" t="s">
        <v>212</v>
      </c>
      <c r="E15" s="130" t="s">
        <v>89</v>
      </c>
      <c r="F15" s="17" t="s">
        <v>148</v>
      </c>
      <c r="G15" s="16"/>
      <c r="H15" s="16"/>
      <c r="I15" s="39"/>
      <c r="J15" s="39" t="n">
        <v>200</v>
      </c>
      <c r="K15" s="42" t="n">
        <v>2700</v>
      </c>
      <c r="L15" s="50"/>
      <c r="M15" s="41"/>
      <c r="N15" s="37" t="n">
        <v>3</v>
      </c>
      <c r="O15" s="44" t="n">
        <f aca="false">IF(Y15,1,0)+AB15+AI15+AP15+AW15+BD15+BK15+BR15+BY15+CF15+CM15</f>
        <v>0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128" t="n">
        <v>6</v>
      </c>
      <c r="AB15" s="128" t="n">
        <v>2</v>
      </c>
      <c r="AC15" s="131" t="s">
        <v>390</v>
      </c>
      <c r="AD15" s="131" t="s">
        <v>391</v>
      </c>
      <c r="AE15" s="131" t="s">
        <v>410</v>
      </c>
      <c r="AF15" s="131" t="s">
        <v>411</v>
      </c>
      <c r="AG15" s="131" t="s">
        <v>399</v>
      </c>
      <c r="AH15" s="16"/>
      <c r="AI15" s="16"/>
      <c r="AJ15" s="16"/>
      <c r="AK15" s="16"/>
      <c r="AL15" s="16"/>
      <c r="AM15" s="16"/>
      <c r="AN15" s="16"/>
      <c r="AO15" s="128" t="n">
        <v>6</v>
      </c>
      <c r="AP15" s="128" t="n">
        <v>1</v>
      </c>
      <c r="AQ15" s="131" t="s">
        <v>390</v>
      </c>
      <c r="AR15" s="131" t="s">
        <v>391</v>
      </c>
      <c r="AS15" s="131" t="s">
        <v>410</v>
      </c>
      <c r="AT15" s="131" t="s">
        <v>411</v>
      </c>
      <c r="AU15" s="131" t="s">
        <v>399</v>
      </c>
      <c r="AV15" s="131"/>
      <c r="AW15" s="131"/>
      <c r="AX15" s="131"/>
      <c r="AY15" s="131"/>
      <c r="AZ15" s="131"/>
      <c r="BA15" s="131"/>
      <c r="BB15" s="131"/>
      <c r="BC15" s="131"/>
      <c r="BD15" s="131"/>
      <c r="BE15" s="131"/>
      <c r="BF15" s="131"/>
      <c r="BG15" s="131"/>
      <c r="BH15" s="131"/>
      <c r="BI15" s="131"/>
      <c r="BJ15" s="131"/>
      <c r="BK15" s="128"/>
      <c r="BL15" s="131"/>
      <c r="BM15" s="131"/>
      <c r="BN15" s="131"/>
      <c r="BO15" s="131"/>
      <c r="BP15" s="133"/>
      <c r="BQ15" s="128" t="n">
        <v>6</v>
      </c>
      <c r="BR15" s="128" t="n">
        <v>1</v>
      </c>
      <c r="BS15" s="131" t="s">
        <v>451</v>
      </c>
      <c r="BT15" s="131" t="s">
        <v>410</v>
      </c>
      <c r="BU15" s="131" t="s">
        <v>452</v>
      </c>
      <c r="BV15" s="131" t="s">
        <v>453</v>
      </c>
      <c r="BW15" s="133" t="s">
        <v>378</v>
      </c>
      <c r="BX15" s="131"/>
      <c r="BY15" s="128"/>
      <c r="BZ15" s="131"/>
      <c r="CA15" s="131"/>
      <c r="CB15" s="131"/>
      <c r="CC15" s="131"/>
      <c r="CD15" s="131"/>
      <c r="CE15" s="134"/>
      <c r="CF15" s="128"/>
      <c r="CG15" s="131"/>
      <c r="CH15" s="131"/>
      <c r="CI15" s="131"/>
      <c r="CJ15" s="131"/>
      <c r="CK15" s="131"/>
      <c r="CL15" s="131"/>
      <c r="CM15" s="128"/>
      <c r="CN15" s="131"/>
      <c r="CO15" s="131"/>
      <c r="CP15" s="131"/>
      <c r="CQ15" s="131"/>
      <c r="CR15" s="131"/>
    </row>
    <row r="16" customFormat="false" ht="12.8" hidden="false" customHeight="false" outlineLevel="0" collapsed="false">
      <c r="A16" s="17" t="s">
        <v>328</v>
      </c>
      <c r="B16" s="17" t="s">
        <v>113</v>
      </c>
      <c r="C16" s="17" t="s">
        <v>331</v>
      </c>
      <c r="D16" s="17" t="s">
        <v>201</v>
      </c>
      <c r="E16" s="130" t="s">
        <v>89</v>
      </c>
      <c r="F16" s="17" t="s">
        <v>148</v>
      </c>
      <c r="G16" s="16"/>
      <c r="H16" s="16"/>
      <c r="I16" s="39"/>
      <c r="J16" s="39" t="n">
        <v>200</v>
      </c>
      <c r="K16" s="42" t="n">
        <v>3750</v>
      </c>
      <c r="L16" s="50"/>
      <c r="M16" s="41"/>
      <c r="N16" s="37" t="n">
        <v>3</v>
      </c>
      <c r="O16" s="44" t="n">
        <f aca="false">IF(Y16,1,0)+AB16+AI16+AP16+AW16+BD16+BK16+BR16+BY16+CF16+CM16</f>
        <v>0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128" t="n">
        <v>5</v>
      </c>
      <c r="AB16" s="128" t="n">
        <v>2</v>
      </c>
      <c r="AC16" s="131" t="s">
        <v>390</v>
      </c>
      <c r="AD16" s="131" t="s">
        <v>391</v>
      </c>
      <c r="AE16" s="131" t="s">
        <v>410</v>
      </c>
      <c r="AF16" s="131" t="s">
        <v>411</v>
      </c>
      <c r="AG16" s="131" t="s">
        <v>415</v>
      </c>
      <c r="AH16" s="16"/>
      <c r="AI16" s="16"/>
      <c r="AJ16" s="16"/>
      <c r="AK16" s="16"/>
      <c r="AL16" s="16"/>
      <c r="AM16" s="16"/>
      <c r="AN16" s="16"/>
      <c r="AO16" s="128" t="n">
        <v>5</v>
      </c>
      <c r="AP16" s="128" t="n">
        <v>1</v>
      </c>
      <c r="AQ16" s="131" t="s">
        <v>390</v>
      </c>
      <c r="AR16" s="131" t="s">
        <v>391</v>
      </c>
      <c r="AS16" s="131" t="s">
        <v>410</v>
      </c>
      <c r="AT16" s="131" t="s">
        <v>411</v>
      </c>
      <c r="AU16" s="131" t="s">
        <v>415</v>
      </c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1"/>
      <c r="BK16" s="128"/>
      <c r="BL16" s="131"/>
      <c r="BM16" s="131"/>
      <c r="BN16" s="131"/>
      <c r="BO16" s="131"/>
      <c r="BP16" s="133"/>
      <c r="BQ16" s="128" t="n">
        <v>5</v>
      </c>
      <c r="BR16" s="128" t="n">
        <v>1</v>
      </c>
      <c r="BS16" s="131" t="s">
        <v>451</v>
      </c>
      <c r="BT16" s="131" t="s">
        <v>410</v>
      </c>
      <c r="BU16" s="131" t="s">
        <v>452</v>
      </c>
      <c r="BV16" s="131" t="s">
        <v>453</v>
      </c>
      <c r="BW16" s="133" t="s">
        <v>389</v>
      </c>
      <c r="BX16" s="131"/>
      <c r="BY16" s="128"/>
      <c r="BZ16" s="131"/>
      <c r="CA16" s="131"/>
      <c r="CB16" s="131"/>
      <c r="CC16" s="131"/>
      <c r="CD16" s="131"/>
      <c r="CE16" s="134"/>
      <c r="CF16" s="128"/>
      <c r="CG16" s="131"/>
      <c r="CH16" s="131"/>
      <c r="CI16" s="131"/>
      <c r="CJ16" s="131"/>
      <c r="CK16" s="131"/>
      <c r="CL16" s="131"/>
      <c r="CM16" s="128"/>
      <c r="CN16" s="131"/>
      <c r="CO16" s="131"/>
      <c r="CP16" s="131"/>
      <c r="CQ16" s="131"/>
      <c r="CR16" s="131"/>
    </row>
    <row r="17" customFormat="false" ht="12.8" hidden="false" customHeight="false" outlineLevel="0" collapsed="false">
      <c r="A17" s="35" t="s">
        <v>199</v>
      </c>
      <c r="B17" s="35" t="s">
        <v>98</v>
      </c>
      <c r="C17" s="35" t="s">
        <v>200</v>
      </c>
      <c r="D17" s="35" t="s">
        <v>201</v>
      </c>
      <c r="E17" s="34" t="s">
        <v>89</v>
      </c>
      <c r="F17" s="35" t="s">
        <v>130</v>
      </c>
      <c r="G17" s="16"/>
      <c r="H17" s="16"/>
      <c r="I17" s="39"/>
      <c r="J17" s="39" t="n">
        <v>200</v>
      </c>
      <c r="K17" s="42" t="n">
        <v>5000</v>
      </c>
      <c r="L17" s="50"/>
      <c r="M17" s="41"/>
      <c r="N17" s="37" t="n">
        <v>2</v>
      </c>
      <c r="O17" s="44" t="n">
        <f aca="false">IF(Y17,1,0)+AB17+AI17+AP17+AW17+BD17+BK17+BR17+BY17+CF17+CM17</f>
        <v>0</v>
      </c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128" t="n">
        <v>5</v>
      </c>
      <c r="AB17" s="128" t="n">
        <v>3</v>
      </c>
      <c r="AC17" s="131" t="s">
        <v>390</v>
      </c>
      <c r="AD17" s="131" t="s">
        <v>391</v>
      </c>
      <c r="AE17" s="131" t="s">
        <v>410</v>
      </c>
      <c r="AF17" s="131" t="s">
        <v>411</v>
      </c>
      <c r="AG17" s="131" t="s">
        <v>415</v>
      </c>
      <c r="AH17" s="16"/>
      <c r="AI17" s="16"/>
      <c r="AJ17" s="16"/>
      <c r="AK17" s="16"/>
      <c r="AL17" s="16"/>
      <c r="AM17" s="16"/>
      <c r="AN17" s="16"/>
      <c r="AO17" s="128"/>
      <c r="AP17" s="128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1"/>
      <c r="BF17" s="131"/>
      <c r="BG17" s="131"/>
      <c r="BH17" s="131"/>
      <c r="BI17" s="131"/>
      <c r="BJ17" s="131"/>
      <c r="BK17" s="128"/>
      <c r="BL17" s="131"/>
      <c r="BM17" s="131"/>
      <c r="BN17" s="131"/>
      <c r="BO17" s="131"/>
      <c r="BP17" s="133"/>
      <c r="BQ17" s="128"/>
      <c r="BR17" s="128"/>
      <c r="BS17" s="131"/>
      <c r="BT17" s="131"/>
      <c r="BU17" s="131"/>
      <c r="BV17" s="131"/>
      <c r="BW17" s="133"/>
      <c r="BX17" s="131"/>
      <c r="BY17" s="128"/>
      <c r="BZ17" s="131"/>
      <c r="CA17" s="131"/>
      <c r="CB17" s="131"/>
      <c r="CC17" s="131"/>
      <c r="CD17" s="131"/>
      <c r="CE17" s="134"/>
      <c r="CF17" s="128"/>
      <c r="CG17" s="131"/>
      <c r="CH17" s="131"/>
      <c r="CI17" s="131"/>
      <c r="CJ17" s="131"/>
      <c r="CK17" s="131"/>
      <c r="CL17" s="131"/>
      <c r="CM17" s="128"/>
      <c r="CN17" s="131"/>
      <c r="CO17" s="131"/>
      <c r="CP17" s="131"/>
      <c r="CQ17" s="131"/>
      <c r="CR17" s="131"/>
    </row>
    <row r="18" customFormat="false" ht="12.8" hidden="false" customHeight="false" outlineLevel="0" collapsed="false">
      <c r="A18" s="17" t="s">
        <v>51</v>
      </c>
      <c r="B18" s="17" t="s">
        <v>93</v>
      </c>
      <c r="C18" s="130" t="s">
        <v>124</v>
      </c>
      <c r="D18" s="17" t="s">
        <v>125</v>
      </c>
      <c r="E18" s="130" t="s">
        <v>89</v>
      </c>
      <c r="F18" s="17" t="s">
        <v>126</v>
      </c>
      <c r="G18" s="16"/>
      <c r="H18" s="16"/>
      <c r="I18" s="39"/>
      <c r="J18" s="39" t="n">
        <v>1500</v>
      </c>
      <c r="K18" s="42" t="n">
        <v>6470</v>
      </c>
      <c r="L18" s="50"/>
      <c r="M18" s="41"/>
      <c r="N18" s="37" t="n">
        <v>3</v>
      </c>
      <c r="O18" s="44" t="n">
        <f aca="false">IF(Y18,1,0)+AB18+AI18+AP18+AW18+BD18+BK18+BR18+BY18+CF18+CM18</f>
        <v>0</v>
      </c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128" t="n">
        <v>5</v>
      </c>
      <c r="AB18" s="128" t="n">
        <v>3</v>
      </c>
      <c r="AC18" s="131" t="s">
        <v>390</v>
      </c>
      <c r="AD18" s="131" t="s">
        <v>391</v>
      </c>
      <c r="AE18" s="131" t="s">
        <v>410</v>
      </c>
      <c r="AF18" s="131" t="s">
        <v>411</v>
      </c>
      <c r="AG18" s="131" t="s">
        <v>415</v>
      </c>
      <c r="AH18" s="16"/>
      <c r="AI18" s="16"/>
      <c r="AJ18" s="16"/>
      <c r="AK18" s="16"/>
      <c r="AL18" s="16"/>
      <c r="AM18" s="16"/>
      <c r="AN18" s="16"/>
      <c r="AO18" s="131"/>
      <c r="AP18" s="128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1"/>
      <c r="BE18" s="131"/>
      <c r="BF18" s="131"/>
      <c r="BG18" s="131"/>
      <c r="BH18" s="131"/>
      <c r="BI18" s="131"/>
      <c r="BJ18" s="131"/>
      <c r="BK18" s="128"/>
      <c r="BL18" s="131"/>
      <c r="BM18" s="131"/>
      <c r="BN18" s="131"/>
      <c r="BO18" s="131"/>
      <c r="BP18" s="133"/>
      <c r="BQ18" s="131"/>
      <c r="BR18" s="131"/>
      <c r="BS18" s="131"/>
      <c r="BT18" s="131"/>
      <c r="BU18" s="131"/>
      <c r="BV18" s="131"/>
      <c r="BW18" s="133"/>
      <c r="BX18" s="128" t="n">
        <v>5</v>
      </c>
      <c r="BY18" s="128" t="n">
        <v>1</v>
      </c>
      <c r="BZ18" s="131" t="s">
        <v>441</v>
      </c>
      <c r="CA18" s="131" t="s">
        <v>442</v>
      </c>
      <c r="CB18" s="131" t="s">
        <v>443</v>
      </c>
      <c r="CC18" s="131" t="s">
        <v>444</v>
      </c>
      <c r="CD18" s="131" t="s">
        <v>445</v>
      </c>
      <c r="CE18" s="134"/>
      <c r="CF18" s="128"/>
      <c r="CG18" s="131"/>
      <c r="CH18" s="131"/>
      <c r="CI18" s="131"/>
      <c r="CJ18" s="131"/>
      <c r="CK18" s="131"/>
      <c r="CL18" s="131"/>
      <c r="CM18" s="128"/>
      <c r="CN18" s="131"/>
      <c r="CO18" s="131"/>
      <c r="CP18" s="131"/>
      <c r="CQ18" s="131"/>
      <c r="CR18" s="131"/>
    </row>
    <row r="19" customFormat="false" ht="12.8" hidden="false" customHeight="false" outlineLevel="0" collapsed="false">
      <c r="A19" s="17" t="s">
        <v>51</v>
      </c>
      <c r="B19" s="17" t="s">
        <v>93</v>
      </c>
      <c r="C19" s="130" t="s">
        <v>124</v>
      </c>
      <c r="D19" s="17" t="s">
        <v>127</v>
      </c>
      <c r="E19" s="130" t="s">
        <v>87</v>
      </c>
      <c r="F19" s="17" t="s">
        <v>128</v>
      </c>
      <c r="G19" s="16"/>
      <c r="H19" s="16"/>
      <c r="I19" s="39"/>
      <c r="J19" s="39" t="n">
        <v>1500</v>
      </c>
      <c r="K19" s="42" t="n">
        <v>6470</v>
      </c>
      <c r="L19" s="50"/>
      <c r="M19" s="41"/>
      <c r="N19" s="37" t="n">
        <v>3</v>
      </c>
      <c r="O19" s="44" t="n">
        <f aca="false">IF(Y19,1,0)+AB19+AI19+AP19+AW19+BD19+BK19+BR19+BY19+CF19+CM19</f>
        <v>0</v>
      </c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128" t="n">
        <v>6</v>
      </c>
      <c r="AB19" s="128" t="n">
        <v>3</v>
      </c>
      <c r="AC19" s="131" t="s">
        <v>390</v>
      </c>
      <c r="AD19" s="131" t="s">
        <v>391</v>
      </c>
      <c r="AE19" s="131" t="s">
        <v>410</v>
      </c>
      <c r="AF19" s="131" t="s">
        <v>411</v>
      </c>
      <c r="AG19" s="131" t="s">
        <v>399</v>
      </c>
      <c r="AH19" s="16"/>
      <c r="AI19" s="16"/>
      <c r="AJ19" s="16"/>
      <c r="AK19" s="16"/>
      <c r="AL19" s="16"/>
      <c r="AM19" s="16"/>
      <c r="AN19" s="16"/>
      <c r="AO19" s="131"/>
      <c r="AP19" s="128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1"/>
      <c r="BF19" s="131"/>
      <c r="BG19" s="131"/>
      <c r="BH19" s="131"/>
      <c r="BI19" s="131"/>
      <c r="BJ19" s="131"/>
      <c r="BK19" s="128"/>
      <c r="BL19" s="131"/>
      <c r="BM19" s="131"/>
      <c r="BN19" s="131"/>
      <c r="BO19" s="131"/>
      <c r="BP19" s="133"/>
      <c r="BQ19" s="131"/>
      <c r="BR19" s="131"/>
      <c r="BS19" s="131"/>
      <c r="BT19" s="131"/>
      <c r="BU19" s="131"/>
      <c r="BV19" s="131"/>
      <c r="BW19" s="133"/>
      <c r="BX19" s="128" t="n">
        <v>6</v>
      </c>
      <c r="BY19" s="128" t="n">
        <v>1</v>
      </c>
      <c r="BZ19" s="131" t="s">
        <v>441</v>
      </c>
      <c r="CA19" s="131" t="s">
        <v>442</v>
      </c>
      <c r="CB19" s="131" t="s">
        <v>443</v>
      </c>
      <c r="CC19" s="131" t="s">
        <v>444</v>
      </c>
      <c r="CD19" s="131" t="s">
        <v>458</v>
      </c>
      <c r="CE19" s="134"/>
      <c r="CF19" s="128"/>
      <c r="CG19" s="131"/>
      <c r="CH19" s="131"/>
      <c r="CI19" s="131"/>
      <c r="CJ19" s="131"/>
      <c r="CK19" s="131"/>
      <c r="CL19" s="131"/>
      <c r="CM19" s="128"/>
      <c r="CN19" s="131"/>
      <c r="CO19" s="131"/>
      <c r="CP19" s="131"/>
      <c r="CQ19" s="131"/>
      <c r="CR19" s="131"/>
    </row>
    <row r="20" customFormat="false" ht="12.8" hidden="false" customHeight="false" outlineLevel="0" collapsed="false">
      <c r="A20" s="17" t="s">
        <v>51</v>
      </c>
      <c r="B20" s="17" t="s">
        <v>98</v>
      </c>
      <c r="C20" s="17" t="s">
        <v>110</v>
      </c>
      <c r="D20" s="17" t="s">
        <v>111</v>
      </c>
      <c r="E20" s="130" t="s">
        <v>89</v>
      </c>
      <c r="F20" s="17" t="s">
        <v>112</v>
      </c>
      <c r="G20" s="16"/>
      <c r="H20" s="16"/>
      <c r="I20" s="39"/>
      <c r="J20" s="39" t="n">
        <v>1500</v>
      </c>
      <c r="K20" s="42" t="n">
        <v>4100</v>
      </c>
      <c r="L20" s="50"/>
      <c r="M20" s="41"/>
      <c r="N20" s="37" t="n">
        <v>3</v>
      </c>
      <c r="O20" s="44" t="n">
        <f aca="false">IF(Y20,1,0)+AB20+AI20+AP20+AW20+BD20+BK20+BR20+BY20+CF20+CM20</f>
        <v>0</v>
      </c>
      <c r="P20" s="37"/>
      <c r="Q20" s="37"/>
      <c r="R20" s="41" t="n">
        <v>-0.2</v>
      </c>
      <c r="S20" s="41" t="n">
        <v>-0.3</v>
      </c>
      <c r="T20" s="37"/>
      <c r="U20" s="37"/>
      <c r="V20" s="37"/>
      <c r="W20" s="37"/>
      <c r="X20" s="37"/>
      <c r="Y20" s="37"/>
      <c r="Z20" s="37"/>
      <c r="AA20" s="128" t="n">
        <v>5</v>
      </c>
      <c r="AB20" s="128" t="n">
        <v>3</v>
      </c>
      <c r="AC20" s="131" t="s">
        <v>390</v>
      </c>
      <c r="AD20" s="131" t="s">
        <v>391</v>
      </c>
      <c r="AE20" s="131" t="s">
        <v>410</v>
      </c>
      <c r="AF20" s="131" t="s">
        <v>411</v>
      </c>
      <c r="AG20" s="131" t="s">
        <v>415</v>
      </c>
      <c r="AH20" s="16"/>
      <c r="AI20" s="16"/>
      <c r="AJ20" s="16"/>
      <c r="AK20" s="16"/>
      <c r="AL20" s="16"/>
      <c r="AM20" s="16"/>
      <c r="AN20" s="16"/>
      <c r="AO20" s="131"/>
      <c r="AP20" s="128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1"/>
      <c r="BF20" s="131"/>
      <c r="BG20" s="131"/>
      <c r="BH20" s="131"/>
      <c r="BI20" s="131"/>
      <c r="BJ20" s="131"/>
      <c r="BK20" s="128"/>
      <c r="BL20" s="131"/>
      <c r="BM20" s="131"/>
      <c r="BN20" s="131"/>
      <c r="BO20" s="131"/>
      <c r="BP20" s="133"/>
      <c r="BQ20" s="131"/>
      <c r="BR20" s="131"/>
      <c r="BS20" s="131"/>
      <c r="BT20" s="131"/>
      <c r="BU20" s="131"/>
      <c r="BV20" s="131"/>
      <c r="BW20" s="133"/>
      <c r="BX20" s="128" t="n">
        <v>5</v>
      </c>
      <c r="BY20" s="128" t="n">
        <v>1</v>
      </c>
      <c r="BZ20" s="131" t="s">
        <v>441</v>
      </c>
      <c r="CA20" s="131" t="s">
        <v>442</v>
      </c>
      <c r="CB20" s="131" t="s">
        <v>443</v>
      </c>
      <c r="CC20" s="131" t="s">
        <v>444</v>
      </c>
      <c r="CD20" s="131" t="s">
        <v>445</v>
      </c>
      <c r="CE20" s="134"/>
      <c r="CF20" s="128"/>
      <c r="CG20" s="131"/>
      <c r="CH20" s="131"/>
      <c r="CI20" s="131"/>
      <c r="CJ20" s="131"/>
      <c r="CK20" s="131"/>
      <c r="CL20" s="131"/>
      <c r="CM20" s="128"/>
      <c r="CN20" s="131"/>
      <c r="CO20" s="131"/>
      <c r="CP20" s="131"/>
      <c r="CQ20" s="131"/>
      <c r="CR20" s="131"/>
    </row>
    <row r="21" customFormat="false" ht="12.8" hidden="false" customHeight="false" outlineLevel="0" collapsed="false">
      <c r="A21" s="17" t="s">
        <v>51</v>
      </c>
      <c r="B21" s="17" t="s">
        <v>98</v>
      </c>
      <c r="C21" s="17" t="s">
        <v>104</v>
      </c>
      <c r="D21" s="17" t="s">
        <v>105</v>
      </c>
      <c r="E21" s="130" t="s">
        <v>89</v>
      </c>
      <c r="F21" s="17" t="s">
        <v>106</v>
      </c>
      <c r="G21" s="16"/>
      <c r="H21" s="16"/>
      <c r="I21" s="39"/>
      <c r="J21" s="39" t="n">
        <v>1500</v>
      </c>
      <c r="K21" s="42" t="n">
        <v>4950</v>
      </c>
      <c r="L21" s="50"/>
      <c r="M21" s="41"/>
      <c r="N21" s="37" t="n">
        <v>3</v>
      </c>
      <c r="O21" s="44" t="n">
        <f aca="false">IF(Y21,1,0)+AB21+AI21+AP21+AW21+BD21+BK21+BR21+BY21+CF21+CM21</f>
        <v>0</v>
      </c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128" t="n">
        <v>5</v>
      </c>
      <c r="AB21" s="128" t="n">
        <v>3</v>
      </c>
      <c r="AC21" s="131" t="s">
        <v>390</v>
      </c>
      <c r="AD21" s="131" t="s">
        <v>391</v>
      </c>
      <c r="AE21" s="131" t="s">
        <v>410</v>
      </c>
      <c r="AF21" s="131" t="s">
        <v>411</v>
      </c>
      <c r="AG21" s="131" t="s">
        <v>415</v>
      </c>
      <c r="AH21" s="16"/>
      <c r="AI21" s="16"/>
      <c r="AJ21" s="16"/>
      <c r="AK21" s="16"/>
      <c r="AL21" s="16"/>
      <c r="AM21" s="16"/>
      <c r="AN21" s="16"/>
      <c r="AO21" s="131"/>
      <c r="AP21" s="128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  <c r="BH21" s="131"/>
      <c r="BI21" s="131"/>
      <c r="BJ21" s="131"/>
      <c r="BK21" s="128"/>
      <c r="BL21" s="131"/>
      <c r="BM21" s="131"/>
      <c r="BN21" s="131"/>
      <c r="BO21" s="131"/>
      <c r="BP21" s="133"/>
      <c r="BQ21" s="131"/>
      <c r="BR21" s="131"/>
      <c r="BS21" s="131"/>
      <c r="BT21" s="131"/>
      <c r="BU21" s="131"/>
      <c r="BV21" s="131"/>
      <c r="BW21" s="133"/>
      <c r="BX21" s="128" t="n">
        <v>5</v>
      </c>
      <c r="BY21" s="128" t="n">
        <v>1</v>
      </c>
      <c r="BZ21" s="131" t="s">
        <v>441</v>
      </c>
      <c r="CA21" s="131" t="s">
        <v>442</v>
      </c>
      <c r="CB21" s="131" t="s">
        <v>443</v>
      </c>
      <c r="CC21" s="131" t="s">
        <v>444</v>
      </c>
      <c r="CD21" s="131" t="s">
        <v>445</v>
      </c>
      <c r="CE21" s="134"/>
      <c r="CF21" s="128"/>
      <c r="CG21" s="131"/>
      <c r="CH21" s="131"/>
      <c r="CI21" s="131"/>
      <c r="CJ21" s="131"/>
      <c r="CK21" s="131"/>
      <c r="CL21" s="131"/>
      <c r="CM21" s="128"/>
      <c r="CN21" s="131"/>
      <c r="CO21" s="131"/>
      <c r="CP21" s="131"/>
      <c r="CQ21" s="131"/>
      <c r="CR21" s="131"/>
    </row>
    <row r="22" customFormat="false" ht="12.8" hidden="false" customHeight="false" outlineLevel="0" collapsed="false">
      <c r="A22" s="17" t="s">
        <v>51</v>
      </c>
      <c r="B22" s="17" t="s">
        <v>98</v>
      </c>
      <c r="C22" s="17" t="s">
        <v>104</v>
      </c>
      <c r="D22" s="17" t="s">
        <v>108</v>
      </c>
      <c r="E22" s="130" t="s">
        <v>87</v>
      </c>
      <c r="F22" s="17" t="s">
        <v>109</v>
      </c>
      <c r="G22" s="16"/>
      <c r="H22" s="16"/>
      <c r="I22" s="39"/>
      <c r="J22" s="39" t="n">
        <v>1500</v>
      </c>
      <c r="K22" s="42" t="n">
        <v>4500</v>
      </c>
      <c r="L22" s="50"/>
      <c r="M22" s="41"/>
      <c r="N22" s="37" t="n">
        <v>3</v>
      </c>
      <c r="O22" s="44" t="n">
        <f aca="false">IF(Y22,1,0)+AB22+AI22+AP22+AW22+BD22+BK22+BR22+BY22+CF22+CM22</f>
        <v>0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31"/>
      <c r="AP22" s="128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1"/>
      <c r="BF22" s="131"/>
      <c r="BG22" s="131"/>
      <c r="BH22" s="131"/>
      <c r="BI22" s="131"/>
      <c r="BJ22" s="131"/>
      <c r="BK22" s="128"/>
      <c r="BL22" s="131"/>
      <c r="BM22" s="131"/>
      <c r="BN22" s="131"/>
      <c r="BO22" s="131"/>
      <c r="BP22" s="133"/>
      <c r="BQ22" s="131"/>
      <c r="BR22" s="131"/>
      <c r="BS22" s="131"/>
      <c r="BT22" s="131"/>
      <c r="BU22" s="131"/>
      <c r="BV22" s="131"/>
      <c r="BW22" s="133"/>
      <c r="BX22" s="131"/>
      <c r="BY22" s="128"/>
      <c r="BZ22" s="131"/>
      <c r="CA22" s="131"/>
      <c r="CB22" s="131"/>
      <c r="CC22" s="131"/>
      <c r="CD22" s="131"/>
      <c r="CE22" s="134"/>
      <c r="CF22" s="128"/>
      <c r="CG22" s="131"/>
      <c r="CH22" s="131"/>
      <c r="CI22" s="131"/>
      <c r="CJ22" s="131"/>
      <c r="CK22" s="131"/>
      <c r="CL22" s="131"/>
      <c r="CM22" s="128"/>
      <c r="CN22" s="131"/>
      <c r="CO22" s="131"/>
      <c r="CP22" s="131"/>
      <c r="CQ22" s="131"/>
      <c r="CR22" s="131"/>
    </row>
    <row r="23" customFormat="false" ht="12.8" hidden="false" customHeight="false" outlineLevel="0" collapsed="false">
      <c r="A23" s="17" t="s">
        <v>51</v>
      </c>
      <c r="B23" s="17" t="s">
        <v>98</v>
      </c>
      <c r="C23" s="17" t="s">
        <v>99</v>
      </c>
      <c r="D23" s="17" t="s">
        <v>100</v>
      </c>
      <c r="E23" s="130" t="s">
        <v>89</v>
      </c>
      <c r="F23" s="17" t="s">
        <v>101</v>
      </c>
      <c r="G23" s="16"/>
      <c r="H23" s="16"/>
      <c r="I23" s="39"/>
      <c r="J23" s="39" t="n">
        <v>1500</v>
      </c>
      <c r="K23" s="42" t="n">
        <v>5730</v>
      </c>
      <c r="L23" s="50"/>
      <c r="M23" s="41"/>
      <c r="N23" s="37" t="n">
        <v>3</v>
      </c>
      <c r="O23" s="44" t="n">
        <f aca="false">IF(Y23,1,0)+AB23+AI23+AP23+AW23+BD23+BK23+BR23+BY23+CF23+CM23</f>
        <v>0</v>
      </c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128" t="n">
        <v>5</v>
      </c>
      <c r="AB23" s="128" t="n">
        <v>3</v>
      </c>
      <c r="AC23" s="131" t="s">
        <v>390</v>
      </c>
      <c r="AD23" s="131" t="s">
        <v>391</v>
      </c>
      <c r="AE23" s="131" t="s">
        <v>410</v>
      </c>
      <c r="AF23" s="131" t="s">
        <v>411</v>
      </c>
      <c r="AG23" s="131" t="s">
        <v>415</v>
      </c>
      <c r="AH23" s="16"/>
      <c r="AI23" s="16"/>
      <c r="AJ23" s="16"/>
      <c r="AK23" s="16"/>
      <c r="AL23" s="16"/>
      <c r="AM23" s="16"/>
      <c r="AN23" s="16"/>
      <c r="AO23" s="131"/>
      <c r="AP23" s="128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  <c r="BH23" s="131"/>
      <c r="BI23" s="131"/>
      <c r="BJ23" s="131"/>
      <c r="BK23" s="128"/>
      <c r="BL23" s="131"/>
      <c r="BM23" s="131"/>
      <c r="BN23" s="131"/>
      <c r="BO23" s="131"/>
      <c r="BP23" s="133"/>
      <c r="BQ23" s="131"/>
      <c r="BR23" s="131"/>
      <c r="BS23" s="131"/>
      <c r="BT23" s="131"/>
      <c r="BU23" s="131"/>
      <c r="BV23" s="131"/>
      <c r="BW23" s="133"/>
      <c r="BX23" s="128" t="n">
        <v>5</v>
      </c>
      <c r="BY23" s="128" t="n">
        <v>1</v>
      </c>
      <c r="BZ23" s="131" t="s">
        <v>441</v>
      </c>
      <c r="CA23" s="131" t="s">
        <v>442</v>
      </c>
      <c r="CB23" s="131" t="s">
        <v>443</v>
      </c>
      <c r="CC23" s="131" t="s">
        <v>444</v>
      </c>
      <c r="CD23" s="131" t="s">
        <v>445</v>
      </c>
      <c r="CE23" s="134"/>
      <c r="CF23" s="128"/>
      <c r="CG23" s="131"/>
      <c r="CH23" s="131"/>
      <c r="CI23" s="131"/>
      <c r="CJ23" s="131"/>
      <c r="CK23" s="131"/>
      <c r="CL23" s="131"/>
      <c r="CM23" s="128"/>
      <c r="CN23" s="131"/>
      <c r="CO23" s="131"/>
      <c r="CP23" s="131"/>
      <c r="CQ23" s="131"/>
      <c r="CR23" s="131"/>
    </row>
    <row r="24" customFormat="false" ht="12.8" hidden="false" customHeight="false" outlineLevel="0" collapsed="false">
      <c r="A24" s="17" t="s">
        <v>51</v>
      </c>
      <c r="B24" s="17" t="s">
        <v>81</v>
      </c>
      <c r="C24" s="130" t="s">
        <v>117</v>
      </c>
      <c r="D24" s="17" t="s">
        <v>118</v>
      </c>
      <c r="E24" s="130" t="s">
        <v>89</v>
      </c>
      <c r="F24" s="17" t="s">
        <v>112</v>
      </c>
      <c r="G24" s="16"/>
      <c r="H24" s="16"/>
      <c r="I24" s="39"/>
      <c r="J24" s="39" t="n">
        <v>1500</v>
      </c>
      <c r="K24" s="42" t="n">
        <v>4100</v>
      </c>
      <c r="L24" s="50"/>
      <c r="M24" s="41"/>
      <c r="N24" s="37" t="n">
        <v>3</v>
      </c>
      <c r="O24" s="44" t="n">
        <f aca="false">IF(Y24,1,0)+AB24+AI24+AP24+AW24+BD24+BK24+BR24+BY24+CF24+CM24</f>
        <v>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128" t="n">
        <v>5</v>
      </c>
      <c r="AB24" s="128" t="n">
        <v>3</v>
      </c>
      <c r="AC24" s="131" t="s">
        <v>390</v>
      </c>
      <c r="AD24" s="131" t="s">
        <v>391</v>
      </c>
      <c r="AE24" s="131" t="s">
        <v>410</v>
      </c>
      <c r="AF24" s="131" t="s">
        <v>411</v>
      </c>
      <c r="AG24" s="131" t="s">
        <v>415</v>
      </c>
      <c r="AH24" s="130" t="s">
        <v>459</v>
      </c>
      <c r="AI24" s="128" t="n">
        <v>1</v>
      </c>
      <c r="AJ24" s="130" t="s">
        <v>460</v>
      </c>
      <c r="AK24" s="130" t="s">
        <v>461</v>
      </c>
      <c r="AL24" s="130" t="s">
        <v>462</v>
      </c>
      <c r="AM24" s="130" t="s">
        <v>463</v>
      </c>
      <c r="AN24" s="130" t="s">
        <v>457</v>
      </c>
      <c r="AO24" s="131"/>
      <c r="AP24" s="128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131"/>
      <c r="BI24" s="131"/>
      <c r="BJ24" s="131"/>
      <c r="BK24" s="128"/>
      <c r="BL24" s="131"/>
      <c r="BM24" s="131"/>
      <c r="BN24" s="131"/>
      <c r="BO24" s="131"/>
      <c r="BP24" s="133"/>
      <c r="BQ24" s="131"/>
      <c r="BR24" s="131"/>
      <c r="BS24" s="131"/>
      <c r="BT24" s="131"/>
      <c r="BU24" s="131"/>
      <c r="BV24" s="131"/>
      <c r="BW24" s="133"/>
      <c r="BX24" s="131"/>
      <c r="BY24" s="128"/>
      <c r="BZ24" s="131"/>
      <c r="CA24" s="131"/>
      <c r="CB24" s="131"/>
      <c r="CC24" s="131"/>
      <c r="CD24" s="131"/>
      <c r="CE24" s="134"/>
      <c r="CF24" s="128"/>
      <c r="CG24" s="131"/>
      <c r="CH24" s="131"/>
      <c r="CI24" s="131"/>
      <c r="CJ24" s="131"/>
      <c r="CK24" s="131"/>
      <c r="CL24" s="131"/>
      <c r="CM24" s="128"/>
      <c r="CN24" s="131"/>
      <c r="CO24" s="131"/>
      <c r="CP24" s="131"/>
      <c r="CQ24" s="131"/>
      <c r="CR24" s="131"/>
    </row>
    <row r="25" customFormat="false" ht="12.8" hidden="false" customHeight="false" outlineLevel="0" collapsed="false">
      <c r="A25" s="17" t="s">
        <v>51</v>
      </c>
      <c r="B25" s="17" t="s">
        <v>93</v>
      </c>
      <c r="C25" s="34" t="s">
        <v>122</v>
      </c>
      <c r="D25" s="17" t="s">
        <v>123</v>
      </c>
      <c r="E25" s="130" t="s">
        <v>89</v>
      </c>
      <c r="F25" s="17" t="s">
        <v>101</v>
      </c>
      <c r="G25" s="16"/>
      <c r="H25" s="16"/>
      <c r="I25" s="39"/>
      <c r="J25" s="39" t="n">
        <v>1500</v>
      </c>
      <c r="K25" s="42" t="n">
        <v>4100</v>
      </c>
      <c r="L25" s="50"/>
      <c r="M25" s="41"/>
      <c r="N25" s="37" t="n">
        <v>3</v>
      </c>
      <c r="O25" s="44" t="n">
        <f aca="false">IF(Y25,1,0)+AB25+AI25+AP25+AW25+BD25+BK25+BR25+BY25+CF25+CM25</f>
        <v>0</v>
      </c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128" t="n">
        <v>6</v>
      </c>
      <c r="AB25" s="128" t="n">
        <v>3</v>
      </c>
      <c r="AC25" s="131" t="s">
        <v>390</v>
      </c>
      <c r="AD25" s="131" t="s">
        <v>391</v>
      </c>
      <c r="AE25" s="131" t="s">
        <v>410</v>
      </c>
      <c r="AF25" s="131" t="s">
        <v>411</v>
      </c>
      <c r="AG25" s="131" t="s">
        <v>399</v>
      </c>
      <c r="AH25" s="16"/>
      <c r="AI25" s="16"/>
      <c r="AJ25" s="16"/>
      <c r="AK25" s="16"/>
      <c r="AL25" s="16"/>
      <c r="AM25" s="16"/>
      <c r="AN25" s="16"/>
      <c r="AO25" s="131"/>
      <c r="AP25" s="128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28"/>
      <c r="BL25" s="131"/>
      <c r="BM25" s="131"/>
      <c r="BN25" s="131"/>
      <c r="BO25" s="131"/>
      <c r="BP25" s="133"/>
      <c r="BQ25" s="131"/>
      <c r="BR25" s="131"/>
      <c r="BS25" s="131"/>
      <c r="BT25" s="131"/>
      <c r="BU25" s="131"/>
      <c r="BV25" s="131"/>
      <c r="BW25" s="133"/>
      <c r="BX25" s="128" t="n">
        <v>6</v>
      </c>
      <c r="BY25" s="128" t="n">
        <v>1</v>
      </c>
      <c r="BZ25" s="131" t="s">
        <v>441</v>
      </c>
      <c r="CA25" s="131" t="s">
        <v>442</v>
      </c>
      <c r="CB25" s="131" t="s">
        <v>443</v>
      </c>
      <c r="CC25" s="131" t="s">
        <v>444</v>
      </c>
      <c r="CD25" s="131" t="s">
        <v>458</v>
      </c>
      <c r="CE25" s="134"/>
      <c r="CF25" s="128"/>
      <c r="CG25" s="131"/>
      <c r="CH25" s="131"/>
      <c r="CI25" s="131"/>
      <c r="CJ25" s="131"/>
      <c r="CK25" s="131"/>
      <c r="CL25" s="131"/>
      <c r="CM25" s="128"/>
      <c r="CN25" s="131"/>
      <c r="CO25" s="131"/>
      <c r="CP25" s="131"/>
      <c r="CQ25" s="131"/>
      <c r="CR25" s="131"/>
    </row>
    <row r="26" customFormat="false" ht="12.8" hidden="false" customHeight="false" outlineLevel="0" collapsed="false">
      <c r="A26" s="17" t="s">
        <v>51</v>
      </c>
      <c r="B26" s="17" t="s">
        <v>81</v>
      </c>
      <c r="C26" s="17" t="s">
        <v>119</v>
      </c>
      <c r="D26" s="17" t="s">
        <v>120</v>
      </c>
      <c r="E26" s="130" t="s">
        <v>89</v>
      </c>
      <c r="F26" s="17" t="s">
        <v>121</v>
      </c>
      <c r="G26" s="16"/>
      <c r="H26" s="16"/>
      <c r="I26" s="39"/>
      <c r="J26" s="39" t="n">
        <v>1500</v>
      </c>
      <c r="K26" s="81" t="n">
        <v>4100</v>
      </c>
      <c r="L26" s="82" t="n">
        <v>6</v>
      </c>
      <c r="M26" s="41"/>
      <c r="N26" s="37" t="n">
        <v>3</v>
      </c>
      <c r="O26" s="44" t="n">
        <f aca="false">IF(Y26,1,0)+AB26+AI26+AP26+AW26+BD26+BK26+BR26+BY26+CF26+CM26</f>
        <v>0</v>
      </c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128" t="n">
        <v>5</v>
      </c>
      <c r="AB26" s="128" t="n">
        <v>3</v>
      </c>
      <c r="AC26" s="131" t="s">
        <v>390</v>
      </c>
      <c r="AD26" s="131" t="s">
        <v>391</v>
      </c>
      <c r="AE26" s="131" t="s">
        <v>410</v>
      </c>
      <c r="AF26" s="131" t="s">
        <v>411</v>
      </c>
      <c r="AG26" s="131" t="s">
        <v>415</v>
      </c>
      <c r="AH26" s="16"/>
      <c r="AI26" s="16"/>
      <c r="AJ26" s="16"/>
      <c r="AK26" s="16"/>
      <c r="AL26" s="16"/>
      <c r="AM26" s="16"/>
      <c r="AN26" s="16"/>
      <c r="AO26" s="131"/>
      <c r="AP26" s="128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28"/>
      <c r="BL26" s="131"/>
      <c r="BM26" s="131"/>
      <c r="BN26" s="131"/>
      <c r="BO26" s="131"/>
      <c r="BP26" s="133"/>
      <c r="BQ26" s="131"/>
      <c r="BR26" s="131"/>
      <c r="BS26" s="131"/>
      <c r="BT26" s="131"/>
      <c r="BU26" s="131"/>
      <c r="BV26" s="131"/>
      <c r="BW26" s="133"/>
      <c r="BX26" s="128" t="n">
        <v>5</v>
      </c>
      <c r="BY26" s="128" t="n">
        <v>1</v>
      </c>
      <c r="BZ26" s="131" t="s">
        <v>441</v>
      </c>
      <c r="CA26" s="131" t="s">
        <v>442</v>
      </c>
      <c r="CB26" s="131" t="s">
        <v>443</v>
      </c>
      <c r="CC26" s="131" t="s">
        <v>444</v>
      </c>
      <c r="CD26" s="131" t="s">
        <v>445</v>
      </c>
      <c r="CE26" s="134"/>
      <c r="CF26" s="128"/>
      <c r="CG26" s="131"/>
      <c r="CH26" s="131"/>
      <c r="CI26" s="131"/>
      <c r="CJ26" s="131"/>
      <c r="CK26" s="131"/>
      <c r="CL26" s="131"/>
      <c r="CM26" s="128"/>
      <c r="CN26" s="131"/>
      <c r="CO26" s="131"/>
      <c r="CP26" s="131"/>
      <c r="CQ26" s="131"/>
      <c r="CR26" s="131"/>
    </row>
    <row r="27" customFormat="false" ht="12.8" hidden="false" customHeight="false" outlineLevel="0" collapsed="false">
      <c r="A27" s="17" t="s">
        <v>51</v>
      </c>
      <c r="B27" s="17" t="s">
        <v>113</v>
      </c>
      <c r="C27" s="17" t="s">
        <v>114</v>
      </c>
      <c r="D27" s="17" t="s">
        <v>115</v>
      </c>
      <c r="E27" s="130" t="s">
        <v>89</v>
      </c>
      <c r="F27" s="17" t="s">
        <v>116</v>
      </c>
      <c r="G27" s="16"/>
      <c r="H27" s="16"/>
      <c r="I27" s="39"/>
      <c r="J27" s="39" t="n">
        <v>1500</v>
      </c>
      <c r="K27" s="81" t="n">
        <v>4100</v>
      </c>
      <c r="L27" s="82"/>
      <c r="M27" s="41"/>
      <c r="N27" s="37" t="n">
        <v>3</v>
      </c>
      <c r="O27" s="44" t="n">
        <f aca="false">IF(Y27,1,0)+AB27+AI27+AP27+AW27+BD27+BK27+BR27+BY27+CF27+CM27</f>
        <v>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128" t="n">
        <v>5</v>
      </c>
      <c r="AB27" s="128" t="n">
        <v>3</v>
      </c>
      <c r="AC27" s="131" t="s">
        <v>390</v>
      </c>
      <c r="AD27" s="131" t="s">
        <v>391</v>
      </c>
      <c r="AE27" s="131" t="s">
        <v>410</v>
      </c>
      <c r="AF27" s="131" t="s">
        <v>411</v>
      </c>
      <c r="AG27" s="131" t="s">
        <v>415</v>
      </c>
      <c r="AH27" s="16"/>
      <c r="AI27" s="16"/>
      <c r="AJ27" s="16"/>
      <c r="AK27" s="16"/>
      <c r="AL27" s="16"/>
      <c r="AM27" s="16"/>
      <c r="AN27" s="16"/>
      <c r="AO27" s="131"/>
      <c r="AP27" s="128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131"/>
      <c r="BI27" s="131"/>
      <c r="BJ27" s="131"/>
      <c r="BK27" s="128"/>
      <c r="BL27" s="131"/>
      <c r="BM27" s="131"/>
      <c r="BN27" s="131"/>
      <c r="BO27" s="131"/>
      <c r="BP27" s="133"/>
      <c r="BQ27" s="131"/>
      <c r="BR27" s="131"/>
      <c r="BS27" s="131"/>
      <c r="BT27" s="131"/>
      <c r="BU27" s="131"/>
      <c r="BV27" s="131"/>
      <c r="BW27" s="133"/>
      <c r="BX27" s="128" t="n">
        <v>5</v>
      </c>
      <c r="BY27" s="128" t="n">
        <v>1</v>
      </c>
      <c r="BZ27" s="131" t="s">
        <v>441</v>
      </c>
      <c r="CA27" s="131" t="s">
        <v>442</v>
      </c>
      <c r="CB27" s="131" t="s">
        <v>443</v>
      </c>
      <c r="CC27" s="131" t="s">
        <v>444</v>
      </c>
      <c r="CD27" s="131" t="s">
        <v>445</v>
      </c>
      <c r="CE27" s="134"/>
      <c r="CF27" s="128"/>
      <c r="CG27" s="131"/>
      <c r="CH27" s="131"/>
      <c r="CI27" s="131"/>
      <c r="CJ27" s="131"/>
      <c r="CK27" s="131"/>
      <c r="CL27" s="131"/>
      <c r="CM27" s="128"/>
      <c r="CN27" s="131"/>
      <c r="CO27" s="131"/>
      <c r="CP27" s="131"/>
      <c r="CQ27" s="131"/>
      <c r="CR27" s="131"/>
    </row>
    <row r="28" customFormat="false" ht="12.8" hidden="false" customHeight="false" outlineLevel="0" collapsed="false">
      <c r="A28" s="136" t="s">
        <v>51</v>
      </c>
      <c r="B28" s="137" t="s">
        <v>93</v>
      </c>
      <c r="C28" s="138" t="s">
        <v>129</v>
      </c>
      <c r="D28" s="137" t="s">
        <v>108</v>
      </c>
      <c r="E28" s="139" t="s">
        <v>89</v>
      </c>
      <c r="F28" s="137" t="s">
        <v>130</v>
      </c>
      <c r="G28" s="16"/>
      <c r="H28" s="16"/>
      <c r="I28" s="39"/>
      <c r="J28" s="39" t="n">
        <v>1500</v>
      </c>
      <c r="K28" s="81" t="n">
        <v>6470</v>
      </c>
      <c r="L28" s="82"/>
      <c r="M28" s="41"/>
      <c r="N28" s="37" t="n">
        <v>3</v>
      </c>
      <c r="O28" s="44" t="n">
        <f aca="false">IF(Y28,1,0)+AB28+AI28+AP28+AW28+BD28+BK28+BR28+BY28+CF28+CM28</f>
        <v>0</v>
      </c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128" t="n">
        <v>5</v>
      </c>
      <c r="AB28" s="128" t="n">
        <v>3</v>
      </c>
      <c r="AC28" s="131" t="s">
        <v>390</v>
      </c>
      <c r="AD28" s="131" t="s">
        <v>391</v>
      </c>
      <c r="AE28" s="131" t="s">
        <v>410</v>
      </c>
      <c r="AF28" s="131" t="s">
        <v>411</v>
      </c>
      <c r="AG28" s="131" t="s">
        <v>415</v>
      </c>
      <c r="AH28" s="16"/>
      <c r="AI28" s="16"/>
      <c r="AJ28" s="16"/>
      <c r="AK28" s="16"/>
      <c r="AL28" s="16"/>
      <c r="AM28" s="16"/>
      <c r="AN28" s="16"/>
      <c r="AO28" s="131"/>
      <c r="AP28" s="128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1"/>
      <c r="BF28" s="131"/>
      <c r="BG28" s="131"/>
      <c r="BH28" s="131"/>
      <c r="BI28" s="131"/>
      <c r="BJ28" s="131"/>
      <c r="BK28" s="128"/>
      <c r="BL28" s="131"/>
      <c r="BM28" s="131"/>
      <c r="BN28" s="131"/>
      <c r="BO28" s="131"/>
      <c r="BP28" s="133"/>
      <c r="BQ28" s="131"/>
      <c r="BR28" s="131"/>
      <c r="BS28" s="131"/>
      <c r="BT28" s="131"/>
      <c r="BU28" s="131"/>
      <c r="BV28" s="131"/>
      <c r="BW28" s="133"/>
      <c r="BX28" s="128" t="n">
        <v>5</v>
      </c>
      <c r="BY28" s="128" t="n">
        <v>1</v>
      </c>
      <c r="BZ28" s="131" t="s">
        <v>441</v>
      </c>
      <c r="CA28" s="131" t="s">
        <v>442</v>
      </c>
      <c r="CB28" s="131" t="s">
        <v>443</v>
      </c>
      <c r="CC28" s="131" t="s">
        <v>444</v>
      </c>
      <c r="CD28" s="131" t="s">
        <v>445</v>
      </c>
      <c r="CE28" s="134"/>
      <c r="CF28" s="128"/>
      <c r="CG28" s="131"/>
      <c r="CH28" s="131"/>
      <c r="CI28" s="131"/>
      <c r="CJ28" s="131"/>
      <c r="CK28" s="131"/>
      <c r="CL28" s="131"/>
      <c r="CM28" s="128"/>
      <c r="CN28" s="131"/>
      <c r="CO28" s="131"/>
      <c r="CP28" s="131"/>
      <c r="CQ28" s="131"/>
      <c r="CR28" s="131"/>
    </row>
    <row r="29" customFormat="false" ht="12.8" hidden="false" customHeight="false" outlineLevel="0" collapsed="false">
      <c r="A29" s="16" t="s">
        <v>52</v>
      </c>
      <c r="B29" s="17" t="s">
        <v>81</v>
      </c>
      <c r="C29" s="17" t="s">
        <v>185</v>
      </c>
      <c r="D29" s="16" t="s">
        <v>186</v>
      </c>
      <c r="E29" s="140" t="s">
        <v>89</v>
      </c>
      <c r="F29" s="16" t="s">
        <v>153</v>
      </c>
      <c r="G29" s="16"/>
      <c r="H29" s="16"/>
      <c r="I29" s="39"/>
      <c r="J29" s="39" t="n">
        <v>3500</v>
      </c>
      <c r="K29" s="42" t="n">
        <v>12810</v>
      </c>
      <c r="L29" s="50" t="n">
        <v>5</v>
      </c>
      <c r="M29" s="41"/>
      <c r="N29" s="37" t="n">
        <v>4</v>
      </c>
      <c r="O29" s="44" t="n">
        <f aca="false">IF(Y29,1,0)+AB29+AI29+AP29+AW29+BD29+BK29+BR29+BY29+CF29+CM29</f>
        <v>0</v>
      </c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128" t="n">
        <v>8</v>
      </c>
      <c r="AB29" s="128" t="n">
        <v>2</v>
      </c>
      <c r="AC29" s="131" t="s">
        <v>390</v>
      </c>
      <c r="AD29" s="131" t="s">
        <v>391</v>
      </c>
      <c r="AE29" s="131" t="s">
        <v>383</v>
      </c>
      <c r="AF29" s="131" t="s">
        <v>384</v>
      </c>
      <c r="AG29" s="131" t="s">
        <v>399</v>
      </c>
      <c r="AH29" s="130" t="s">
        <v>464</v>
      </c>
      <c r="AI29" s="128" t="n">
        <v>2</v>
      </c>
      <c r="AJ29" s="130" t="s">
        <v>465</v>
      </c>
      <c r="AK29" s="130" t="s">
        <v>466</v>
      </c>
      <c r="AL29" s="130" t="s">
        <v>454</v>
      </c>
      <c r="AM29" s="16"/>
      <c r="AN29" s="16"/>
      <c r="AO29" s="128" t="n">
        <v>8</v>
      </c>
      <c r="AP29" s="128" t="n">
        <v>1</v>
      </c>
      <c r="AQ29" s="131" t="s">
        <v>390</v>
      </c>
      <c r="AR29" s="131" t="s">
        <v>391</v>
      </c>
      <c r="AS29" s="131" t="s">
        <v>383</v>
      </c>
      <c r="AT29" s="131" t="s">
        <v>384</v>
      </c>
      <c r="AU29" s="131" t="s">
        <v>399</v>
      </c>
      <c r="AV29" s="131"/>
      <c r="AW29" s="131"/>
      <c r="AX29" s="131"/>
      <c r="AY29" s="131"/>
      <c r="AZ29" s="131"/>
      <c r="BA29" s="131"/>
      <c r="BB29" s="131"/>
      <c r="BC29" s="131"/>
      <c r="BD29" s="131"/>
      <c r="BE29" s="131"/>
      <c r="BF29" s="131"/>
      <c r="BG29" s="131"/>
      <c r="BH29" s="131"/>
      <c r="BI29" s="131"/>
      <c r="BJ29" s="131"/>
      <c r="BK29" s="128"/>
      <c r="BL29" s="131"/>
      <c r="BM29" s="131"/>
      <c r="BN29" s="131"/>
      <c r="BO29" s="131"/>
      <c r="BP29" s="133"/>
      <c r="BQ29" s="131"/>
      <c r="BR29" s="131"/>
      <c r="BS29" s="131"/>
      <c r="BT29" s="131"/>
      <c r="BU29" s="131"/>
      <c r="BV29" s="131"/>
      <c r="BW29" s="133"/>
      <c r="BX29" s="131"/>
      <c r="BY29" s="128"/>
      <c r="BZ29" s="131"/>
      <c r="CA29" s="131"/>
      <c r="CB29" s="131"/>
      <c r="CC29" s="131"/>
      <c r="CD29" s="131"/>
      <c r="CE29" s="134"/>
      <c r="CF29" s="128"/>
      <c r="CG29" s="131"/>
      <c r="CH29" s="131"/>
      <c r="CI29" s="131"/>
      <c r="CJ29" s="131"/>
      <c r="CK29" s="131"/>
      <c r="CL29" s="131"/>
      <c r="CM29" s="128"/>
      <c r="CN29" s="131"/>
      <c r="CO29" s="131"/>
      <c r="CP29" s="131"/>
      <c r="CQ29" s="131"/>
      <c r="CR29" s="131"/>
    </row>
    <row r="30" customFormat="false" ht="12.8" hidden="false" customHeight="false" outlineLevel="0" collapsed="false">
      <c r="A30" s="16" t="s">
        <v>52</v>
      </c>
      <c r="B30" s="17" t="s">
        <v>81</v>
      </c>
      <c r="C30" s="17" t="s">
        <v>185</v>
      </c>
      <c r="D30" s="16" t="s">
        <v>187</v>
      </c>
      <c r="E30" s="140" t="s">
        <v>87</v>
      </c>
      <c r="F30" s="16" t="s">
        <v>188</v>
      </c>
      <c r="G30" s="16"/>
      <c r="H30" s="16"/>
      <c r="I30" s="39"/>
      <c r="J30" s="39" t="n">
        <v>3500</v>
      </c>
      <c r="K30" s="42" t="n">
        <v>12810</v>
      </c>
      <c r="L30" s="50" t="n">
        <v>5</v>
      </c>
      <c r="M30" s="41"/>
      <c r="N30" s="37"/>
      <c r="O30" s="44" t="n">
        <f aca="false">IF(Y30,1,0)+AB30+AI30+AP30+AW30+BD30+BK30+BR30+BY30+CF30+CM30</f>
        <v>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31"/>
      <c r="AP30" s="128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  <c r="BJ30" s="131"/>
      <c r="BK30" s="128"/>
      <c r="BL30" s="131"/>
      <c r="BM30" s="131"/>
      <c r="BN30" s="131"/>
      <c r="BO30" s="131"/>
      <c r="BP30" s="133"/>
      <c r="BQ30" s="131"/>
      <c r="BR30" s="131"/>
      <c r="BS30" s="131"/>
      <c r="BT30" s="131"/>
      <c r="BU30" s="131"/>
      <c r="BV30" s="131"/>
      <c r="BW30" s="133"/>
      <c r="BX30" s="131"/>
      <c r="BY30" s="128"/>
      <c r="BZ30" s="131"/>
      <c r="CA30" s="131"/>
      <c r="CB30" s="131"/>
      <c r="CC30" s="131"/>
      <c r="CD30" s="131"/>
      <c r="CE30" s="134"/>
      <c r="CF30" s="128"/>
      <c r="CG30" s="131"/>
      <c r="CH30" s="131"/>
      <c r="CI30" s="131"/>
      <c r="CJ30" s="131"/>
      <c r="CK30" s="131"/>
      <c r="CL30" s="131"/>
      <c r="CM30" s="128"/>
      <c r="CN30" s="131"/>
      <c r="CO30" s="131"/>
      <c r="CP30" s="131"/>
      <c r="CQ30" s="131"/>
      <c r="CR30" s="131"/>
    </row>
    <row r="31" customFormat="false" ht="12.8" hidden="false" customHeight="false" outlineLevel="0" collapsed="false">
      <c r="A31" s="16" t="s">
        <v>52</v>
      </c>
      <c r="B31" s="17" t="s">
        <v>81</v>
      </c>
      <c r="C31" s="17" t="s">
        <v>185</v>
      </c>
      <c r="D31" s="16" t="s">
        <v>162</v>
      </c>
      <c r="E31" s="140" t="s">
        <v>88</v>
      </c>
      <c r="F31" s="16" t="s">
        <v>163</v>
      </c>
      <c r="G31" s="16"/>
      <c r="H31" s="16"/>
      <c r="I31" s="39"/>
      <c r="J31" s="39" t="n">
        <v>3500</v>
      </c>
      <c r="K31" s="42" t="n">
        <v>12810</v>
      </c>
      <c r="L31" s="50" t="n">
        <v>5</v>
      </c>
      <c r="M31" s="41"/>
      <c r="N31" s="37"/>
      <c r="O31" s="44" t="n">
        <f aca="false">IF(Y31,1,0)+AB31+AI31+AP31+AW31+BD31+BK31+BR31+BY31+CF31+CM31</f>
        <v>0</v>
      </c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31"/>
      <c r="AP31" s="128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  <c r="BF31" s="131"/>
      <c r="BG31" s="131"/>
      <c r="BH31" s="131"/>
      <c r="BI31" s="131"/>
      <c r="BJ31" s="131"/>
      <c r="BK31" s="128"/>
      <c r="BL31" s="131"/>
      <c r="BM31" s="131"/>
      <c r="BN31" s="131"/>
      <c r="BO31" s="131"/>
      <c r="BP31" s="133"/>
      <c r="BQ31" s="131"/>
      <c r="BR31" s="131"/>
      <c r="BS31" s="131"/>
      <c r="BT31" s="131"/>
      <c r="BU31" s="131"/>
      <c r="BV31" s="131"/>
      <c r="BW31" s="133"/>
      <c r="BX31" s="131"/>
      <c r="BY31" s="128"/>
      <c r="BZ31" s="131"/>
      <c r="CA31" s="131"/>
      <c r="CB31" s="131"/>
      <c r="CC31" s="131"/>
      <c r="CD31" s="131"/>
      <c r="CE31" s="134"/>
      <c r="CF31" s="128"/>
      <c r="CG31" s="131"/>
      <c r="CH31" s="131"/>
      <c r="CI31" s="131"/>
      <c r="CJ31" s="131"/>
      <c r="CK31" s="131"/>
      <c r="CL31" s="131"/>
      <c r="CM31" s="128"/>
      <c r="CN31" s="131"/>
      <c r="CO31" s="131"/>
      <c r="CP31" s="131"/>
      <c r="CQ31" s="131"/>
      <c r="CR31" s="131"/>
    </row>
    <row r="32" customFormat="false" ht="12.8" hidden="false" customHeight="false" outlineLevel="0" collapsed="false">
      <c r="A32" s="16" t="s">
        <v>52</v>
      </c>
      <c r="B32" s="17" t="s">
        <v>81</v>
      </c>
      <c r="C32" s="17" t="s">
        <v>171</v>
      </c>
      <c r="D32" s="16" t="s">
        <v>172</v>
      </c>
      <c r="E32" s="140" t="s">
        <v>89</v>
      </c>
      <c r="F32" s="16" t="s">
        <v>139</v>
      </c>
      <c r="G32" s="16"/>
      <c r="H32" s="16"/>
      <c r="I32" s="39"/>
      <c r="J32" s="39" t="n">
        <v>3500</v>
      </c>
      <c r="K32" s="42" t="n">
        <v>9650</v>
      </c>
      <c r="L32" s="50" t="n">
        <v>5</v>
      </c>
      <c r="M32" s="41"/>
      <c r="N32" s="37" t="n">
        <v>4</v>
      </c>
      <c r="O32" s="44" t="n">
        <f aca="false">IF(Y32,1,0)+AB32+AI32+AP32+AW32+BD32+BK32+BR32+BY32+CF32+CM32</f>
        <v>0</v>
      </c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128" t="n">
        <v>8</v>
      </c>
      <c r="AB32" s="128" t="n">
        <v>2</v>
      </c>
      <c r="AC32" s="131" t="s">
        <v>390</v>
      </c>
      <c r="AD32" s="131" t="s">
        <v>391</v>
      </c>
      <c r="AE32" s="131" t="s">
        <v>383</v>
      </c>
      <c r="AF32" s="131" t="s">
        <v>384</v>
      </c>
      <c r="AG32" s="131" t="s">
        <v>399</v>
      </c>
      <c r="AH32" s="130" t="s">
        <v>464</v>
      </c>
      <c r="AI32" s="128" t="n">
        <v>2</v>
      </c>
      <c r="AJ32" s="130" t="s">
        <v>465</v>
      </c>
      <c r="AK32" s="130" t="s">
        <v>466</v>
      </c>
      <c r="AL32" s="130" t="s">
        <v>454</v>
      </c>
      <c r="AM32" s="16"/>
      <c r="AN32" s="16"/>
      <c r="AO32" s="131"/>
      <c r="AP32" s="128"/>
      <c r="AQ32" s="131"/>
      <c r="AR32" s="131"/>
      <c r="AS32" s="131"/>
      <c r="AT32" s="131"/>
      <c r="AU32" s="131"/>
      <c r="AV32" s="128"/>
      <c r="AW32" s="128"/>
      <c r="AX32" s="128"/>
      <c r="AY32" s="128"/>
      <c r="AZ32" s="128"/>
      <c r="BA32" s="128"/>
      <c r="BB32" s="128"/>
      <c r="BC32" s="131"/>
      <c r="BD32" s="131"/>
      <c r="BE32" s="131"/>
      <c r="BF32" s="131"/>
      <c r="BG32" s="131"/>
      <c r="BH32" s="131"/>
      <c r="BI32" s="131"/>
      <c r="BJ32" s="128" t="n">
        <v>8</v>
      </c>
      <c r="BK32" s="128" t="n">
        <v>1</v>
      </c>
      <c r="BL32" s="131" t="s">
        <v>410</v>
      </c>
      <c r="BM32" s="131" t="s">
        <v>453</v>
      </c>
      <c r="BN32" s="131" t="s">
        <v>467</v>
      </c>
      <c r="BO32" s="131" t="s">
        <v>468</v>
      </c>
      <c r="BP32" s="133" t="s">
        <v>380</v>
      </c>
      <c r="BQ32" s="131"/>
      <c r="BR32" s="131"/>
      <c r="BS32" s="131"/>
      <c r="BT32" s="131"/>
      <c r="BU32" s="131"/>
      <c r="BV32" s="131"/>
      <c r="BW32" s="133"/>
      <c r="BX32" s="131"/>
      <c r="BY32" s="128"/>
      <c r="BZ32" s="131"/>
      <c r="CA32" s="131"/>
      <c r="CB32" s="131"/>
      <c r="CC32" s="131"/>
      <c r="CD32" s="131"/>
      <c r="CE32" s="134"/>
      <c r="CF32" s="128"/>
      <c r="CG32" s="131"/>
      <c r="CH32" s="131"/>
      <c r="CI32" s="131"/>
      <c r="CJ32" s="131"/>
      <c r="CK32" s="131"/>
      <c r="CL32" s="131"/>
      <c r="CM32" s="128"/>
      <c r="CN32" s="131"/>
      <c r="CO32" s="131"/>
      <c r="CP32" s="131"/>
      <c r="CQ32" s="131"/>
      <c r="CR32" s="131"/>
    </row>
    <row r="33" customFormat="false" ht="12.8" hidden="false" customHeight="false" outlineLevel="0" collapsed="false">
      <c r="A33" s="16" t="s">
        <v>52</v>
      </c>
      <c r="B33" s="17" t="s">
        <v>81</v>
      </c>
      <c r="C33" s="16" t="s">
        <v>171</v>
      </c>
      <c r="D33" s="16" t="s">
        <v>173</v>
      </c>
      <c r="E33" s="140" t="s">
        <v>87</v>
      </c>
      <c r="F33" s="16" t="s">
        <v>163</v>
      </c>
      <c r="G33" s="16"/>
      <c r="H33" s="16"/>
      <c r="I33" s="39"/>
      <c r="J33" s="39" t="n">
        <v>3500</v>
      </c>
      <c r="K33" s="42" t="n">
        <v>9650</v>
      </c>
      <c r="L33" s="50" t="n">
        <v>5</v>
      </c>
      <c r="M33" s="41"/>
      <c r="N33" s="37"/>
      <c r="O33" s="44" t="n">
        <f aca="false">IF(Y33,1,0)+AB33+AI33+AP33+AW33+BD33+BK33+BR33+BY33+CF33+CM33</f>
        <v>0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31"/>
      <c r="AP33" s="128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28"/>
      <c r="BL33" s="131"/>
      <c r="BM33" s="131"/>
      <c r="BN33" s="131"/>
      <c r="BO33" s="131"/>
      <c r="BP33" s="133"/>
      <c r="BQ33" s="131"/>
      <c r="BR33" s="131"/>
      <c r="BS33" s="131"/>
      <c r="BT33" s="131"/>
      <c r="BU33" s="131"/>
      <c r="BV33" s="131"/>
      <c r="BW33" s="133"/>
      <c r="BX33" s="131"/>
      <c r="BY33" s="128"/>
      <c r="BZ33" s="131"/>
      <c r="CA33" s="131"/>
      <c r="CB33" s="131"/>
      <c r="CC33" s="131"/>
      <c r="CD33" s="131"/>
      <c r="CE33" s="134"/>
      <c r="CF33" s="128"/>
      <c r="CG33" s="131"/>
      <c r="CH33" s="131"/>
      <c r="CI33" s="131"/>
      <c r="CJ33" s="131"/>
      <c r="CK33" s="131"/>
      <c r="CL33" s="131"/>
      <c r="CM33" s="128"/>
      <c r="CN33" s="131"/>
      <c r="CO33" s="131"/>
      <c r="CP33" s="131"/>
      <c r="CQ33" s="131"/>
      <c r="CR33" s="131"/>
    </row>
    <row r="34" customFormat="false" ht="12.8" hidden="false" customHeight="false" outlineLevel="0" collapsed="false">
      <c r="A34" s="16" t="s">
        <v>52</v>
      </c>
      <c r="B34" s="17" t="s">
        <v>158</v>
      </c>
      <c r="C34" s="16" t="s">
        <v>159</v>
      </c>
      <c r="D34" s="16" t="s">
        <v>160</v>
      </c>
      <c r="E34" s="140" t="s">
        <v>89</v>
      </c>
      <c r="F34" s="16" t="s">
        <v>116</v>
      </c>
      <c r="G34" s="16"/>
      <c r="H34" s="16"/>
      <c r="I34" s="39"/>
      <c r="J34" s="39" t="n">
        <v>3500</v>
      </c>
      <c r="K34" s="42" t="n">
        <v>13710</v>
      </c>
      <c r="L34" s="50" t="n">
        <v>5</v>
      </c>
      <c r="M34" s="41"/>
      <c r="N34" s="37" t="n">
        <v>3</v>
      </c>
      <c r="O34" s="44" t="n">
        <f aca="false">IF(Y34,1,0)+AB34+AI34+AP34+AW34+BD34+BK34+BR34+BY34+CF34+CM34</f>
        <v>0</v>
      </c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128" t="n">
        <v>8</v>
      </c>
      <c r="AB34" s="128" t="n">
        <v>2</v>
      </c>
      <c r="AC34" s="131" t="s">
        <v>390</v>
      </c>
      <c r="AD34" s="131" t="s">
        <v>391</v>
      </c>
      <c r="AE34" s="131" t="s">
        <v>383</v>
      </c>
      <c r="AF34" s="131" t="s">
        <v>384</v>
      </c>
      <c r="AG34" s="131" t="s">
        <v>399</v>
      </c>
      <c r="AH34" s="16"/>
      <c r="AI34" s="16"/>
      <c r="AJ34" s="16"/>
      <c r="AK34" s="16"/>
      <c r="AL34" s="16"/>
      <c r="AM34" s="16"/>
      <c r="AN34" s="16"/>
      <c r="AO34" s="128" t="n">
        <v>8</v>
      </c>
      <c r="AP34" s="128" t="n">
        <v>1</v>
      </c>
      <c r="AQ34" s="131" t="s">
        <v>390</v>
      </c>
      <c r="AR34" s="131" t="s">
        <v>391</v>
      </c>
      <c r="AS34" s="131" t="s">
        <v>383</v>
      </c>
      <c r="AT34" s="131" t="s">
        <v>384</v>
      </c>
      <c r="AU34" s="131" t="s">
        <v>399</v>
      </c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28"/>
      <c r="BL34" s="131"/>
      <c r="BM34" s="131"/>
      <c r="BN34" s="131"/>
      <c r="BO34" s="131"/>
      <c r="BP34" s="133"/>
      <c r="BQ34" s="131"/>
      <c r="BR34" s="131"/>
      <c r="BS34" s="131"/>
      <c r="BT34" s="131"/>
      <c r="BU34" s="131"/>
      <c r="BV34" s="131"/>
      <c r="BW34" s="133"/>
      <c r="BX34" s="128" t="n">
        <v>8</v>
      </c>
      <c r="BY34" s="128" t="n">
        <v>1</v>
      </c>
      <c r="BZ34" s="131" t="s">
        <v>441</v>
      </c>
      <c r="CA34" s="131" t="s">
        <v>442</v>
      </c>
      <c r="CB34" s="131" t="s">
        <v>469</v>
      </c>
      <c r="CC34" s="131" t="s">
        <v>470</v>
      </c>
      <c r="CD34" s="131" t="s">
        <v>458</v>
      </c>
      <c r="CE34" s="134"/>
      <c r="CF34" s="128"/>
      <c r="CG34" s="131"/>
      <c r="CH34" s="131"/>
      <c r="CI34" s="131"/>
      <c r="CJ34" s="131"/>
      <c r="CK34" s="131"/>
      <c r="CL34" s="131"/>
      <c r="CM34" s="128"/>
      <c r="CN34" s="131"/>
      <c r="CO34" s="131"/>
      <c r="CP34" s="131"/>
      <c r="CQ34" s="131"/>
      <c r="CR34" s="131"/>
    </row>
    <row r="35" customFormat="false" ht="12.8" hidden="false" customHeight="false" outlineLevel="0" collapsed="false">
      <c r="A35" s="16" t="s">
        <v>52</v>
      </c>
      <c r="B35" s="16" t="s">
        <v>158</v>
      </c>
      <c r="C35" s="16" t="s">
        <v>159</v>
      </c>
      <c r="D35" s="16" t="s">
        <v>161</v>
      </c>
      <c r="E35" s="140" t="s">
        <v>87</v>
      </c>
      <c r="F35" s="16" t="s">
        <v>126</v>
      </c>
      <c r="G35" s="16"/>
      <c r="H35" s="16"/>
      <c r="I35" s="39"/>
      <c r="J35" s="39" t="n">
        <v>3500</v>
      </c>
      <c r="K35" s="42" t="n">
        <v>13710</v>
      </c>
      <c r="L35" s="50" t="n">
        <v>5</v>
      </c>
      <c r="M35" s="41"/>
      <c r="N35" s="37"/>
      <c r="O35" s="44" t="n">
        <f aca="false">IF(Y35,1,0)+AB35+AI35+AP35+AW35+BD35+BK35+BR35+BY35+CF35+CM35</f>
        <v>0</v>
      </c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31"/>
      <c r="AP35" s="128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28"/>
      <c r="BL35" s="131"/>
      <c r="BM35" s="131"/>
      <c r="BN35" s="131"/>
      <c r="BO35" s="131"/>
      <c r="BP35" s="133"/>
      <c r="BQ35" s="131"/>
      <c r="BR35" s="131"/>
      <c r="BS35" s="131"/>
      <c r="BT35" s="131"/>
      <c r="BU35" s="131"/>
      <c r="BV35" s="131"/>
      <c r="BW35" s="133"/>
      <c r="BX35" s="131"/>
      <c r="BY35" s="128"/>
      <c r="BZ35" s="131"/>
      <c r="CA35" s="131"/>
      <c r="CB35" s="131"/>
      <c r="CC35" s="131"/>
      <c r="CD35" s="131"/>
      <c r="CE35" s="134"/>
      <c r="CF35" s="128"/>
      <c r="CG35" s="131"/>
      <c r="CH35" s="131"/>
      <c r="CI35" s="131"/>
      <c r="CJ35" s="131"/>
      <c r="CK35" s="131"/>
      <c r="CL35" s="131"/>
      <c r="CM35" s="128"/>
      <c r="CN35" s="131"/>
      <c r="CO35" s="131"/>
      <c r="CP35" s="131"/>
      <c r="CQ35" s="131"/>
      <c r="CR35" s="131"/>
    </row>
    <row r="36" customFormat="false" ht="12.8" hidden="false" customHeight="false" outlineLevel="0" collapsed="false">
      <c r="A36" s="16" t="s">
        <v>52</v>
      </c>
      <c r="B36" s="16" t="s">
        <v>158</v>
      </c>
      <c r="C36" s="16" t="s">
        <v>159</v>
      </c>
      <c r="D36" s="16" t="s">
        <v>162</v>
      </c>
      <c r="E36" s="140" t="s">
        <v>88</v>
      </c>
      <c r="F36" s="16" t="s">
        <v>163</v>
      </c>
      <c r="G36" s="16"/>
      <c r="H36" s="16"/>
      <c r="I36" s="39"/>
      <c r="J36" s="39" t="n">
        <v>3500</v>
      </c>
      <c r="K36" s="42" t="n">
        <v>13710</v>
      </c>
      <c r="L36" s="50" t="n">
        <v>5</v>
      </c>
      <c r="M36" s="41"/>
      <c r="N36" s="37"/>
      <c r="O36" s="44" t="n">
        <f aca="false">IF(Y36,1,0)+AB36+AI36+AP36+AW36+BD36+BK36+BR36+BY36+CF36+CM36</f>
        <v>0</v>
      </c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31"/>
      <c r="AP36" s="128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28"/>
      <c r="BL36" s="131"/>
      <c r="BM36" s="131"/>
      <c r="BN36" s="131"/>
      <c r="BO36" s="131"/>
      <c r="BP36" s="133"/>
      <c r="BQ36" s="131"/>
      <c r="BR36" s="131"/>
      <c r="BS36" s="131"/>
      <c r="BT36" s="131"/>
      <c r="BU36" s="131"/>
      <c r="BV36" s="131"/>
      <c r="BW36" s="133"/>
      <c r="BX36" s="131"/>
      <c r="BY36" s="128"/>
      <c r="BZ36" s="131"/>
      <c r="CA36" s="131"/>
      <c r="CB36" s="131"/>
      <c r="CC36" s="131"/>
      <c r="CD36" s="131"/>
      <c r="CE36" s="134"/>
      <c r="CF36" s="128"/>
      <c r="CG36" s="131"/>
      <c r="CH36" s="131"/>
      <c r="CI36" s="131"/>
      <c r="CJ36" s="131"/>
      <c r="CK36" s="131"/>
      <c r="CL36" s="131"/>
      <c r="CM36" s="128"/>
      <c r="CN36" s="131"/>
      <c r="CO36" s="131"/>
      <c r="CP36" s="131"/>
      <c r="CQ36" s="131"/>
      <c r="CR36" s="131"/>
    </row>
    <row r="37" customFormat="false" ht="12.8" hidden="false" customHeight="false" outlineLevel="0" collapsed="false">
      <c r="A37" s="16" t="s">
        <v>52</v>
      </c>
      <c r="B37" s="17" t="s">
        <v>81</v>
      </c>
      <c r="C37" s="17" t="s">
        <v>174</v>
      </c>
      <c r="D37" s="16" t="s">
        <v>175</v>
      </c>
      <c r="E37" s="140" t="s">
        <v>89</v>
      </c>
      <c r="F37" s="16" t="s">
        <v>176</v>
      </c>
      <c r="G37" s="16"/>
      <c r="H37" s="16"/>
      <c r="I37" s="39"/>
      <c r="J37" s="39" t="n">
        <v>3500</v>
      </c>
      <c r="K37" s="42" t="n">
        <v>15120</v>
      </c>
      <c r="L37" s="50" t="n">
        <v>5</v>
      </c>
      <c r="M37" s="41"/>
      <c r="N37" s="37" t="n">
        <v>3</v>
      </c>
      <c r="O37" s="44" t="n">
        <f aca="false">IF(Y37,1,0)+AB37+AI37+AP37+AW37+BD37+BK37+BR37+BY37+CF37+CM37</f>
        <v>0</v>
      </c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128" t="n">
        <v>8</v>
      </c>
      <c r="AB37" s="128" t="n">
        <v>2</v>
      </c>
      <c r="AC37" s="131" t="s">
        <v>390</v>
      </c>
      <c r="AD37" s="131" t="s">
        <v>391</v>
      </c>
      <c r="AE37" s="131" t="s">
        <v>383</v>
      </c>
      <c r="AF37" s="131" t="s">
        <v>384</v>
      </c>
      <c r="AG37" s="131" t="s">
        <v>399</v>
      </c>
      <c r="AH37" s="130" t="s">
        <v>464</v>
      </c>
      <c r="AI37" s="128" t="n">
        <v>2</v>
      </c>
      <c r="AJ37" s="130" t="s">
        <v>465</v>
      </c>
      <c r="AK37" s="130" t="s">
        <v>466</v>
      </c>
      <c r="AL37" s="130" t="s">
        <v>454</v>
      </c>
      <c r="AM37" s="16"/>
      <c r="AN37" s="16"/>
      <c r="AO37" s="131"/>
      <c r="AP37" s="128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28"/>
      <c r="BL37" s="131"/>
      <c r="BM37" s="131"/>
      <c r="BN37" s="131"/>
      <c r="BO37" s="131"/>
      <c r="BP37" s="133"/>
      <c r="BQ37" s="131"/>
      <c r="BR37" s="131"/>
      <c r="BS37" s="131"/>
      <c r="BT37" s="131"/>
      <c r="BU37" s="131"/>
      <c r="BV37" s="131"/>
      <c r="BW37" s="133"/>
      <c r="BX37" s="131"/>
      <c r="BY37" s="128"/>
      <c r="BZ37" s="131"/>
      <c r="CA37" s="131"/>
      <c r="CB37" s="131"/>
      <c r="CC37" s="131"/>
      <c r="CD37" s="131"/>
      <c r="CE37" s="134"/>
      <c r="CF37" s="128"/>
      <c r="CG37" s="131"/>
      <c r="CH37" s="131"/>
      <c r="CI37" s="131"/>
      <c r="CJ37" s="131"/>
      <c r="CK37" s="131"/>
      <c r="CL37" s="131"/>
      <c r="CM37" s="128"/>
      <c r="CN37" s="131"/>
      <c r="CO37" s="131"/>
      <c r="CP37" s="131"/>
      <c r="CQ37" s="131"/>
      <c r="CR37" s="131"/>
    </row>
    <row r="38" customFormat="false" ht="12.8" hidden="false" customHeight="false" outlineLevel="0" collapsed="false">
      <c r="A38" s="16" t="s">
        <v>52</v>
      </c>
      <c r="B38" s="17" t="s">
        <v>81</v>
      </c>
      <c r="C38" s="16" t="s">
        <v>174</v>
      </c>
      <c r="D38" s="16" t="s">
        <v>177</v>
      </c>
      <c r="E38" s="140" t="s">
        <v>87</v>
      </c>
      <c r="F38" s="16" t="s">
        <v>178</v>
      </c>
      <c r="G38" s="16"/>
      <c r="H38" s="16"/>
      <c r="I38" s="39"/>
      <c r="J38" s="39" t="n">
        <v>3500</v>
      </c>
      <c r="K38" s="42" t="n">
        <v>13710</v>
      </c>
      <c r="L38" s="50" t="n">
        <v>5</v>
      </c>
      <c r="M38" s="41"/>
      <c r="N38" s="37"/>
      <c r="O38" s="44" t="n">
        <f aca="false">IF(Y38,1,0)+AB38+AI38+AP38+AW38+BD38+BK38+BR38+BY38+CF38+CM38</f>
        <v>0</v>
      </c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31"/>
      <c r="AP38" s="128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28"/>
      <c r="BL38" s="131"/>
      <c r="BM38" s="131"/>
      <c r="BN38" s="131"/>
      <c r="BO38" s="131"/>
      <c r="BP38" s="133"/>
      <c r="BQ38" s="131"/>
      <c r="BR38" s="131"/>
      <c r="BS38" s="131"/>
      <c r="BT38" s="131"/>
      <c r="BU38" s="131"/>
      <c r="BV38" s="131"/>
      <c r="BW38" s="133"/>
      <c r="BX38" s="131"/>
      <c r="BY38" s="128"/>
      <c r="BZ38" s="131"/>
      <c r="CA38" s="131"/>
      <c r="CB38" s="131"/>
      <c r="CC38" s="131"/>
      <c r="CD38" s="131"/>
      <c r="CE38" s="134"/>
      <c r="CF38" s="128"/>
      <c r="CG38" s="131"/>
      <c r="CH38" s="131"/>
      <c r="CI38" s="131"/>
      <c r="CJ38" s="131"/>
      <c r="CK38" s="131"/>
      <c r="CL38" s="131"/>
      <c r="CM38" s="128"/>
      <c r="CN38" s="131"/>
      <c r="CO38" s="131"/>
      <c r="CP38" s="131"/>
      <c r="CQ38" s="131"/>
      <c r="CR38" s="131"/>
    </row>
    <row r="39" customFormat="false" ht="12.8" hidden="false" customHeight="false" outlineLevel="0" collapsed="false">
      <c r="A39" s="16" t="s">
        <v>52</v>
      </c>
      <c r="B39" s="17" t="s">
        <v>81</v>
      </c>
      <c r="C39" s="17" t="s">
        <v>174</v>
      </c>
      <c r="D39" s="16" t="s">
        <v>179</v>
      </c>
      <c r="E39" s="140" t="s">
        <v>88</v>
      </c>
      <c r="F39" s="16" t="s">
        <v>180</v>
      </c>
      <c r="G39" s="16"/>
      <c r="H39" s="16"/>
      <c r="I39" s="39"/>
      <c r="J39" s="39" t="n">
        <v>3500</v>
      </c>
      <c r="K39" s="42" t="n">
        <v>15620</v>
      </c>
      <c r="L39" s="50" t="n">
        <v>40</v>
      </c>
      <c r="M39" s="41"/>
      <c r="N39" s="37"/>
      <c r="O39" s="44" t="n">
        <f aca="false">IF(Y39,1,0)+AB39+AI39+AP39+AW39+BD39+BK39+BR39+BY39+CF39+CM39</f>
        <v>0</v>
      </c>
      <c r="P39" s="41" t="n">
        <v>-0.1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31"/>
      <c r="AP39" s="128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1"/>
      <c r="BK39" s="128"/>
      <c r="BL39" s="131"/>
      <c r="BM39" s="131"/>
      <c r="BN39" s="131"/>
      <c r="BO39" s="131"/>
      <c r="BP39" s="133"/>
      <c r="BQ39" s="131"/>
      <c r="BR39" s="131"/>
      <c r="BS39" s="131"/>
      <c r="BT39" s="131"/>
      <c r="BU39" s="131"/>
      <c r="BV39" s="131"/>
      <c r="BW39" s="133"/>
      <c r="BX39" s="131"/>
      <c r="BY39" s="128"/>
      <c r="BZ39" s="131"/>
      <c r="CA39" s="131"/>
      <c r="CB39" s="131"/>
      <c r="CC39" s="131"/>
      <c r="CD39" s="131"/>
      <c r="CE39" s="134"/>
      <c r="CF39" s="128"/>
      <c r="CG39" s="131"/>
      <c r="CH39" s="131"/>
      <c r="CI39" s="131"/>
      <c r="CJ39" s="131"/>
      <c r="CK39" s="131"/>
      <c r="CL39" s="131"/>
      <c r="CM39" s="128"/>
      <c r="CN39" s="131"/>
      <c r="CO39" s="131"/>
      <c r="CP39" s="131"/>
      <c r="CQ39" s="131"/>
      <c r="CR39" s="131"/>
    </row>
    <row r="40" customFormat="false" ht="12.8" hidden="false" customHeight="false" outlineLevel="0" collapsed="false">
      <c r="A40" s="16" t="s">
        <v>52</v>
      </c>
      <c r="B40" s="17" t="s">
        <v>98</v>
      </c>
      <c r="C40" s="16" t="s">
        <v>140</v>
      </c>
      <c r="D40" s="16" t="s">
        <v>141</v>
      </c>
      <c r="E40" s="140" t="s">
        <v>89</v>
      </c>
      <c r="F40" s="16" t="s">
        <v>116</v>
      </c>
      <c r="G40" s="16"/>
      <c r="H40" s="16"/>
      <c r="I40" s="39"/>
      <c r="J40" s="39" t="n">
        <v>3500</v>
      </c>
      <c r="K40" s="42" t="n">
        <v>9650</v>
      </c>
      <c r="L40" s="50" t="n">
        <v>5</v>
      </c>
      <c r="M40" s="41"/>
      <c r="N40" s="37" t="n">
        <v>2</v>
      </c>
      <c r="O40" s="44" t="n">
        <f aca="false">IF(Y40,1,0)+AB40+AI40+AP40+AW40+BD40+BK40+BR40+BY40+CF40+CM40</f>
        <v>0</v>
      </c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128" t="n">
        <v>8</v>
      </c>
      <c r="AB40" s="128" t="n">
        <v>1</v>
      </c>
      <c r="AC40" s="131" t="s">
        <v>390</v>
      </c>
      <c r="AD40" s="131" t="s">
        <v>391</v>
      </c>
      <c r="AE40" s="131" t="s">
        <v>383</v>
      </c>
      <c r="AF40" s="131" t="s">
        <v>384</v>
      </c>
      <c r="AG40" s="131" t="s">
        <v>399</v>
      </c>
      <c r="AH40" s="16"/>
      <c r="AI40" s="16"/>
      <c r="AJ40" s="16"/>
      <c r="AK40" s="16"/>
      <c r="AL40" s="16"/>
      <c r="AM40" s="16"/>
      <c r="AN40" s="16"/>
      <c r="AO40" s="128" t="n">
        <v>8</v>
      </c>
      <c r="AP40" s="128" t="n">
        <v>1</v>
      </c>
      <c r="AQ40" s="131" t="s">
        <v>390</v>
      </c>
      <c r="AR40" s="131" t="s">
        <v>391</v>
      </c>
      <c r="AS40" s="131" t="s">
        <v>383</v>
      </c>
      <c r="AT40" s="131" t="s">
        <v>384</v>
      </c>
      <c r="AU40" s="131" t="s">
        <v>399</v>
      </c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28"/>
      <c r="BL40" s="131"/>
      <c r="BM40" s="131"/>
      <c r="BN40" s="131"/>
      <c r="BO40" s="131"/>
      <c r="BP40" s="133"/>
      <c r="BQ40" s="131"/>
      <c r="BR40" s="131"/>
      <c r="BS40" s="131"/>
      <c r="BT40" s="131"/>
      <c r="BU40" s="131"/>
      <c r="BV40" s="131"/>
      <c r="BW40" s="133"/>
      <c r="BX40" s="128" t="n">
        <v>8</v>
      </c>
      <c r="BY40" s="128" t="n">
        <v>1</v>
      </c>
      <c r="BZ40" s="131" t="s">
        <v>441</v>
      </c>
      <c r="CA40" s="131" t="s">
        <v>442</v>
      </c>
      <c r="CB40" s="131" t="s">
        <v>469</v>
      </c>
      <c r="CC40" s="131" t="s">
        <v>470</v>
      </c>
      <c r="CD40" s="131" t="s">
        <v>458</v>
      </c>
      <c r="CE40" s="134"/>
      <c r="CF40" s="128"/>
      <c r="CG40" s="131"/>
      <c r="CH40" s="131"/>
      <c r="CI40" s="131"/>
      <c r="CJ40" s="131"/>
      <c r="CK40" s="131"/>
      <c r="CL40" s="131"/>
      <c r="CM40" s="128"/>
      <c r="CN40" s="131"/>
      <c r="CO40" s="131"/>
      <c r="CP40" s="131"/>
      <c r="CQ40" s="131"/>
      <c r="CR40" s="131"/>
    </row>
    <row r="41" customFormat="false" ht="12.8" hidden="false" customHeight="false" outlineLevel="0" collapsed="false">
      <c r="A41" s="16" t="s">
        <v>52</v>
      </c>
      <c r="B41" s="16" t="s">
        <v>98</v>
      </c>
      <c r="C41" s="16" t="s">
        <v>140</v>
      </c>
      <c r="D41" s="16" t="s">
        <v>142</v>
      </c>
      <c r="E41" s="140" t="s">
        <v>87</v>
      </c>
      <c r="F41" s="16" t="s">
        <v>143</v>
      </c>
      <c r="G41" s="16"/>
      <c r="H41" s="16"/>
      <c r="I41" s="39"/>
      <c r="J41" s="39" t="n">
        <v>3500</v>
      </c>
      <c r="K41" s="42" t="n">
        <v>9650</v>
      </c>
      <c r="L41" s="50" t="n">
        <v>5</v>
      </c>
      <c r="M41" s="41"/>
      <c r="N41" s="37"/>
      <c r="O41" s="44" t="n">
        <f aca="false">IF(Y41,1,0)+AB41+AI41+AP41+AW41+BD41+BK41+BR41+BY41+CF41+CM41</f>
        <v>0</v>
      </c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31"/>
      <c r="AP41" s="128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28"/>
      <c r="BL41" s="131"/>
      <c r="BM41" s="131"/>
      <c r="BN41" s="131"/>
      <c r="BO41" s="131"/>
      <c r="BP41" s="133"/>
      <c r="BQ41" s="131"/>
      <c r="BR41" s="131"/>
      <c r="BS41" s="131"/>
      <c r="BT41" s="131"/>
      <c r="BU41" s="131"/>
      <c r="BV41" s="131"/>
      <c r="BW41" s="133"/>
      <c r="BX41" s="131"/>
      <c r="BY41" s="128"/>
      <c r="BZ41" s="131"/>
      <c r="CA41" s="131"/>
      <c r="CB41" s="131"/>
      <c r="CC41" s="131"/>
      <c r="CD41" s="131"/>
      <c r="CE41" s="134"/>
      <c r="CF41" s="128"/>
      <c r="CG41" s="131"/>
      <c r="CH41" s="131"/>
      <c r="CI41" s="131"/>
      <c r="CJ41" s="131"/>
      <c r="CK41" s="131"/>
      <c r="CL41" s="131"/>
      <c r="CM41" s="128"/>
      <c r="CN41" s="131"/>
      <c r="CO41" s="131"/>
      <c r="CP41" s="131"/>
      <c r="CQ41" s="131"/>
      <c r="CR41" s="131"/>
    </row>
    <row r="42" customFormat="false" ht="12.8" hidden="false" customHeight="false" outlineLevel="0" collapsed="false">
      <c r="A42" s="16" t="s">
        <v>52</v>
      </c>
      <c r="B42" s="16" t="s">
        <v>98</v>
      </c>
      <c r="C42" s="16" t="s">
        <v>140</v>
      </c>
      <c r="D42" s="16" t="s">
        <v>144</v>
      </c>
      <c r="E42" s="140" t="s">
        <v>88</v>
      </c>
      <c r="F42" s="16" t="s">
        <v>145</v>
      </c>
      <c r="G42" s="16"/>
      <c r="H42" s="16"/>
      <c r="I42" s="39"/>
      <c r="J42" s="39" t="n">
        <v>3500</v>
      </c>
      <c r="K42" s="42" t="n">
        <v>9650</v>
      </c>
      <c r="L42" s="50" t="n">
        <v>5</v>
      </c>
      <c r="M42" s="41"/>
      <c r="N42" s="37"/>
      <c r="O42" s="44" t="n">
        <f aca="false">IF(Y42,1,0)+AB42+AI42+AP42+AW42+BD42+BK42+BR42+BY42+CF42+CM42</f>
        <v>0</v>
      </c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31"/>
      <c r="AP42" s="128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28"/>
      <c r="BL42" s="131"/>
      <c r="BM42" s="131"/>
      <c r="BN42" s="131"/>
      <c r="BO42" s="131"/>
      <c r="BP42" s="133"/>
      <c r="BQ42" s="131"/>
      <c r="BR42" s="131"/>
      <c r="BS42" s="131"/>
      <c r="BT42" s="131"/>
      <c r="BU42" s="131"/>
      <c r="BV42" s="131"/>
      <c r="BW42" s="133"/>
      <c r="BX42" s="131"/>
      <c r="BY42" s="128"/>
      <c r="BZ42" s="131"/>
      <c r="CA42" s="131"/>
      <c r="CB42" s="131"/>
      <c r="CC42" s="131"/>
      <c r="CD42" s="131"/>
      <c r="CE42" s="134"/>
      <c r="CF42" s="128"/>
      <c r="CG42" s="131"/>
      <c r="CH42" s="131"/>
      <c r="CI42" s="131"/>
      <c r="CJ42" s="131"/>
      <c r="CK42" s="131"/>
      <c r="CL42" s="131"/>
      <c r="CM42" s="128"/>
      <c r="CN42" s="131"/>
      <c r="CO42" s="131"/>
      <c r="CP42" s="131"/>
      <c r="CQ42" s="131"/>
      <c r="CR42" s="131"/>
    </row>
    <row r="43" customFormat="false" ht="12.8" hidden="false" customHeight="false" outlineLevel="0" collapsed="false">
      <c r="A43" s="16" t="s">
        <v>52</v>
      </c>
      <c r="B43" s="16" t="s">
        <v>98</v>
      </c>
      <c r="C43" s="16" t="s">
        <v>132</v>
      </c>
      <c r="D43" s="16" t="s">
        <v>133</v>
      </c>
      <c r="E43" s="140" t="s">
        <v>89</v>
      </c>
      <c r="F43" s="16" t="s">
        <v>134</v>
      </c>
      <c r="G43" s="16"/>
      <c r="H43" s="16"/>
      <c r="I43" s="39"/>
      <c r="J43" s="39" t="n">
        <v>3500</v>
      </c>
      <c r="K43" s="42" t="n">
        <v>7640</v>
      </c>
      <c r="L43" s="50" t="n">
        <v>5</v>
      </c>
      <c r="M43" s="41"/>
      <c r="N43" s="37" t="n">
        <v>3</v>
      </c>
      <c r="O43" s="44" t="n">
        <f aca="false">IF(Y43,1,0)+AB43+AI43+AP43+AW43+BD43+BK43+BR43+BY43+CF43+CM43</f>
        <v>0</v>
      </c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128" t="n">
        <v>8</v>
      </c>
      <c r="AB43" s="128" t="n">
        <v>2</v>
      </c>
      <c r="AC43" s="131" t="s">
        <v>390</v>
      </c>
      <c r="AD43" s="131" t="s">
        <v>391</v>
      </c>
      <c r="AE43" s="131" t="s">
        <v>383</v>
      </c>
      <c r="AF43" s="131" t="s">
        <v>384</v>
      </c>
      <c r="AG43" s="131" t="s">
        <v>399</v>
      </c>
      <c r="AH43" s="130" t="s">
        <v>464</v>
      </c>
      <c r="AI43" s="128" t="n">
        <v>1</v>
      </c>
      <c r="AJ43" s="130" t="s">
        <v>465</v>
      </c>
      <c r="AK43" s="130" t="s">
        <v>466</v>
      </c>
      <c r="AL43" s="130" t="s">
        <v>454</v>
      </c>
      <c r="AM43" s="16"/>
      <c r="AN43" s="16"/>
      <c r="AO43" s="128" t="n">
        <v>8</v>
      </c>
      <c r="AP43" s="128" t="n">
        <v>1</v>
      </c>
      <c r="AQ43" s="131" t="s">
        <v>390</v>
      </c>
      <c r="AR43" s="131" t="s">
        <v>391</v>
      </c>
      <c r="AS43" s="131" t="s">
        <v>383</v>
      </c>
      <c r="AT43" s="131" t="s">
        <v>384</v>
      </c>
      <c r="AU43" s="131" t="s">
        <v>399</v>
      </c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31"/>
      <c r="BJ43" s="131"/>
      <c r="BK43" s="128"/>
      <c r="BL43" s="131"/>
      <c r="BM43" s="131"/>
      <c r="BN43" s="131"/>
      <c r="BO43" s="131"/>
      <c r="BP43" s="133"/>
      <c r="BQ43" s="131"/>
      <c r="BR43" s="131"/>
      <c r="BS43" s="131"/>
      <c r="BT43" s="131"/>
      <c r="BU43" s="131"/>
      <c r="BV43" s="131"/>
      <c r="BW43" s="133"/>
      <c r="BX43" s="131"/>
      <c r="BY43" s="128"/>
      <c r="BZ43" s="131"/>
      <c r="CA43" s="131"/>
      <c r="CB43" s="131"/>
      <c r="CC43" s="131"/>
      <c r="CD43" s="131"/>
      <c r="CE43" s="134"/>
      <c r="CF43" s="128"/>
      <c r="CG43" s="131"/>
      <c r="CH43" s="131"/>
      <c r="CI43" s="131"/>
      <c r="CJ43" s="131"/>
      <c r="CK43" s="131"/>
      <c r="CL43" s="131"/>
      <c r="CM43" s="128"/>
      <c r="CN43" s="131"/>
      <c r="CO43" s="131"/>
      <c r="CP43" s="131"/>
      <c r="CQ43" s="131"/>
      <c r="CR43" s="131"/>
    </row>
    <row r="44" customFormat="false" ht="12.8" hidden="false" customHeight="false" outlineLevel="0" collapsed="false">
      <c r="A44" s="16" t="s">
        <v>52</v>
      </c>
      <c r="B44" s="16" t="s">
        <v>98</v>
      </c>
      <c r="C44" s="16" t="s">
        <v>132</v>
      </c>
      <c r="D44" s="16" t="s">
        <v>136</v>
      </c>
      <c r="E44" s="140" t="s">
        <v>87</v>
      </c>
      <c r="F44" s="16" t="s">
        <v>137</v>
      </c>
      <c r="G44" s="16"/>
      <c r="H44" s="16"/>
      <c r="I44" s="39"/>
      <c r="J44" s="39" t="n">
        <v>3500</v>
      </c>
      <c r="K44" s="42" t="n">
        <v>9000</v>
      </c>
      <c r="L44" s="50" t="n">
        <v>5</v>
      </c>
      <c r="M44" s="41"/>
      <c r="N44" s="37"/>
      <c r="O44" s="44" t="n">
        <f aca="false">IF(Y44,1,0)+AB44+AI44+AP44+AW44+BD44+BK44+BR44+BY44+CF44+CM44</f>
        <v>0</v>
      </c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31"/>
      <c r="AP44" s="128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131"/>
      <c r="BI44" s="131"/>
      <c r="BJ44" s="131"/>
      <c r="BK44" s="128"/>
      <c r="BL44" s="131"/>
      <c r="BM44" s="131"/>
      <c r="BN44" s="131"/>
      <c r="BO44" s="131"/>
      <c r="BP44" s="133"/>
      <c r="BQ44" s="131"/>
      <c r="BR44" s="131"/>
      <c r="BS44" s="131"/>
      <c r="BT44" s="131"/>
      <c r="BU44" s="131"/>
      <c r="BV44" s="131"/>
      <c r="BW44" s="133"/>
      <c r="BX44" s="131"/>
      <c r="BY44" s="128"/>
      <c r="BZ44" s="131"/>
      <c r="CA44" s="131"/>
      <c r="CB44" s="131"/>
      <c r="CC44" s="131"/>
      <c r="CD44" s="131"/>
      <c r="CE44" s="134"/>
      <c r="CF44" s="128"/>
      <c r="CG44" s="131"/>
      <c r="CH44" s="131"/>
      <c r="CI44" s="131"/>
      <c r="CJ44" s="131"/>
      <c r="CK44" s="131"/>
      <c r="CL44" s="131"/>
      <c r="CM44" s="128"/>
      <c r="CN44" s="131"/>
      <c r="CO44" s="131"/>
      <c r="CP44" s="131"/>
      <c r="CQ44" s="131"/>
      <c r="CR44" s="131"/>
    </row>
    <row r="45" customFormat="false" ht="12.8" hidden="false" customHeight="false" outlineLevel="0" collapsed="false">
      <c r="A45" s="16" t="s">
        <v>52</v>
      </c>
      <c r="B45" s="16" t="s">
        <v>98</v>
      </c>
      <c r="C45" s="16" t="s">
        <v>132</v>
      </c>
      <c r="D45" s="16" t="s">
        <v>138</v>
      </c>
      <c r="E45" s="140" t="s">
        <v>88</v>
      </c>
      <c r="F45" s="17" t="s">
        <v>139</v>
      </c>
      <c r="G45" s="16"/>
      <c r="H45" s="16"/>
      <c r="I45" s="39"/>
      <c r="J45" s="39" t="n">
        <v>3500</v>
      </c>
      <c r="K45" s="42" t="n">
        <v>8940</v>
      </c>
      <c r="L45" s="50" t="n">
        <v>5</v>
      </c>
      <c r="M45" s="41"/>
      <c r="N45" s="37" t="n">
        <v>3</v>
      </c>
      <c r="O45" s="44" t="n">
        <f aca="false">IF(Y45,1,0)+AB45+AI45+AP45+AW45+BD45+BK45+BR45+BY45+CF45+CM45</f>
        <v>0</v>
      </c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31"/>
      <c r="AP45" s="128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28"/>
      <c r="BL45" s="131"/>
      <c r="BM45" s="131"/>
      <c r="BN45" s="131"/>
      <c r="BO45" s="131"/>
      <c r="BP45" s="133"/>
      <c r="BQ45" s="131"/>
      <c r="BR45" s="131"/>
      <c r="BS45" s="131"/>
      <c r="BT45" s="131"/>
      <c r="BU45" s="131"/>
      <c r="BV45" s="131"/>
      <c r="BW45" s="133"/>
      <c r="BX45" s="131"/>
      <c r="BY45" s="128"/>
      <c r="BZ45" s="131"/>
      <c r="CA45" s="131"/>
      <c r="CB45" s="131"/>
      <c r="CC45" s="131"/>
      <c r="CD45" s="131"/>
      <c r="CE45" s="134"/>
      <c r="CF45" s="128"/>
      <c r="CG45" s="131"/>
      <c r="CH45" s="131"/>
      <c r="CI45" s="131"/>
      <c r="CJ45" s="131"/>
      <c r="CK45" s="131"/>
      <c r="CL45" s="131"/>
      <c r="CM45" s="128"/>
      <c r="CN45" s="131"/>
      <c r="CO45" s="131"/>
      <c r="CP45" s="131"/>
      <c r="CQ45" s="131"/>
      <c r="CR45" s="131"/>
    </row>
    <row r="46" customFormat="false" ht="12.8" hidden="false" customHeight="false" outlineLevel="0" collapsed="false">
      <c r="A46" s="16" t="s">
        <v>52</v>
      </c>
      <c r="B46" s="16" t="s">
        <v>158</v>
      </c>
      <c r="C46" s="16" t="s">
        <v>168</v>
      </c>
      <c r="D46" s="16" t="s">
        <v>169</v>
      </c>
      <c r="E46" s="140" t="s">
        <v>89</v>
      </c>
      <c r="F46" s="16" t="s">
        <v>170</v>
      </c>
      <c r="G46" s="16"/>
      <c r="H46" s="16"/>
      <c r="I46" s="39"/>
      <c r="J46" s="39" t="n">
        <v>3500</v>
      </c>
      <c r="K46" s="42" t="n">
        <v>8270</v>
      </c>
      <c r="L46" s="50" t="n">
        <v>5</v>
      </c>
      <c r="M46" s="41"/>
      <c r="N46" s="37" t="n">
        <v>4</v>
      </c>
      <c r="O46" s="44" t="n">
        <f aca="false">IF(Y46,1,0)+AB46+AI46+AP46+AW46+BD46+BK46+BR46+BY46+CF46+CM46</f>
        <v>0</v>
      </c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128" t="n">
        <v>8</v>
      </c>
      <c r="AB46" s="128" t="n">
        <v>2</v>
      </c>
      <c r="AC46" s="131" t="s">
        <v>390</v>
      </c>
      <c r="AD46" s="131" t="s">
        <v>391</v>
      </c>
      <c r="AE46" s="131" t="s">
        <v>383</v>
      </c>
      <c r="AF46" s="131" t="s">
        <v>384</v>
      </c>
      <c r="AG46" s="131" t="s">
        <v>399</v>
      </c>
      <c r="AH46" s="130" t="s">
        <v>464</v>
      </c>
      <c r="AI46" s="128" t="n">
        <v>2</v>
      </c>
      <c r="AJ46" s="130" t="s">
        <v>465</v>
      </c>
      <c r="AK46" s="130" t="s">
        <v>466</v>
      </c>
      <c r="AL46" s="130" t="s">
        <v>454</v>
      </c>
      <c r="AM46" s="16"/>
      <c r="AN46" s="16"/>
      <c r="AO46" s="128" t="n">
        <v>8</v>
      </c>
      <c r="AP46" s="128" t="n">
        <v>1</v>
      </c>
      <c r="AQ46" s="131" t="s">
        <v>471</v>
      </c>
      <c r="AR46" s="131" t="s">
        <v>472</v>
      </c>
      <c r="AS46" s="131" t="s">
        <v>473</v>
      </c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131"/>
      <c r="BI46" s="131"/>
      <c r="BJ46" s="131"/>
      <c r="BK46" s="128"/>
      <c r="BL46" s="131"/>
      <c r="BM46" s="131"/>
      <c r="BN46" s="131"/>
      <c r="BO46" s="131"/>
      <c r="BP46" s="133"/>
      <c r="BQ46" s="131"/>
      <c r="BR46" s="131"/>
      <c r="BS46" s="131"/>
      <c r="BT46" s="131"/>
      <c r="BU46" s="131"/>
      <c r="BV46" s="131"/>
      <c r="BW46" s="133"/>
      <c r="BX46" s="131"/>
      <c r="BY46" s="128"/>
      <c r="BZ46" s="131"/>
      <c r="CA46" s="131"/>
      <c r="CB46" s="131"/>
      <c r="CC46" s="131"/>
      <c r="CD46" s="131"/>
      <c r="CE46" s="134"/>
      <c r="CF46" s="128"/>
      <c r="CG46" s="131"/>
      <c r="CH46" s="131"/>
      <c r="CI46" s="131"/>
      <c r="CJ46" s="131"/>
      <c r="CK46" s="131"/>
      <c r="CL46" s="131"/>
      <c r="CM46" s="128"/>
      <c r="CN46" s="131"/>
      <c r="CO46" s="131"/>
      <c r="CP46" s="131"/>
      <c r="CQ46" s="131"/>
      <c r="CR46" s="131"/>
    </row>
    <row r="47" customFormat="false" ht="12.8" hidden="false" customHeight="false" outlineLevel="0" collapsed="false">
      <c r="A47" s="16" t="s">
        <v>52</v>
      </c>
      <c r="B47" s="16" t="s">
        <v>158</v>
      </c>
      <c r="C47" s="16" t="s">
        <v>168</v>
      </c>
      <c r="D47" s="16" t="s">
        <v>162</v>
      </c>
      <c r="E47" s="140" t="s">
        <v>87</v>
      </c>
      <c r="F47" s="16" t="s">
        <v>163</v>
      </c>
      <c r="G47" s="16"/>
      <c r="H47" s="16"/>
      <c r="I47" s="39"/>
      <c r="J47" s="39" t="n">
        <v>3500</v>
      </c>
      <c r="K47" s="42" t="n">
        <v>8270</v>
      </c>
      <c r="L47" s="50" t="n">
        <v>5</v>
      </c>
      <c r="M47" s="41"/>
      <c r="N47" s="37" t="n">
        <v>4</v>
      </c>
      <c r="O47" s="44" t="n">
        <f aca="false">IF(Y47,1,0)+AB47+AI47+AP47+AW47+BD47+BK47+BR47+BY47+CF47+CM47</f>
        <v>0</v>
      </c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31"/>
      <c r="AP47" s="128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28"/>
      <c r="BL47" s="131"/>
      <c r="BM47" s="131"/>
      <c r="BN47" s="131"/>
      <c r="BO47" s="131"/>
      <c r="BP47" s="133"/>
      <c r="BQ47" s="131"/>
      <c r="BR47" s="131"/>
      <c r="BS47" s="131"/>
      <c r="BT47" s="131"/>
      <c r="BU47" s="131"/>
      <c r="BV47" s="131"/>
      <c r="BW47" s="133"/>
      <c r="BX47" s="131"/>
      <c r="BY47" s="128"/>
      <c r="BZ47" s="131"/>
      <c r="CA47" s="131"/>
      <c r="CB47" s="131"/>
      <c r="CC47" s="131"/>
      <c r="CD47" s="131"/>
      <c r="CE47" s="134"/>
      <c r="CF47" s="128"/>
      <c r="CG47" s="131"/>
      <c r="CH47" s="131"/>
      <c r="CI47" s="131"/>
      <c r="CJ47" s="131"/>
      <c r="CK47" s="131"/>
      <c r="CL47" s="131"/>
      <c r="CM47" s="128"/>
      <c r="CN47" s="131"/>
      <c r="CO47" s="131"/>
      <c r="CP47" s="131"/>
      <c r="CQ47" s="131"/>
      <c r="CR47" s="131"/>
    </row>
    <row r="48" customFormat="false" ht="12.8" hidden="false" customHeight="false" outlineLevel="0" collapsed="false">
      <c r="A48" s="16" t="s">
        <v>52</v>
      </c>
      <c r="B48" s="16" t="s">
        <v>158</v>
      </c>
      <c r="C48" s="16" t="s">
        <v>164</v>
      </c>
      <c r="D48" s="16" t="s">
        <v>161</v>
      </c>
      <c r="E48" s="140" t="s">
        <v>89</v>
      </c>
      <c r="F48" s="16" t="s">
        <v>165</v>
      </c>
      <c r="G48" s="16"/>
      <c r="H48" s="16"/>
      <c r="I48" s="39"/>
      <c r="J48" s="39" t="n">
        <v>3500</v>
      </c>
      <c r="K48" s="42" t="n">
        <v>11310</v>
      </c>
      <c r="L48" s="50" t="n">
        <v>5</v>
      </c>
      <c r="M48" s="41"/>
      <c r="N48" s="37" t="n">
        <v>3</v>
      </c>
      <c r="O48" s="44" t="n">
        <f aca="false">IF(Y48,1,0)+AB48+AI48+AP48+AW48+BD48+BK48+BR48+BY48+CF48+CM48</f>
        <v>0</v>
      </c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128" t="n">
        <v>8</v>
      </c>
      <c r="AB48" s="128" t="n">
        <v>2</v>
      </c>
      <c r="AC48" s="131" t="s">
        <v>390</v>
      </c>
      <c r="AD48" s="131" t="s">
        <v>391</v>
      </c>
      <c r="AE48" s="131" t="s">
        <v>383</v>
      </c>
      <c r="AF48" s="131" t="s">
        <v>384</v>
      </c>
      <c r="AG48" s="131" t="s">
        <v>399</v>
      </c>
      <c r="AH48" s="16"/>
      <c r="AI48" s="16"/>
      <c r="AJ48" s="16"/>
      <c r="AK48" s="16"/>
      <c r="AL48" s="16"/>
      <c r="AM48" s="16"/>
      <c r="AN48" s="16"/>
      <c r="AO48" s="128" t="n">
        <v>8</v>
      </c>
      <c r="AP48" s="128" t="n">
        <v>2</v>
      </c>
      <c r="AQ48" s="131" t="s">
        <v>390</v>
      </c>
      <c r="AR48" s="131" t="s">
        <v>391</v>
      </c>
      <c r="AS48" s="131" t="s">
        <v>383</v>
      </c>
      <c r="AT48" s="131" t="s">
        <v>384</v>
      </c>
      <c r="AU48" s="131" t="s">
        <v>399</v>
      </c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28"/>
      <c r="BL48" s="131"/>
      <c r="BM48" s="131"/>
      <c r="BN48" s="131"/>
      <c r="BO48" s="131"/>
      <c r="BP48" s="133"/>
      <c r="BQ48" s="131"/>
      <c r="BR48" s="131"/>
      <c r="BS48" s="131"/>
      <c r="BT48" s="131"/>
      <c r="BU48" s="131"/>
      <c r="BV48" s="131"/>
      <c r="BW48" s="133"/>
      <c r="BX48" s="131"/>
      <c r="BY48" s="128"/>
      <c r="BZ48" s="131"/>
      <c r="CA48" s="131"/>
      <c r="CB48" s="131"/>
      <c r="CC48" s="131"/>
      <c r="CD48" s="131"/>
      <c r="CE48" s="134"/>
      <c r="CF48" s="128"/>
      <c r="CG48" s="131"/>
      <c r="CH48" s="131"/>
      <c r="CI48" s="131"/>
      <c r="CJ48" s="131"/>
      <c r="CK48" s="131"/>
      <c r="CL48" s="131"/>
      <c r="CM48" s="128"/>
      <c r="CN48" s="131"/>
      <c r="CO48" s="131"/>
      <c r="CP48" s="131"/>
      <c r="CQ48" s="131"/>
      <c r="CR48" s="131"/>
    </row>
    <row r="49" customFormat="false" ht="12.8" hidden="false" customHeight="false" outlineLevel="0" collapsed="false">
      <c r="A49" s="16" t="s">
        <v>52</v>
      </c>
      <c r="B49" s="16" t="s">
        <v>158</v>
      </c>
      <c r="C49" s="16" t="s">
        <v>164</v>
      </c>
      <c r="D49" s="16" t="s">
        <v>166</v>
      </c>
      <c r="E49" s="140" t="s">
        <v>87</v>
      </c>
      <c r="F49" s="16" t="s">
        <v>109</v>
      </c>
      <c r="G49" s="16"/>
      <c r="H49" s="16"/>
      <c r="I49" s="39"/>
      <c r="J49" s="39" t="n">
        <v>3500</v>
      </c>
      <c r="K49" s="42" t="n">
        <v>11310</v>
      </c>
      <c r="L49" s="50" t="n">
        <v>5</v>
      </c>
      <c r="M49" s="41"/>
      <c r="N49" s="37"/>
      <c r="O49" s="44" t="n">
        <f aca="false">IF(Y49,1,0)+AB49+AI49+AP49+AW49+BD49+BK49+BR49+BY49+CF49+CM49</f>
        <v>0</v>
      </c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31"/>
      <c r="AP49" s="128"/>
      <c r="AQ49" s="131"/>
      <c r="AR49" s="131"/>
      <c r="AS49" s="131"/>
      <c r="AT49" s="131"/>
      <c r="AU49" s="131"/>
      <c r="AV49" s="131"/>
      <c r="AW49" s="131"/>
      <c r="AX49" s="131"/>
      <c r="AY49" s="131"/>
      <c r="AZ49" s="131"/>
      <c r="BA49" s="131"/>
      <c r="BB49" s="131"/>
      <c r="BC49" s="131"/>
      <c r="BD49" s="131"/>
      <c r="BE49" s="131"/>
      <c r="BF49" s="131"/>
      <c r="BG49" s="131"/>
      <c r="BH49" s="131"/>
      <c r="BI49" s="131"/>
      <c r="BJ49" s="131"/>
      <c r="BK49" s="128"/>
      <c r="BL49" s="131"/>
      <c r="BM49" s="131"/>
      <c r="BN49" s="131"/>
      <c r="BO49" s="131"/>
      <c r="BP49" s="133"/>
      <c r="BQ49" s="131"/>
      <c r="BR49" s="131"/>
      <c r="BS49" s="131"/>
      <c r="BT49" s="131"/>
      <c r="BU49" s="131"/>
      <c r="BV49" s="131"/>
      <c r="BW49" s="133"/>
      <c r="BX49" s="131"/>
      <c r="BY49" s="128"/>
      <c r="BZ49" s="131"/>
      <c r="CA49" s="131"/>
      <c r="CB49" s="131"/>
      <c r="CC49" s="131"/>
      <c r="CD49" s="131"/>
      <c r="CE49" s="134"/>
      <c r="CF49" s="128"/>
      <c r="CG49" s="131"/>
      <c r="CH49" s="131"/>
      <c r="CI49" s="131"/>
      <c r="CJ49" s="131"/>
      <c r="CK49" s="131"/>
      <c r="CL49" s="131"/>
      <c r="CM49" s="128"/>
      <c r="CN49" s="131"/>
      <c r="CO49" s="131"/>
      <c r="CP49" s="131"/>
      <c r="CQ49" s="131"/>
      <c r="CR49" s="131"/>
    </row>
    <row r="50" customFormat="false" ht="12.8" hidden="false" customHeight="false" outlineLevel="0" collapsed="false">
      <c r="A50" s="16" t="s">
        <v>52</v>
      </c>
      <c r="B50" s="16" t="s">
        <v>158</v>
      </c>
      <c r="C50" s="16" t="s">
        <v>164</v>
      </c>
      <c r="D50" s="16" t="s">
        <v>167</v>
      </c>
      <c r="E50" s="140" t="s">
        <v>88</v>
      </c>
      <c r="F50" s="16" t="s">
        <v>163</v>
      </c>
      <c r="G50" s="16"/>
      <c r="H50" s="16"/>
      <c r="I50" s="39"/>
      <c r="J50" s="39" t="n">
        <v>3500</v>
      </c>
      <c r="K50" s="42" t="n">
        <v>11310</v>
      </c>
      <c r="L50" s="50" t="n">
        <v>5</v>
      </c>
      <c r="M50" s="41"/>
      <c r="N50" s="37" t="n">
        <v>2</v>
      </c>
      <c r="O50" s="44" t="n">
        <f aca="false">IF(Y50,1,0)+AB50+AI50+AP50+AW50+BD50+BK50+BR50+BY50+CF50+CM50</f>
        <v>0</v>
      </c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128" t="n">
        <v>8</v>
      </c>
      <c r="AB50" s="128" t="n">
        <v>1</v>
      </c>
      <c r="AC50" s="131" t="s">
        <v>390</v>
      </c>
      <c r="AD50" s="131" t="s">
        <v>391</v>
      </c>
      <c r="AE50" s="131" t="s">
        <v>383</v>
      </c>
      <c r="AF50" s="131" t="s">
        <v>384</v>
      </c>
      <c r="AG50" s="131" t="s">
        <v>399</v>
      </c>
      <c r="AH50" s="16"/>
      <c r="AI50" s="16"/>
      <c r="AJ50" s="16"/>
      <c r="AK50" s="16"/>
      <c r="AL50" s="16"/>
      <c r="AM50" s="16"/>
      <c r="AN50" s="16"/>
      <c r="AO50" s="128" t="n">
        <v>8</v>
      </c>
      <c r="AP50" s="128" t="n">
        <v>2</v>
      </c>
      <c r="AQ50" s="131" t="s">
        <v>390</v>
      </c>
      <c r="AR50" s="131" t="s">
        <v>391</v>
      </c>
      <c r="AS50" s="131" t="s">
        <v>383</v>
      </c>
      <c r="AT50" s="131" t="s">
        <v>384</v>
      </c>
      <c r="AU50" s="131" t="s">
        <v>399</v>
      </c>
      <c r="AV50" s="131"/>
      <c r="AW50" s="131"/>
      <c r="AX50" s="131"/>
      <c r="AY50" s="131"/>
      <c r="AZ50" s="131"/>
      <c r="BA50" s="131"/>
      <c r="BB50" s="131"/>
      <c r="BC50" s="131"/>
      <c r="BD50" s="131"/>
      <c r="BE50" s="131"/>
      <c r="BF50" s="131"/>
      <c r="BG50" s="131"/>
      <c r="BH50" s="131"/>
      <c r="BI50" s="131"/>
      <c r="BJ50" s="131"/>
      <c r="BK50" s="128"/>
      <c r="BL50" s="131"/>
      <c r="BM50" s="131"/>
      <c r="BN50" s="131"/>
      <c r="BO50" s="131"/>
      <c r="BP50" s="133"/>
      <c r="BQ50" s="131"/>
      <c r="BR50" s="131"/>
      <c r="BS50" s="131"/>
      <c r="BT50" s="131"/>
      <c r="BU50" s="131"/>
      <c r="BV50" s="131"/>
      <c r="BW50" s="133"/>
      <c r="BX50" s="131"/>
      <c r="BY50" s="128"/>
      <c r="BZ50" s="131"/>
      <c r="CA50" s="131"/>
      <c r="CB50" s="131"/>
      <c r="CC50" s="131"/>
      <c r="CD50" s="131"/>
      <c r="CE50" s="134"/>
      <c r="CF50" s="128"/>
      <c r="CG50" s="131"/>
      <c r="CH50" s="131"/>
      <c r="CI50" s="131"/>
      <c r="CJ50" s="131"/>
      <c r="CK50" s="131"/>
      <c r="CL50" s="131"/>
      <c r="CM50" s="128"/>
      <c r="CN50" s="131"/>
      <c r="CO50" s="131"/>
      <c r="CP50" s="131"/>
      <c r="CQ50" s="131"/>
      <c r="CR50" s="131"/>
    </row>
    <row r="51" customFormat="false" ht="12.8" hidden="false" customHeight="false" outlineLevel="0" collapsed="false">
      <c r="A51" s="16" t="s">
        <v>52</v>
      </c>
      <c r="B51" s="17" t="s">
        <v>93</v>
      </c>
      <c r="C51" s="130" t="s">
        <v>189</v>
      </c>
      <c r="D51" s="17" t="s">
        <v>190</v>
      </c>
      <c r="E51" s="140" t="s">
        <v>89</v>
      </c>
      <c r="F51" s="16" t="s">
        <v>101</v>
      </c>
      <c r="G51" s="128"/>
      <c r="H51" s="128"/>
      <c r="I51" s="39"/>
      <c r="J51" s="39" t="n">
        <v>3500</v>
      </c>
      <c r="K51" s="141" t="n">
        <v>9650</v>
      </c>
      <c r="L51" s="142" t="n">
        <v>5</v>
      </c>
      <c r="M51" s="51"/>
      <c r="N51" s="141" t="n">
        <v>3</v>
      </c>
      <c r="O51" s="44" t="n">
        <f aca="false">IF(Y51,1,0)+AB51+AI51+AP51+AW51+BD51+BK51+BR51+BY51+CF51+CM51</f>
        <v>0</v>
      </c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28" t="n">
        <v>8</v>
      </c>
      <c r="AB51" s="128" t="n">
        <v>2</v>
      </c>
      <c r="AC51" s="131" t="s">
        <v>390</v>
      </c>
      <c r="AD51" s="131" t="s">
        <v>391</v>
      </c>
      <c r="AE51" s="131" t="s">
        <v>383</v>
      </c>
      <c r="AF51" s="131" t="s">
        <v>384</v>
      </c>
      <c r="AG51" s="131" t="s">
        <v>399</v>
      </c>
      <c r="AH51" s="130" t="s">
        <v>464</v>
      </c>
      <c r="AI51" s="128" t="n">
        <v>2</v>
      </c>
      <c r="AJ51" s="130" t="s">
        <v>465</v>
      </c>
      <c r="AK51" s="130" t="s">
        <v>466</v>
      </c>
      <c r="AL51" s="130" t="s">
        <v>454</v>
      </c>
      <c r="AM51" s="130"/>
      <c r="AN51" s="130"/>
      <c r="AO51" s="131"/>
      <c r="AP51" s="128"/>
      <c r="AQ51" s="131"/>
      <c r="AR51" s="131"/>
      <c r="AS51" s="131"/>
      <c r="AT51" s="131"/>
      <c r="AU51" s="131"/>
      <c r="AV51" s="131"/>
      <c r="AW51" s="131"/>
      <c r="AX51" s="131"/>
      <c r="AY51" s="131"/>
      <c r="AZ51" s="131"/>
      <c r="BA51" s="131"/>
      <c r="BB51" s="131"/>
      <c r="BC51" s="131"/>
      <c r="BD51" s="131"/>
      <c r="BE51" s="131"/>
      <c r="BF51" s="131"/>
      <c r="BG51" s="131"/>
      <c r="BH51" s="131"/>
      <c r="BI51" s="131"/>
      <c r="BJ51" s="131"/>
      <c r="BK51" s="128"/>
      <c r="BL51" s="131"/>
      <c r="BM51" s="131"/>
      <c r="BN51" s="131"/>
      <c r="BO51" s="131"/>
      <c r="BP51" s="133"/>
      <c r="BQ51" s="131"/>
      <c r="BR51" s="131"/>
      <c r="BS51" s="131"/>
      <c r="BT51" s="131"/>
      <c r="BU51" s="131"/>
      <c r="BV51" s="131"/>
      <c r="BW51" s="133"/>
      <c r="BX51" s="131"/>
      <c r="BY51" s="128"/>
      <c r="BZ51" s="131"/>
      <c r="CA51" s="131"/>
      <c r="CB51" s="131"/>
      <c r="CC51" s="131"/>
      <c r="CD51" s="131"/>
      <c r="CE51" s="134"/>
      <c r="CF51" s="128"/>
      <c r="CG51" s="131"/>
      <c r="CH51" s="131"/>
      <c r="CI51" s="131"/>
      <c r="CJ51" s="131"/>
      <c r="CK51" s="131"/>
      <c r="CL51" s="131"/>
      <c r="CM51" s="128"/>
      <c r="CN51" s="131"/>
      <c r="CO51" s="131"/>
      <c r="CP51" s="131"/>
      <c r="CQ51" s="131"/>
      <c r="CR51" s="131"/>
    </row>
    <row r="52" customFormat="false" ht="12.8" hidden="false" customHeight="false" outlineLevel="0" collapsed="false">
      <c r="A52" s="16" t="s">
        <v>52</v>
      </c>
      <c r="B52" s="17" t="s">
        <v>93</v>
      </c>
      <c r="C52" s="130" t="s">
        <v>189</v>
      </c>
      <c r="D52" s="17" t="s">
        <v>191</v>
      </c>
      <c r="E52" s="140" t="s">
        <v>87</v>
      </c>
      <c r="F52" s="16" t="s">
        <v>192</v>
      </c>
      <c r="G52" s="128" t="s">
        <v>474</v>
      </c>
      <c r="H52" s="128"/>
      <c r="I52" s="39"/>
      <c r="J52" s="39" t="n">
        <v>3500</v>
      </c>
      <c r="K52" s="141" t="n">
        <v>11150</v>
      </c>
      <c r="L52" s="142" t="n">
        <v>15</v>
      </c>
      <c r="M52" s="51"/>
      <c r="N52" s="141" t="n">
        <v>4</v>
      </c>
      <c r="O52" s="44" t="n">
        <f aca="false">IF(Y52,1,0)+AB52+AI52+AP52+AW52+BD52+BK52+BR52+BY52+CF52+CM52</f>
        <v>0</v>
      </c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28" t="n">
        <v>8</v>
      </c>
      <c r="AB52" s="128" t="n">
        <v>3</v>
      </c>
      <c r="AC52" s="131" t="s">
        <v>390</v>
      </c>
      <c r="AD52" s="131" t="s">
        <v>391</v>
      </c>
      <c r="AE52" s="131" t="s">
        <v>383</v>
      </c>
      <c r="AF52" s="131" t="s">
        <v>384</v>
      </c>
      <c r="AG52" s="131" t="s">
        <v>399</v>
      </c>
      <c r="AH52" s="130" t="s">
        <v>464</v>
      </c>
      <c r="AI52" s="128" t="n">
        <v>3</v>
      </c>
      <c r="AJ52" s="130" t="s">
        <v>465</v>
      </c>
      <c r="AK52" s="130" t="s">
        <v>466</v>
      </c>
      <c r="AL52" s="130" t="s">
        <v>454</v>
      </c>
      <c r="AM52" s="130"/>
      <c r="AN52" s="130"/>
      <c r="AO52" s="131"/>
      <c r="AP52" s="128"/>
      <c r="AQ52" s="131"/>
      <c r="AR52" s="131"/>
      <c r="AS52" s="131"/>
      <c r="AT52" s="131"/>
      <c r="AU52" s="131"/>
      <c r="AV52" s="131"/>
      <c r="AW52" s="131"/>
      <c r="AX52" s="131"/>
      <c r="AY52" s="131"/>
      <c r="AZ52" s="131"/>
      <c r="BA52" s="131"/>
      <c r="BB52" s="131"/>
      <c r="BC52" s="131"/>
      <c r="BD52" s="131"/>
      <c r="BE52" s="131"/>
      <c r="BF52" s="131"/>
      <c r="BG52" s="131"/>
      <c r="BH52" s="131"/>
      <c r="BI52" s="131"/>
      <c r="BJ52" s="131"/>
      <c r="BK52" s="128"/>
      <c r="BL52" s="131"/>
      <c r="BM52" s="131"/>
      <c r="BN52" s="131"/>
      <c r="BO52" s="131"/>
      <c r="BP52" s="133"/>
      <c r="BQ52" s="131"/>
      <c r="BR52" s="131"/>
      <c r="BS52" s="131"/>
      <c r="BT52" s="131"/>
      <c r="BU52" s="131"/>
      <c r="BV52" s="131"/>
      <c r="BW52" s="133"/>
      <c r="BX52" s="131"/>
      <c r="BY52" s="128"/>
      <c r="BZ52" s="131"/>
      <c r="CA52" s="131"/>
      <c r="CB52" s="131"/>
      <c r="CC52" s="131"/>
      <c r="CD52" s="131"/>
      <c r="CE52" s="134"/>
      <c r="CF52" s="128"/>
      <c r="CG52" s="131"/>
      <c r="CH52" s="131"/>
      <c r="CI52" s="131"/>
      <c r="CJ52" s="131"/>
      <c r="CK52" s="131"/>
      <c r="CL52" s="131"/>
      <c r="CM52" s="128"/>
      <c r="CN52" s="131"/>
      <c r="CO52" s="131"/>
      <c r="CP52" s="131"/>
      <c r="CQ52" s="131"/>
      <c r="CR52" s="131"/>
    </row>
    <row r="53" customFormat="false" ht="12.8" hidden="false" customHeight="false" outlineLevel="0" collapsed="false">
      <c r="A53" s="16" t="s">
        <v>52</v>
      </c>
      <c r="B53" s="17" t="s">
        <v>93</v>
      </c>
      <c r="C53" s="130" t="s">
        <v>189</v>
      </c>
      <c r="D53" s="17" t="s">
        <v>193</v>
      </c>
      <c r="E53" s="140" t="s">
        <v>88</v>
      </c>
      <c r="F53" s="16" t="s">
        <v>194</v>
      </c>
      <c r="G53" s="128"/>
      <c r="H53" s="128"/>
      <c r="I53" s="39"/>
      <c r="J53" s="39" t="n">
        <v>3500</v>
      </c>
      <c r="K53" s="141" t="n">
        <v>11150</v>
      </c>
      <c r="L53" s="142" t="n">
        <v>5</v>
      </c>
      <c r="M53" s="51"/>
      <c r="N53" s="141" t="n">
        <v>3</v>
      </c>
      <c r="O53" s="44" t="n">
        <f aca="false">IF(Y53,1,0)+AB53+AI53+AP53+AW53+BD53+BK53+BR53+BY53+CF53+CM53</f>
        <v>0</v>
      </c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28" t="n">
        <v>8</v>
      </c>
      <c r="AB53" s="128" t="n">
        <v>2</v>
      </c>
      <c r="AC53" s="131" t="s">
        <v>390</v>
      </c>
      <c r="AD53" s="131" t="s">
        <v>391</v>
      </c>
      <c r="AE53" s="131" t="s">
        <v>383</v>
      </c>
      <c r="AF53" s="131" t="s">
        <v>384</v>
      </c>
      <c r="AG53" s="131" t="s">
        <v>399</v>
      </c>
      <c r="AH53" s="130" t="s">
        <v>464</v>
      </c>
      <c r="AI53" s="128" t="n">
        <v>2</v>
      </c>
      <c r="AJ53" s="130" t="s">
        <v>465</v>
      </c>
      <c r="AK53" s="130" t="s">
        <v>466</v>
      </c>
      <c r="AL53" s="130" t="s">
        <v>454</v>
      </c>
      <c r="AM53" s="130"/>
      <c r="AN53" s="130"/>
      <c r="AO53" s="131"/>
      <c r="AP53" s="128"/>
      <c r="AQ53" s="131"/>
      <c r="AR53" s="131"/>
      <c r="AS53" s="131"/>
      <c r="AT53" s="131"/>
      <c r="AU53" s="131"/>
      <c r="AV53" s="131"/>
      <c r="AW53" s="131"/>
      <c r="AX53" s="131"/>
      <c r="AY53" s="131"/>
      <c r="AZ53" s="131"/>
      <c r="BA53" s="131"/>
      <c r="BB53" s="131"/>
      <c r="BC53" s="131"/>
      <c r="BD53" s="131"/>
      <c r="BE53" s="131"/>
      <c r="BF53" s="131"/>
      <c r="BG53" s="131"/>
      <c r="BH53" s="131"/>
      <c r="BI53" s="131"/>
      <c r="BJ53" s="131"/>
      <c r="BK53" s="128"/>
      <c r="BL53" s="131"/>
      <c r="BM53" s="131"/>
      <c r="BN53" s="131"/>
      <c r="BO53" s="131"/>
      <c r="BP53" s="133"/>
      <c r="BQ53" s="131"/>
      <c r="BR53" s="131"/>
      <c r="BS53" s="131"/>
      <c r="BT53" s="131"/>
      <c r="BU53" s="131"/>
      <c r="BV53" s="131"/>
      <c r="BW53" s="133"/>
      <c r="BX53" s="131"/>
      <c r="BY53" s="128"/>
      <c r="BZ53" s="131"/>
      <c r="CA53" s="131"/>
      <c r="CB53" s="131"/>
      <c r="CC53" s="131"/>
      <c r="CD53" s="131"/>
      <c r="CE53" s="134"/>
      <c r="CF53" s="128"/>
      <c r="CG53" s="131"/>
      <c r="CH53" s="131"/>
      <c r="CI53" s="131"/>
      <c r="CJ53" s="131"/>
      <c r="CK53" s="131"/>
      <c r="CL53" s="131"/>
      <c r="CM53" s="128"/>
      <c r="CN53" s="131"/>
      <c r="CO53" s="131"/>
      <c r="CP53" s="131"/>
      <c r="CQ53" s="131"/>
      <c r="CR53" s="131"/>
    </row>
    <row r="54" customFormat="false" ht="12.8" hidden="false" customHeight="false" outlineLevel="0" collapsed="false">
      <c r="A54" s="16" t="s">
        <v>52</v>
      </c>
      <c r="B54" s="17" t="s">
        <v>81</v>
      </c>
      <c r="C54" s="17" t="s">
        <v>181</v>
      </c>
      <c r="D54" s="17" t="s">
        <v>182</v>
      </c>
      <c r="E54" s="130" t="s">
        <v>89</v>
      </c>
      <c r="F54" s="17" t="s">
        <v>183</v>
      </c>
      <c r="G54" s="16"/>
      <c r="H54" s="16"/>
      <c r="I54" s="39"/>
      <c r="J54" s="39" t="n">
        <v>3500</v>
      </c>
      <c r="K54" s="42" t="n">
        <v>11150</v>
      </c>
      <c r="L54" s="50" t="n">
        <v>5</v>
      </c>
      <c r="M54" s="41"/>
      <c r="N54" s="37" t="n">
        <v>3</v>
      </c>
      <c r="O54" s="44" t="n">
        <f aca="false">IF(Y54,1,0)+AB54+AI54+AP54+AW54+BD54+BK54+BR54+BY54+CF54+CM54</f>
        <v>0</v>
      </c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128" t="n">
        <v>8</v>
      </c>
      <c r="AB54" s="128" t="n">
        <v>2</v>
      </c>
      <c r="AC54" s="131" t="s">
        <v>390</v>
      </c>
      <c r="AD54" s="131" t="s">
        <v>391</v>
      </c>
      <c r="AE54" s="131" t="s">
        <v>383</v>
      </c>
      <c r="AF54" s="131" t="s">
        <v>384</v>
      </c>
      <c r="AG54" s="131" t="s">
        <v>399</v>
      </c>
      <c r="AH54" s="130" t="s">
        <v>464</v>
      </c>
      <c r="AI54" s="128" t="n">
        <v>1</v>
      </c>
      <c r="AJ54" s="130" t="s">
        <v>460</v>
      </c>
      <c r="AK54" s="130" t="s">
        <v>461</v>
      </c>
      <c r="AL54" s="130" t="s">
        <v>475</v>
      </c>
      <c r="AM54" s="130" t="s">
        <v>476</v>
      </c>
      <c r="AN54" s="130" t="s">
        <v>477</v>
      </c>
      <c r="AO54" s="128" t="n">
        <v>8</v>
      </c>
      <c r="AP54" s="128" t="n">
        <v>1</v>
      </c>
      <c r="AQ54" s="131" t="s">
        <v>390</v>
      </c>
      <c r="AR54" s="131" t="s">
        <v>391</v>
      </c>
      <c r="AS54" s="131" t="s">
        <v>383</v>
      </c>
      <c r="AT54" s="131" t="s">
        <v>384</v>
      </c>
      <c r="AU54" s="131" t="s">
        <v>399</v>
      </c>
      <c r="AV54" s="131"/>
      <c r="AW54" s="131"/>
      <c r="AX54" s="131"/>
      <c r="AY54" s="131"/>
      <c r="AZ54" s="131"/>
      <c r="BA54" s="131"/>
      <c r="BB54" s="131"/>
      <c r="BC54" s="131"/>
      <c r="BD54" s="131"/>
      <c r="BE54" s="131"/>
      <c r="BF54" s="131"/>
      <c r="BG54" s="131"/>
      <c r="BH54" s="131"/>
      <c r="BI54" s="131"/>
      <c r="BJ54" s="131"/>
      <c r="BK54" s="128"/>
      <c r="BL54" s="131"/>
      <c r="BM54" s="131"/>
      <c r="BN54" s="131"/>
      <c r="BO54" s="131"/>
      <c r="BP54" s="133"/>
      <c r="BQ54" s="131"/>
      <c r="BR54" s="131"/>
      <c r="BS54" s="131"/>
      <c r="BT54" s="131"/>
      <c r="BU54" s="131"/>
      <c r="BV54" s="131"/>
      <c r="BW54" s="133"/>
      <c r="BX54" s="131"/>
      <c r="BY54" s="128"/>
      <c r="BZ54" s="131"/>
      <c r="CA54" s="131"/>
      <c r="CB54" s="131"/>
      <c r="CC54" s="131"/>
      <c r="CD54" s="131"/>
      <c r="CE54" s="134"/>
      <c r="CF54" s="128"/>
      <c r="CG54" s="131"/>
      <c r="CH54" s="131"/>
      <c r="CI54" s="131"/>
      <c r="CJ54" s="131"/>
      <c r="CK54" s="131"/>
      <c r="CL54" s="131"/>
      <c r="CM54" s="128"/>
      <c r="CN54" s="131"/>
      <c r="CO54" s="131"/>
      <c r="CP54" s="131"/>
      <c r="CQ54" s="131"/>
      <c r="CR54" s="131"/>
    </row>
    <row r="55" customFormat="false" ht="12.8" hidden="false" customHeight="false" outlineLevel="0" collapsed="false">
      <c r="A55" s="36" t="s">
        <v>52</v>
      </c>
      <c r="B55" s="35" t="s">
        <v>81</v>
      </c>
      <c r="C55" s="35" t="s">
        <v>181</v>
      </c>
      <c r="D55" s="35" t="s">
        <v>184</v>
      </c>
      <c r="E55" s="34" t="s">
        <v>87</v>
      </c>
      <c r="F55" s="35" t="s">
        <v>121</v>
      </c>
      <c r="G55" s="16"/>
      <c r="H55" s="16"/>
      <c r="I55" s="39"/>
      <c r="J55" s="39" t="n">
        <v>3500</v>
      </c>
      <c r="K55" s="42" t="n">
        <v>11150</v>
      </c>
      <c r="L55" s="50" t="n">
        <v>5</v>
      </c>
      <c r="M55" s="41"/>
      <c r="N55" s="37" t="n">
        <v>3</v>
      </c>
      <c r="O55" s="44" t="n">
        <f aca="false">IF(Y55,1,0)+AB55+AI55+AP55+AW55+BD55+BK55+BR55+BY55+CF55+CM55</f>
        <v>0</v>
      </c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128" t="n">
        <v>8</v>
      </c>
      <c r="AB55" s="128" t="n">
        <v>2</v>
      </c>
      <c r="AC55" s="131" t="s">
        <v>390</v>
      </c>
      <c r="AD55" s="131" t="s">
        <v>391</v>
      </c>
      <c r="AE55" s="131" t="s">
        <v>383</v>
      </c>
      <c r="AF55" s="131" t="s">
        <v>384</v>
      </c>
      <c r="AG55" s="131" t="s">
        <v>399</v>
      </c>
      <c r="AH55" s="130" t="s">
        <v>464</v>
      </c>
      <c r="AI55" s="128" t="n">
        <v>1</v>
      </c>
      <c r="AJ55" s="130" t="s">
        <v>460</v>
      </c>
      <c r="AK55" s="130" t="s">
        <v>461</v>
      </c>
      <c r="AL55" s="130" t="s">
        <v>475</v>
      </c>
      <c r="AM55" s="130" t="s">
        <v>476</v>
      </c>
      <c r="AN55" s="130" t="s">
        <v>477</v>
      </c>
      <c r="AO55" s="128" t="n">
        <v>8</v>
      </c>
      <c r="AP55" s="128" t="n">
        <v>1</v>
      </c>
      <c r="AQ55" s="131" t="s">
        <v>390</v>
      </c>
      <c r="AR55" s="131" t="s">
        <v>391</v>
      </c>
      <c r="AS55" s="131" t="s">
        <v>383</v>
      </c>
      <c r="AT55" s="131" t="s">
        <v>384</v>
      </c>
      <c r="AU55" s="131" t="s">
        <v>399</v>
      </c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  <c r="BF55" s="131"/>
      <c r="BG55" s="131"/>
      <c r="BH55" s="131"/>
      <c r="BI55" s="131"/>
      <c r="BJ55" s="131"/>
      <c r="BK55" s="128"/>
      <c r="BL55" s="131"/>
      <c r="BM55" s="131"/>
      <c r="BN55" s="131"/>
      <c r="BO55" s="131"/>
      <c r="BP55" s="133"/>
      <c r="BQ55" s="131"/>
      <c r="BR55" s="131"/>
      <c r="BS55" s="131"/>
      <c r="BT55" s="131"/>
      <c r="BU55" s="131"/>
      <c r="BV55" s="131"/>
      <c r="BW55" s="133"/>
      <c r="BX55" s="131"/>
      <c r="BY55" s="128"/>
      <c r="BZ55" s="131"/>
      <c r="CA55" s="131"/>
      <c r="CB55" s="131"/>
      <c r="CC55" s="131"/>
      <c r="CD55" s="131"/>
      <c r="CE55" s="134"/>
      <c r="CF55" s="128"/>
      <c r="CG55" s="131"/>
      <c r="CH55" s="131"/>
      <c r="CI55" s="131"/>
      <c r="CJ55" s="131"/>
      <c r="CK55" s="131"/>
      <c r="CL55" s="131"/>
      <c r="CM55" s="128"/>
      <c r="CN55" s="131"/>
      <c r="CO55" s="131"/>
      <c r="CP55" s="131"/>
      <c r="CQ55" s="131"/>
      <c r="CR55" s="131"/>
    </row>
    <row r="56" customFormat="false" ht="12.8" hidden="false" customHeight="false" outlineLevel="0" collapsed="false">
      <c r="A56" s="16" t="s">
        <v>52</v>
      </c>
      <c r="B56" s="17" t="s">
        <v>113</v>
      </c>
      <c r="C56" s="17" t="s">
        <v>146</v>
      </c>
      <c r="D56" s="17" t="s">
        <v>147</v>
      </c>
      <c r="E56" s="130" t="s">
        <v>89</v>
      </c>
      <c r="F56" s="16" t="s">
        <v>148</v>
      </c>
      <c r="G56" s="16"/>
      <c r="H56" s="16"/>
      <c r="I56" s="39"/>
      <c r="J56" s="39" t="n">
        <v>3500</v>
      </c>
      <c r="K56" s="42" t="n">
        <v>9650</v>
      </c>
      <c r="L56" s="50" t="n">
        <v>5</v>
      </c>
      <c r="M56" s="41"/>
      <c r="N56" s="37" t="n">
        <v>2</v>
      </c>
      <c r="O56" s="44" t="n">
        <f aca="false">IF(Y56,1,0)+AB56+AI56+AP56+AW56+BD56+BK56+BR56+BY56+CF56+CM56</f>
        <v>0</v>
      </c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128" t="n">
        <v>8</v>
      </c>
      <c r="AB56" s="128" t="n">
        <v>1</v>
      </c>
      <c r="AC56" s="131" t="s">
        <v>390</v>
      </c>
      <c r="AD56" s="131" t="s">
        <v>391</v>
      </c>
      <c r="AE56" s="131" t="s">
        <v>383</v>
      </c>
      <c r="AF56" s="131" t="s">
        <v>384</v>
      </c>
      <c r="AG56" s="131" t="s">
        <v>399</v>
      </c>
      <c r="AH56" s="130" t="s">
        <v>464</v>
      </c>
      <c r="AI56" s="128" t="n">
        <v>1</v>
      </c>
      <c r="AJ56" s="130" t="s">
        <v>465</v>
      </c>
      <c r="AK56" s="130" t="s">
        <v>466</v>
      </c>
      <c r="AL56" s="130" t="s">
        <v>454</v>
      </c>
      <c r="AM56" s="16"/>
      <c r="AN56" s="16"/>
      <c r="AO56" s="128" t="n">
        <v>8</v>
      </c>
      <c r="AP56" s="128" t="n">
        <v>1</v>
      </c>
      <c r="AQ56" s="131" t="s">
        <v>390</v>
      </c>
      <c r="AR56" s="131" t="s">
        <v>391</v>
      </c>
      <c r="AS56" s="131" t="s">
        <v>383</v>
      </c>
      <c r="AT56" s="131" t="s">
        <v>384</v>
      </c>
      <c r="AU56" s="131" t="s">
        <v>399</v>
      </c>
      <c r="AV56" s="131"/>
      <c r="AW56" s="131"/>
      <c r="AX56" s="131"/>
      <c r="AY56" s="131"/>
      <c r="AZ56" s="131"/>
      <c r="BA56" s="131"/>
      <c r="BB56" s="131"/>
      <c r="BC56" s="131"/>
      <c r="BD56" s="131"/>
      <c r="BE56" s="131"/>
      <c r="BF56" s="131"/>
      <c r="BG56" s="131"/>
      <c r="BH56" s="131"/>
      <c r="BI56" s="131"/>
      <c r="BJ56" s="131"/>
      <c r="BK56" s="128"/>
      <c r="BL56" s="131"/>
      <c r="BM56" s="131"/>
      <c r="BN56" s="131"/>
      <c r="BO56" s="131"/>
      <c r="BP56" s="133"/>
      <c r="BQ56" s="131"/>
      <c r="BR56" s="131"/>
      <c r="BS56" s="131"/>
      <c r="BT56" s="131"/>
      <c r="BU56" s="131"/>
      <c r="BV56" s="131"/>
      <c r="BW56" s="133"/>
      <c r="BX56" s="131"/>
      <c r="BY56" s="128"/>
      <c r="BZ56" s="131"/>
      <c r="CA56" s="131"/>
      <c r="CB56" s="131"/>
      <c r="CC56" s="131"/>
      <c r="CD56" s="131"/>
      <c r="CE56" s="134"/>
      <c r="CF56" s="128"/>
      <c r="CG56" s="131"/>
      <c r="CH56" s="131"/>
      <c r="CI56" s="131"/>
      <c r="CJ56" s="131"/>
      <c r="CK56" s="131"/>
      <c r="CL56" s="131"/>
      <c r="CM56" s="128"/>
      <c r="CN56" s="131"/>
      <c r="CO56" s="131"/>
      <c r="CP56" s="131"/>
      <c r="CQ56" s="131"/>
      <c r="CR56" s="131"/>
    </row>
    <row r="57" customFormat="false" ht="12.8" hidden="false" customHeight="false" outlineLevel="0" collapsed="false">
      <c r="A57" s="16" t="s">
        <v>52</v>
      </c>
      <c r="B57" s="17" t="s">
        <v>113</v>
      </c>
      <c r="C57" s="17" t="s">
        <v>146</v>
      </c>
      <c r="D57" s="16" t="s">
        <v>149</v>
      </c>
      <c r="E57" s="130" t="s">
        <v>87</v>
      </c>
      <c r="F57" s="16" t="s">
        <v>143</v>
      </c>
      <c r="G57" s="16"/>
      <c r="H57" s="16"/>
      <c r="I57" s="39"/>
      <c r="J57" s="39" t="n">
        <v>3500</v>
      </c>
      <c r="K57" s="42" t="n">
        <v>9650</v>
      </c>
      <c r="L57" s="50" t="n">
        <v>5</v>
      </c>
      <c r="M57" s="41"/>
      <c r="N57" s="37" t="n">
        <v>2</v>
      </c>
      <c r="O57" s="44" t="n">
        <f aca="false">IF(Y57,1,0)+AB57+AI57+AP57+AW57+BD57+BK57+BR57+BY57+CF57+CM57</f>
        <v>0</v>
      </c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128" t="n">
        <v>8</v>
      </c>
      <c r="AB57" s="128" t="n">
        <v>1</v>
      </c>
      <c r="AC57" s="131" t="s">
        <v>390</v>
      </c>
      <c r="AD57" s="131" t="s">
        <v>391</v>
      </c>
      <c r="AE57" s="131" t="s">
        <v>383</v>
      </c>
      <c r="AF57" s="131" t="s">
        <v>384</v>
      </c>
      <c r="AG57" s="131" t="s">
        <v>399</v>
      </c>
      <c r="AH57" s="130" t="s">
        <v>464</v>
      </c>
      <c r="AI57" s="128" t="n">
        <v>1</v>
      </c>
      <c r="AJ57" s="130" t="s">
        <v>465</v>
      </c>
      <c r="AK57" s="130" t="s">
        <v>466</v>
      </c>
      <c r="AL57" s="130" t="s">
        <v>454</v>
      </c>
      <c r="AM57" s="16"/>
      <c r="AN57" s="16"/>
      <c r="AO57" s="128" t="n">
        <v>8</v>
      </c>
      <c r="AP57" s="128" t="n">
        <v>1</v>
      </c>
      <c r="AQ57" s="131" t="s">
        <v>390</v>
      </c>
      <c r="AR57" s="131" t="s">
        <v>391</v>
      </c>
      <c r="AS57" s="131" t="s">
        <v>383</v>
      </c>
      <c r="AT57" s="131" t="s">
        <v>384</v>
      </c>
      <c r="AU57" s="131" t="s">
        <v>399</v>
      </c>
      <c r="AV57" s="131"/>
      <c r="AW57" s="131"/>
      <c r="AX57" s="131"/>
      <c r="AY57" s="131"/>
      <c r="AZ57" s="131"/>
      <c r="BA57" s="131"/>
      <c r="BB57" s="131"/>
      <c r="BC57" s="131"/>
      <c r="BD57" s="131"/>
      <c r="BE57" s="131"/>
      <c r="BF57" s="131"/>
      <c r="BG57" s="131"/>
      <c r="BH57" s="131"/>
      <c r="BI57" s="131"/>
      <c r="BJ57" s="131"/>
      <c r="BK57" s="128"/>
      <c r="BL57" s="131"/>
      <c r="BM57" s="131"/>
      <c r="BN57" s="131"/>
      <c r="BO57" s="131"/>
      <c r="BP57" s="133"/>
      <c r="BQ57" s="131"/>
      <c r="BR57" s="131"/>
      <c r="BS57" s="131"/>
      <c r="BT57" s="131"/>
      <c r="BU57" s="131"/>
      <c r="BV57" s="131"/>
      <c r="BW57" s="133"/>
      <c r="BX57" s="131"/>
      <c r="BY57" s="128"/>
      <c r="BZ57" s="131"/>
      <c r="CA57" s="131"/>
      <c r="CB57" s="131"/>
      <c r="CC57" s="131"/>
      <c r="CD57" s="131"/>
      <c r="CE57" s="134"/>
      <c r="CF57" s="128"/>
      <c r="CG57" s="131"/>
      <c r="CH57" s="131"/>
      <c r="CI57" s="131"/>
      <c r="CJ57" s="131"/>
      <c r="CK57" s="131"/>
      <c r="CL57" s="131"/>
      <c r="CM57" s="128"/>
      <c r="CN57" s="131"/>
      <c r="CO57" s="131"/>
      <c r="CP57" s="131"/>
      <c r="CQ57" s="131"/>
      <c r="CR57" s="131"/>
    </row>
    <row r="58" customFormat="false" ht="12.8" hidden="false" customHeight="false" outlineLevel="0" collapsed="false">
      <c r="A58" s="16" t="s">
        <v>52</v>
      </c>
      <c r="B58" s="17" t="s">
        <v>113</v>
      </c>
      <c r="C58" s="17" t="s">
        <v>155</v>
      </c>
      <c r="D58" s="16" t="s">
        <v>156</v>
      </c>
      <c r="E58" s="130" t="s">
        <v>89</v>
      </c>
      <c r="F58" s="16" t="s">
        <v>148</v>
      </c>
      <c r="G58" s="16"/>
      <c r="H58" s="16"/>
      <c r="I58" s="39"/>
      <c r="J58" s="39" t="n">
        <v>3500</v>
      </c>
      <c r="K58" s="42" t="n">
        <v>11150</v>
      </c>
      <c r="L58" s="50" t="n">
        <v>5</v>
      </c>
      <c r="M58" s="41"/>
      <c r="N58" s="37" t="n">
        <v>2</v>
      </c>
      <c r="O58" s="44" t="n">
        <f aca="false">IF(Y58,1,0)+AB58+AI58+AP58+AW58+BD58+BK58+BR58+BY58+CF58+CM58</f>
        <v>0</v>
      </c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128" t="n">
        <v>8</v>
      </c>
      <c r="AB58" s="128" t="n">
        <v>1</v>
      </c>
      <c r="AC58" s="131" t="s">
        <v>390</v>
      </c>
      <c r="AD58" s="131" t="s">
        <v>391</v>
      </c>
      <c r="AE58" s="131" t="s">
        <v>383</v>
      </c>
      <c r="AF58" s="131" t="s">
        <v>384</v>
      </c>
      <c r="AG58" s="131" t="s">
        <v>399</v>
      </c>
      <c r="AH58" s="130" t="s">
        <v>464</v>
      </c>
      <c r="AI58" s="128" t="n">
        <v>1</v>
      </c>
      <c r="AJ58" s="130" t="s">
        <v>465</v>
      </c>
      <c r="AK58" s="130" t="s">
        <v>466</v>
      </c>
      <c r="AL58" s="130" t="s">
        <v>454</v>
      </c>
      <c r="AM58" s="16"/>
      <c r="AN58" s="16"/>
      <c r="AO58" s="128" t="n">
        <v>8</v>
      </c>
      <c r="AP58" s="128" t="n">
        <v>1</v>
      </c>
      <c r="AQ58" s="131" t="s">
        <v>390</v>
      </c>
      <c r="AR58" s="131" t="s">
        <v>391</v>
      </c>
      <c r="AS58" s="131" t="s">
        <v>383</v>
      </c>
      <c r="AT58" s="131" t="s">
        <v>384</v>
      </c>
      <c r="AU58" s="131" t="s">
        <v>399</v>
      </c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  <c r="BF58" s="131"/>
      <c r="BG58" s="131"/>
      <c r="BH58" s="131"/>
      <c r="BI58" s="131"/>
      <c r="BJ58" s="131"/>
      <c r="BK58" s="128"/>
      <c r="BL58" s="131"/>
      <c r="BM58" s="131"/>
      <c r="BN58" s="131"/>
      <c r="BO58" s="131"/>
      <c r="BP58" s="133"/>
      <c r="BQ58" s="131"/>
      <c r="BR58" s="131"/>
      <c r="BS58" s="131"/>
      <c r="BT58" s="131"/>
      <c r="BU58" s="131"/>
      <c r="BV58" s="131"/>
      <c r="BW58" s="133"/>
      <c r="BX58" s="131"/>
      <c r="BY58" s="128"/>
      <c r="BZ58" s="131"/>
      <c r="CA58" s="131"/>
      <c r="CB58" s="131"/>
      <c r="CC58" s="131"/>
      <c r="CD58" s="131"/>
      <c r="CE58" s="134"/>
      <c r="CF58" s="128"/>
      <c r="CG58" s="131"/>
      <c r="CH58" s="131"/>
      <c r="CI58" s="131"/>
      <c r="CJ58" s="131"/>
      <c r="CK58" s="131"/>
      <c r="CL58" s="131"/>
      <c r="CM58" s="128"/>
      <c r="CN58" s="131"/>
      <c r="CO58" s="131"/>
      <c r="CP58" s="131"/>
      <c r="CQ58" s="131"/>
      <c r="CR58" s="131"/>
    </row>
    <row r="59" customFormat="false" ht="12.8" hidden="false" customHeight="false" outlineLevel="0" collapsed="false">
      <c r="A59" s="36" t="s">
        <v>52</v>
      </c>
      <c r="B59" s="35" t="s">
        <v>113</v>
      </c>
      <c r="C59" s="34" t="s">
        <v>151</v>
      </c>
      <c r="D59" s="35" t="s">
        <v>152</v>
      </c>
      <c r="E59" s="34" t="s">
        <v>89</v>
      </c>
      <c r="F59" s="35" t="s">
        <v>153</v>
      </c>
      <c r="G59" s="16"/>
      <c r="H59" s="16"/>
      <c r="I59" s="39"/>
      <c r="J59" s="39" t="n">
        <v>3500</v>
      </c>
      <c r="K59" s="42" t="n">
        <v>6470</v>
      </c>
      <c r="L59" s="50" t="n">
        <v>5</v>
      </c>
      <c r="M59" s="41"/>
      <c r="N59" s="37" t="n">
        <v>2</v>
      </c>
      <c r="O59" s="44" t="n">
        <f aca="false">IF(Y59,1,0)+AB59+AI59+AP59+AW59+BD59+BK59+BR59+BY59+CF59+CM59</f>
        <v>0</v>
      </c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128" t="n">
        <v>8</v>
      </c>
      <c r="AB59" s="128" t="n">
        <v>1</v>
      </c>
      <c r="AC59" s="131" t="s">
        <v>390</v>
      </c>
      <c r="AD59" s="131" t="s">
        <v>391</v>
      </c>
      <c r="AE59" s="131" t="s">
        <v>383</v>
      </c>
      <c r="AF59" s="131" t="s">
        <v>384</v>
      </c>
      <c r="AG59" s="131" t="s">
        <v>399</v>
      </c>
      <c r="AH59" s="130" t="s">
        <v>464</v>
      </c>
      <c r="AI59" s="128" t="n">
        <v>1</v>
      </c>
      <c r="AJ59" s="130" t="s">
        <v>465</v>
      </c>
      <c r="AK59" s="130" t="s">
        <v>466</v>
      </c>
      <c r="AL59" s="130" t="s">
        <v>454</v>
      </c>
      <c r="AM59" s="16"/>
      <c r="AN59" s="16"/>
      <c r="AO59" s="128" t="n">
        <v>8</v>
      </c>
      <c r="AP59" s="128" t="n">
        <v>1</v>
      </c>
      <c r="AQ59" s="131" t="s">
        <v>390</v>
      </c>
      <c r="AR59" s="131" t="s">
        <v>391</v>
      </c>
      <c r="AS59" s="131" t="s">
        <v>383</v>
      </c>
      <c r="AT59" s="131" t="s">
        <v>384</v>
      </c>
      <c r="AU59" s="131" t="s">
        <v>399</v>
      </c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  <c r="BF59" s="131"/>
      <c r="BG59" s="131"/>
      <c r="BH59" s="131"/>
      <c r="BI59" s="131"/>
      <c r="BJ59" s="131"/>
      <c r="BK59" s="128"/>
      <c r="BL59" s="131"/>
      <c r="BM59" s="131"/>
      <c r="BN59" s="131"/>
      <c r="BO59" s="131"/>
      <c r="BP59" s="133"/>
      <c r="BQ59" s="131"/>
      <c r="BR59" s="131"/>
      <c r="BS59" s="131"/>
      <c r="BT59" s="131"/>
      <c r="BU59" s="131"/>
      <c r="BV59" s="131"/>
      <c r="BW59" s="133"/>
      <c r="BX59" s="131"/>
      <c r="BY59" s="128"/>
      <c r="BZ59" s="131"/>
      <c r="CA59" s="131"/>
      <c r="CB59" s="131"/>
      <c r="CC59" s="131"/>
      <c r="CD59" s="131"/>
      <c r="CE59" s="134"/>
      <c r="CF59" s="128"/>
      <c r="CG59" s="131"/>
      <c r="CH59" s="131"/>
      <c r="CI59" s="131"/>
      <c r="CJ59" s="131"/>
      <c r="CK59" s="131"/>
      <c r="CL59" s="131"/>
      <c r="CM59" s="128"/>
      <c r="CN59" s="131"/>
      <c r="CO59" s="131"/>
      <c r="CP59" s="131"/>
      <c r="CQ59" s="131"/>
      <c r="CR59" s="131"/>
    </row>
    <row r="60" customFormat="false" ht="12.8" hidden="false" customHeight="false" outlineLevel="0" collapsed="false">
      <c r="A60" s="36" t="s">
        <v>52</v>
      </c>
      <c r="B60" s="35" t="s">
        <v>113</v>
      </c>
      <c r="C60" s="34" t="s">
        <v>151</v>
      </c>
      <c r="D60" s="35" t="s">
        <v>154</v>
      </c>
      <c r="E60" s="34" t="s">
        <v>87</v>
      </c>
      <c r="F60" s="35" t="s">
        <v>126</v>
      </c>
      <c r="G60" s="16"/>
      <c r="H60" s="16"/>
      <c r="I60" s="39"/>
      <c r="J60" s="39" t="n">
        <v>3500</v>
      </c>
      <c r="K60" s="42" t="n">
        <v>6470</v>
      </c>
      <c r="L60" s="50" t="n">
        <v>5</v>
      </c>
      <c r="M60" s="41"/>
      <c r="N60" s="37" t="n">
        <v>2</v>
      </c>
      <c r="O60" s="44" t="n">
        <f aca="false">IF(Y60,1,0)+AB60+AI60+AP60+AW60+BD60+BK60+BR60+BY60+CF60+CM60</f>
        <v>0</v>
      </c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128" t="n">
        <v>8</v>
      </c>
      <c r="AB60" s="128" t="n">
        <v>1</v>
      </c>
      <c r="AC60" s="131" t="s">
        <v>390</v>
      </c>
      <c r="AD60" s="131" t="s">
        <v>391</v>
      </c>
      <c r="AE60" s="131" t="s">
        <v>383</v>
      </c>
      <c r="AF60" s="131" t="s">
        <v>384</v>
      </c>
      <c r="AG60" s="131" t="s">
        <v>399</v>
      </c>
      <c r="AH60" s="130" t="s">
        <v>464</v>
      </c>
      <c r="AI60" s="128" t="n">
        <v>1</v>
      </c>
      <c r="AJ60" s="130" t="s">
        <v>465</v>
      </c>
      <c r="AK60" s="130" t="s">
        <v>466</v>
      </c>
      <c r="AL60" s="130" t="s">
        <v>454</v>
      </c>
      <c r="AM60" s="16"/>
      <c r="AN60" s="16"/>
      <c r="AO60" s="128" t="n">
        <v>8</v>
      </c>
      <c r="AP60" s="128" t="n">
        <v>1</v>
      </c>
      <c r="AQ60" s="131" t="s">
        <v>390</v>
      </c>
      <c r="AR60" s="131" t="s">
        <v>391</v>
      </c>
      <c r="AS60" s="131" t="s">
        <v>383</v>
      </c>
      <c r="AT60" s="131" t="s">
        <v>384</v>
      </c>
      <c r="AU60" s="131" t="s">
        <v>399</v>
      </c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  <c r="BF60" s="131"/>
      <c r="BG60" s="131"/>
      <c r="BH60" s="131"/>
      <c r="BI60" s="131"/>
      <c r="BJ60" s="131"/>
      <c r="BK60" s="128"/>
      <c r="BL60" s="131"/>
      <c r="BM60" s="131"/>
      <c r="BN60" s="131"/>
      <c r="BO60" s="131"/>
      <c r="BP60" s="133"/>
      <c r="BQ60" s="131"/>
      <c r="BR60" s="131"/>
      <c r="BS60" s="131"/>
      <c r="BT60" s="131"/>
      <c r="BU60" s="131"/>
      <c r="BV60" s="131"/>
      <c r="BW60" s="133"/>
      <c r="BX60" s="131"/>
      <c r="BY60" s="128"/>
      <c r="BZ60" s="131"/>
      <c r="CA60" s="131"/>
      <c r="CB60" s="131"/>
      <c r="CC60" s="131"/>
      <c r="CD60" s="131"/>
      <c r="CE60" s="134"/>
      <c r="CF60" s="128"/>
      <c r="CG60" s="131"/>
      <c r="CH60" s="131"/>
      <c r="CI60" s="131"/>
      <c r="CJ60" s="131"/>
      <c r="CK60" s="131"/>
      <c r="CL60" s="131"/>
      <c r="CM60" s="128"/>
      <c r="CN60" s="131"/>
      <c r="CO60" s="131"/>
      <c r="CP60" s="131"/>
      <c r="CQ60" s="131"/>
      <c r="CR60" s="131"/>
    </row>
    <row r="61" customFormat="false" ht="12.8" hidden="false" customHeight="false" outlineLevel="0" collapsed="false">
      <c r="A61" s="16" t="s">
        <v>53</v>
      </c>
      <c r="B61" s="16" t="s">
        <v>98</v>
      </c>
      <c r="C61" s="16" t="s">
        <v>217</v>
      </c>
      <c r="D61" s="16" t="s">
        <v>218</v>
      </c>
      <c r="E61" s="140" t="s">
        <v>89</v>
      </c>
      <c r="F61" s="16" t="s">
        <v>188</v>
      </c>
      <c r="G61" s="16"/>
      <c r="H61" s="16"/>
      <c r="I61" s="39"/>
      <c r="J61" s="39" t="n">
        <v>5500</v>
      </c>
      <c r="K61" s="42" t="n">
        <v>23490</v>
      </c>
      <c r="L61" s="50" t="n">
        <v>20</v>
      </c>
      <c r="M61" s="48" t="n">
        <v>0.02</v>
      </c>
      <c r="N61" s="37" t="n">
        <v>3</v>
      </c>
      <c r="O61" s="44" t="n">
        <f aca="false">IF(Y61,1,0)+AB61+AI61+AP61+AW61+BD61+BK61+BR61+BY61+CF61+CM61</f>
        <v>0</v>
      </c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128" t="n">
        <v>8</v>
      </c>
      <c r="AB61" s="128" t="n">
        <v>2</v>
      </c>
      <c r="AC61" s="131" t="s">
        <v>390</v>
      </c>
      <c r="AD61" s="131" t="s">
        <v>391</v>
      </c>
      <c r="AE61" s="131" t="s">
        <v>383</v>
      </c>
      <c r="AF61" s="131" t="s">
        <v>384</v>
      </c>
      <c r="AG61" s="131" t="s">
        <v>399</v>
      </c>
      <c r="AH61" s="130" t="s">
        <v>478</v>
      </c>
      <c r="AI61" s="128" t="n">
        <v>2</v>
      </c>
      <c r="AJ61" s="130" t="s">
        <v>479</v>
      </c>
      <c r="AK61" s="130" t="s">
        <v>480</v>
      </c>
      <c r="AL61" s="130" t="s">
        <v>481</v>
      </c>
      <c r="AM61" s="130" t="s">
        <v>482</v>
      </c>
      <c r="AN61" s="16"/>
      <c r="AO61" s="131"/>
      <c r="AP61" s="128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1"/>
      <c r="BG61" s="131"/>
      <c r="BH61" s="131"/>
      <c r="BI61" s="131"/>
      <c r="BJ61" s="131"/>
      <c r="BK61" s="128"/>
      <c r="BL61" s="131"/>
      <c r="BM61" s="131"/>
      <c r="BN61" s="131"/>
      <c r="BO61" s="131"/>
      <c r="BP61" s="133"/>
      <c r="BQ61" s="131"/>
      <c r="BR61" s="131"/>
      <c r="BS61" s="131"/>
      <c r="BT61" s="131"/>
      <c r="BU61" s="131"/>
      <c r="BV61" s="131"/>
      <c r="BW61" s="133"/>
      <c r="BX61" s="131"/>
      <c r="BY61" s="128"/>
      <c r="BZ61" s="131"/>
      <c r="CA61" s="131"/>
      <c r="CB61" s="131"/>
      <c r="CC61" s="131"/>
      <c r="CD61" s="131"/>
      <c r="CE61" s="134"/>
      <c r="CF61" s="128"/>
      <c r="CG61" s="131"/>
      <c r="CH61" s="131"/>
      <c r="CI61" s="131"/>
      <c r="CJ61" s="131"/>
      <c r="CK61" s="131"/>
      <c r="CL61" s="131"/>
      <c r="CM61" s="128"/>
      <c r="CN61" s="131"/>
      <c r="CO61" s="131"/>
      <c r="CP61" s="131"/>
      <c r="CQ61" s="131"/>
      <c r="CR61" s="131"/>
    </row>
    <row r="62" customFormat="false" ht="12.8" hidden="false" customHeight="false" outlineLevel="0" collapsed="false">
      <c r="A62" s="16" t="s">
        <v>53</v>
      </c>
      <c r="B62" s="16" t="s">
        <v>98</v>
      </c>
      <c r="C62" s="16" t="s">
        <v>217</v>
      </c>
      <c r="D62" s="16" t="s">
        <v>219</v>
      </c>
      <c r="E62" s="140" t="s">
        <v>87</v>
      </c>
      <c r="F62" s="16" t="s">
        <v>210</v>
      </c>
      <c r="G62" s="16"/>
      <c r="H62" s="16"/>
      <c r="I62" s="39"/>
      <c r="J62" s="39" t="n">
        <v>5500</v>
      </c>
      <c r="K62" s="42" t="n">
        <v>23490</v>
      </c>
      <c r="L62" s="50" t="n">
        <v>20</v>
      </c>
      <c r="M62" s="48" t="n">
        <v>0.02</v>
      </c>
      <c r="N62" s="37"/>
      <c r="O62" s="44" t="n">
        <f aca="false">IF(Y62,1,0)+AB62+AI62+AP62+AW62+BD62+BK62+BR62+BY62+CF62+CM62</f>
        <v>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31"/>
      <c r="AP62" s="128"/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  <c r="BA62" s="131"/>
      <c r="BB62" s="131"/>
      <c r="BC62" s="131"/>
      <c r="BD62" s="131"/>
      <c r="BE62" s="131"/>
      <c r="BF62" s="131"/>
      <c r="BG62" s="131"/>
      <c r="BH62" s="131"/>
      <c r="BI62" s="131"/>
      <c r="BJ62" s="131"/>
      <c r="BK62" s="128"/>
      <c r="BL62" s="131"/>
      <c r="BM62" s="131"/>
      <c r="BN62" s="131"/>
      <c r="BO62" s="131"/>
      <c r="BP62" s="133"/>
      <c r="BQ62" s="131"/>
      <c r="BR62" s="131"/>
      <c r="BS62" s="131"/>
      <c r="BT62" s="131"/>
      <c r="BU62" s="131"/>
      <c r="BV62" s="131"/>
      <c r="BW62" s="133"/>
      <c r="BX62" s="131"/>
      <c r="BY62" s="128"/>
      <c r="BZ62" s="131"/>
      <c r="CA62" s="131"/>
      <c r="CB62" s="131"/>
      <c r="CC62" s="131"/>
      <c r="CD62" s="131"/>
      <c r="CE62" s="134"/>
      <c r="CF62" s="128"/>
      <c r="CG62" s="131"/>
      <c r="CH62" s="131"/>
      <c r="CI62" s="131"/>
      <c r="CJ62" s="131"/>
      <c r="CK62" s="131"/>
      <c r="CL62" s="131"/>
      <c r="CM62" s="128"/>
      <c r="CN62" s="131"/>
      <c r="CO62" s="131"/>
      <c r="CP62" s="131"/>
      <c r="CQ62" s="131"/>
      <c r="CR62" s="131"/>
    </row>
    <row r="63" customFormat="false" ht="12.8" hidden="false" customHeight="false" outlineLevel="0" collapsed="false">
      <c r="A63" s="16" t="s">
        <v>53</v>
      </c>
      <c r="B63" s="16" t="s">
        <v>98</v>
      </c>
      <c r="C63" s="16" t="s">
        <v>217</v>
      </c>
      <c r="D63" s="16" t="s">
        <v>220</v>
      </c>
      <c r="E63" s="140" t="s">
        <v>88</v>
      </c>
      <c r="F63" s="16" t="s">
        <v>109</v>
      </c>
      <c r="G63" s="16"/>
      <c r="H63" s="16"/>
      <c r="I63" s="39"/>
      <c r="J63" s="39" t="n">
        <v>5500</v>
      </c>
      <c r="K63" s="42" t="n">
        <v>23490</v>
      </c>
      <c r="L63" s="50" t="n">
        <v>20</v>
      </c>
      <c r="M63" s="48" t="n">
        <v>0.02</v>
      </c>
      <c r="N63" s="37"/>
      <c r="O63" s="44" t="n">
        <f aca="false">IF(Y63,1,0)+AB63+AI63+AP63+AW63+BD63+BK63+BR63+BY63+CF63+CM63</f>
        <v>0</v>
      </c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31"/>
      <c r="AP63" s="128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31"/>
      <c r="BD63" s="131"/>
      <c r="BE63" s="131"/>
      <c r="BF63" s="131"/>
      <c r="BG63" s="131"/>
      <c r="BH63" s="131"/>
      <c r="BI63" s="131"/>
      <c r="BJ63" s="131"/>
      <c r="BK63" s="128"/>
      <c r="BL63" s="131"/>
      <c r="BM63" s="131"/>
      <c r="BN63" s="131"/>
      <c r="BO63" s="131"/>
      <c r="BP63" s="133"/>
      <c r="BQ63" s="131"/>
      <c r="BR63" s="131"/>
      <c r="BS63" s="131"/>
      <c r="BT63" s="131"/>
      <c r="BU63" s="131"/>
      <c r="BV63" s="131"/>
      <c r="BW63" s="133"/>
      <c r="BX63" s="131"/>
      <c r="BY63" s="128"/>
      <c r="BZ63" s="131"/>
      <c r="CA63" s="131"/>
      <c r="CB63" s="131"/>
      <c r="CC63" s="131"/>
      <c r="CD63" s="131"/>
      <c r="CE63" s="134"/>
      <c r="CF63" s="128"/>
      <c r="CG63" s="131"/>
      <c r="CH63" s="131"/>
      <c r="CI63" s="131"/>
      <c r="CJ63" s="131"/>
      <c r="CK63" s="131"/>
      <c r="CL63" s="131"/>
      <c r="CM63" s="128"/>
      <c r="CN63" s="131"/>
      <c r="CO63" s="131"/>
      <c r="CP63" s="131"/>
      <c r="CQ63" s="131"/>
      <c r="CR63" s="131"/>
    </row>
    <row r="64" customFormat="false" ht="12.8" hidden="false" customHeight="false" outlineLevel="0" collapsed="false">
      <c r="A64" s="16" t="s">
        <v>53</v>
      </c>
      <c r="B64" s="17" t="s">
        <v>81</v>
      </c>
      <c r="C64" s="17" t="s">
        <v>246</v>
      </c>
      <c r="D64" s="16" t="s">
        <v>222</v>
      </c>
      <c r="E64" s="140" t="s">
        <v>89</v>
      </c>
      <c r="F64" s="16" t="s">
        <v>188</v>
      </c>
      <c r="G64" s="16"/>
      <c r="H64" s="16"/>
      <c r="I64" s="39"/>
      <c r="J64" s="39" t="n">
        <v>5500</v>
      </c>
      <c r="K64" s="42" t="n">
        <v>36640</v>
      </c>
      <c r="L64" s="50" t="n">
        <v>20</v>
      </c>
      <c r="M64" s="48" t="n">
        <v>0.02</v>
      </c>
      <c r="N64" s="37" t="n">
        <v>2</v>
      </c>
      <c r="O64" s="44" t="n">
        <f aca="false">IF(Y64,1,0)+AB64+AI64+AP64+AW64+BD64+BK64+BR64+BY64+CF64+CM64</f>
        <v>0</v>
      </c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128" t="n">
        <v>8</v>
      </c>
      <c r="AB64" s="128" t="n">
        <v>1</v>
      </c>
      <c r="AC64" s="131" t="s">
        <v>390</v>
      </c>
      <c r="AD64" s="131" t="s">
        <v>391</v>
      </c>
      <c r="AE64" s="131" t="s">
        <v>383</v>
      </c>
      <c r="AF64" s="131" t="s">
        <v>384</v>
      </c>
      <c r="AG64" s="131" t="s">
        <v>399</v>
      </c>
      <c r="AH64" s="130" t="s">
        <v>478</v>
      </c>
      <c r="AI64" s="128" t="n">
        <v>1</v>
      </c>
      <c r="AJ64" s="130" t="s">
        <v>479</v>
      </c>
      <c r="AK64" s="130" t="s">
        <v>480</v>
      </c>
      <c r="AL64" s="130" t="s">
        <v>481</v>
      </c>
      <c r="AM64" s="130" t="s">
        <v>482</v>
      </c>
      <c r="AN64" s="16"/>
      <c r="AO64" s="128" t="n">
        <v>8</v>
      </c>
      <c r="AP64" s="128" t="n">
        <v>1</v>
      </c>
      <c r="AQ64" s="131" t="s">
        <v>390</v>
      </c>
      <c r="AR64" s="131" t="s">
        <v>391</v>
      </c>
      <c r="AS64" s="131" t="s">
        <v>383</v>
      </c>
      <c r="AT64" s="131" t="s">
        <v>384</v>
      </c>
      <c r="AU64" s="131" t="s">
        <v>399</v>
      </c>
      <c r="AV64" s="131"/>
      <c r="AW64" s="131"/>
      <c r="AX64" s="131"/>
      <c r="AY64" s="131"/>
      <c r="AZ64" s="131"/>
      <c r="BA64" s="131"/>
      <c r="BB64" s="131"/>
      <c r="BC64" s="131"/>
      <c r="BD64" s="131"/>
      <c r="BE64" s="131"/>
      <c r="BF64" s="131"/>
      <c r="BG64" s="131"/>
      <c r="BH64" s="131"/>
      <c r="BI64" s="131"/>
      <c r="BJ64" s="131"/>
      <c r="BK64" s="128"/>
      <c r="BL64" s="131"/>
      <c r="BM64" s="131"/>
      <c r="BN64" s="131"/>
      <c r="BO64" s="131"/>
      <c r="BP64" s="133"/>
      <c r="BQ64" s="131"/>
      <c r="BR64" s="131"/>
      <c r="BS64" s="131"/>
      <c r="BT64" s="131"/>
      <c r="BU64" s="131"/>
      <c r="BV64" s="131"/>
      <c r="BW64" s="133"/>
      <c r="BX64" s="131"/>
      <c r="BY64" s="128"/>
      <c r="BZ64" s="131"/>
      <c r="CA64" s="131"/>
      <c r="CB64" s="131"/>
      <c r="CC64" s="131"/>
      <c r="CD64" s="131"/>
      <c r="CE64" s="134"/>
      <c r="CF64" s="128"/>
      <c r="CG64" s="131"/>
      <c r="CH64" s="131"/>
      <c r="CI64" s="131"/>
      <c r="CJ64" s="131"/>
      <c r="CK64" s="131"/>
      <c r="CL64" s="131"/>
      <c r="CM64" s="128"/>
      <c r="CN64" s="131"/>
      <c r="CO64" s="131"/>
      <c r="CP64" s="131"/>
      <c r="CQ64" s="131"/>
      <c r="CR64" s="131"/>
    </row>
    <row r="65" customFormat="false" ht="12.8" hidden="false" customHeight="false" outlineLevel="0" collapsed="false">
      <c r="A65" s="16" t="s">
        <v>53</v>
      </c>
      <c r="B65" s="17" t="s">
        <v>81</v>
      </c>
      <c r="C65" s="17" t="s">
        <v>246</v>
      </c>
      <c r="D65" s="16" t="s">
        <v>236</v>
      </c>
      <c r="E65" s="140" t="s">
        <v>87</v>
      </c>
      <c r="F65" s="16" t="s">
        <v>237</v>
      </c>
      <c r="G65" s="16"/>
      <c r="H65" s="16"/>
      <c r="I65" s="39"/>
      <c r="J65" s="39" t="n">
        <v>5500</v>
      </c>
      <c r="K65" s="42" t="n">
        <v>36640</v>
      </c>
      <c r="L65" s="50" t="n">
        <v>20</v>
      </c>
      <c r="M65" s="48" t="n">
        <v>0.02</v>
      </c>
      <c r="N65" s="37"/>
      <c r="O65" s="44" t="n">
        <f aca="false">IF(Y65,1,0)+AB65+AI65+AP65+AW65+BD65+BK65+BR65+BY65+CF65+CM65</f>
        <v>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31"/>
      <c r="AP65" s="128"/>
      <c r="AQ65" s="131"/>
      <c r="AR65" s="131"/>
      <c r="AS65" s="131"/>
      <c r="AT65" s="131"/>
      <c r="AU65" s="131"/>
      <c r="AV65" s="131"/>
      <c r="AW65" s="131"/>
      <c r="AX65" s="131"/>
      <c r="AY65" s="131"/>
      <c r="AZ65" s="131"/>
      <c r="BA65" s="131"/>
      <c r="BB65" s="131"/>
      <c r="BC65" s="131"/>
      <c r="BD65" s="131"/>
      <c r="BE65" s="131"/>
      <c r="BF65" s="131"/>
      <c r="BG65" s="131"/>
      <c r="BH65" s="131"/>
      <c r="BI65" s="131"/>
      <c r="BJ65" s="131"/>
      <c r="BK65" s="128"/>
      <c r="BL65" s="131"/>
      <c r="BM65" s="131"/>
      <c r="BN65" s="131"/>
      <c r="BO65" s="131"/>
      <c r="BP65" s="133"/>
      <c r="BQ65" s="131"/>
      <c r="BR65" s="131"/>
      <c r="BS65" s="131"/>
      <c r="BT65" s="131"/>
      <c r="BU65" s="131"/>
      <c r="BV65" s="131"/>
      <c r="BW65" s="133"/>
      <c r="BX65" s="131"/>
      <c r="BY65" s="128"/>
      <c r="BZ65" s="131"/>
      <c r="CA65" s="131"/>
      <c r="CB65" s="131"/>
      <c r="CC65" s="131"/>
      <c r="CD65" s="131"/>
      <c r="CE65" s="134"/>
      <c r="CF65" s="128"/>
      <c r="CG65" s="131"/>
      <c r="CH65" s="131"/>
      <c r="CI65" s="131"/>
      <c r="CJ65" s="131"/>
      <c r="CK65" s="131"/>
      <c r="CL65" s="131"/>
      <c r="CM65" s="128"/>
      <c r="CN65" s="131"/>
      <c r="CO65" s="131"/>
      <c r="CP65" s="131"/>
      <c r="CQ65" s="131"/>
      <c r="CR65" s="131"/>
    </row>
    <row r="66" customFormat="false" ht="12.8" hidden="false" customHeight="false" outlineLevel="0" collapsed="false">
      <c r="A66" s="16" t="s">
        <v>53</v>
      </c>
      <c r="B66" s="17" t="s">
        <v>81</v>
      </c>
      <c r="C66" s="16" t="s">
        <v>243</v>
      </c>
      <c r="D66" s="16" t="s">
        <v>244</v>
      </c>
      <c r="E66" s="140" t="s">
        <v>89</v>
      </c>
      <c r="F66" s="16" t="s">
        <v>112</v>
      </c>
      <c r="G66" s="16"/>
      <c r="H66" s="16"/>
      <c r="I66" s="39"/>
      <c r="J66" s="39" t="n">
        <v>5500</v>
      </c>
      <c r="K66" s="42" t="n">
        <v>32980</v>
      </c>
      <c r="L66" s="50" t="n">
        <v>20</v>
      </c>
      <c r="M66" s="48" t="n">
        <v>0.02</v>
      </c>
      <c r="N66" s="37" t="n">
        <v>3</v>
      </c>
      <c r="O66" s="44" t="n">
        <f aca="false">IF(Y66,1,0)+AB66+AI66+AP66+AW66+BD66+BK66+BR66+BY66+CF66+CM66</f>
        <v>0</v>
      </c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128" t="n">
        <v>8</v>
      </c>
      <c r="AB66" s="128" t="n">
        <v>2</v>
      </c>
      <c r="AC66" s="131" t="s">
        <v>390</v>
      </c>
      <c r="AD66" s="131" t="s">
        <v>391</v>
      </c>
      <c r="AE66" s="131" t="s">
        <v>383</v>
      </c>
      <c r="AF66" s="131" t="s">
        <v>384</v>
      </c>
      <c r="AG66" s="131" t="s">
        <v>399</v>
      </c>
      <c r="AH66" s="130" t="s">
        <v>478</v>
      </c>
      <c r="AI66" s="128" t="n">
        <v>2</v>
      </c>
      <c r="AJ66" s="130" t="s">
        <v>479</v>
      </c>
      <c r="AK66" s="130" t="s">
        <v>480</v>
      </c>
      <c r="AL66" s="130" t="s">
        <v>481</v>
      </c>
      <c r="AM66" s="130" t="s">
        <v>482</v>
      </c>
      <c r="AN66" s="16"/>
      <c r="AO66" s="131"/>
      <c r="AP66" s="128"/>
      <c r="AQ66" s="131"/>
      <c r="AR66" s="131"/>
      <c r="AS66" s="131"/>
      <c r="AT66" s="131"/>
      <c r="AU66" s="131"/>
      <c r="AV66" s="131"/>
      <c r="AW66" s="131"/>
      <c r="AX66" s="131"/>
      <c r="AY66" s="131"/>
      <c r="AZ66" s="131"/>
      <c r="BA66" s="131"/>
      <c r="BB66" s="131"/>
      <c r="BC66" s="131"/>
      <c r="BD66" s="131"/>
      <c r="BE66" s="131"/>
      <c r="BF66" s="131"/>
      <c r="BG66" s="131"/>
      <c r="BH66" s="131"/>
      <c r="BI66" s="131"/>
      <c r="BJ66" s="131"/>
      <c r="BK66" s="128"/>
      <c r="BL66" s="131"/>
      <c r="BM66" s="131"/>
      <c r="BN66" s="131"/>
      <c r="BO66" s="131"/>
      <c r="BP66" s="133"/>
      <c r="BQ66" s="131"/>
      <c r="BR66" s="131"/>
      <c r="BS66" s="131"/>
      <c r="BT66" s="131"/>
      <c r="BU66" s="131"/>
      <c r="BV66" s="131"/>
      <c r="BW66" s="133"/>
      <c r="BX66" s="131"/>
      <c r="BY66" s="128"/>
      <c r="BZ66" s="131"/>
      <c r="CA66" s="131"/>
      <c r="CB66" s="131"/>
      <c r="CC66" s="131"/>
      <c r="CD66" s="131"/>
      <c r="CE66" s="134"/>
      <c r="CF66" s="128"/>
      <c r="CG66" s="131"/>
      <c r="CH66" s="131"/>
      <c r="CI66" s="131"/>
      <c r="CJ66" s="131"/>
      <c r="CK66" s="131"/>
      <c r="CL66" s="131"/>
      <c r="CM66" s="128"/>
      <c r="CN66" s="131"/>
      <c r="CO66" s="131"/>
      <c r="CP66" s="131"/>
      <c r="CQ66" s="131"/>
      <c r="CR66" s="131"/>
    </row>
    <row r="67" customFormat="false" ht="12.8" hidden="false" customHeight="false" outlineLevel="0" collapsed="false">
      <c r="A67" s="16" t="s">
        <v>53</v>
      </c>
      <c r="B67" s="17" t="s">
        <v>81</v>
      </c>
      <c r="C67" s="16" t="s">
        <v>243</v>
      </c>
      <c r="D67" s="16" t="s">
        <v>245</v>
      </c>
      <c r="E67" s="140" t="s">
        <v>87</v>
      </c>
      <c r="F67" s="16" t="s">
        <v>170</v>
      </c>
      <c r="G67" s="16"/>
      <c r="H67" s="16"/>
      <c r="I67" s="39"/>
      <c r="J67" s="39" t="n">
        <v>5500</v>
      </c>
      <c r="K67" s="42" t="n">
        <v>36640</v>
      </c>
      <c r="L67" s="50" t="n">
        <v>30</v>
      </c>
      <c r="M67" s="48"/>
      <c r="N67" s="37"/>
      <c r="O67" s="44" t="n">
        <f aca="false">IF(Y67,1,0)+AB67+AI67+AP67+AW67+BD67+BK67+BR67+BY67+CF67+CM67</f>
        <v>0</v>
      </c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31"/>
      <c r="AP67" s="128"/>
      <c r="AQ67" s="131"/>
      <c r="AR67" s="131"/>
      <c r="AS67" s="131"/>
      <c r="AT67" s="131"/>
      <c r="AU67" s="131"/>
      <c r="AV67" s="131"/>
      <c r="AW67" s="131"/>
      <c r="AX67" s="131"/>
      <c r="AY67" s="131"/>
      <c r="AZ67" s="131"/>
      <c r="BA67" s="131"/>
      <c r="BB67" s="131"/>
      <c r="BC67" s="131"/>
      <c r="BD67" s="131"/>
      <c r="BE67" s="131"/>
      <c r="BF67" s="131"/>
      <c r="BG67" s="131"/>
      <c r="BH67" s="131"/>
      <c r="BI67" s="131"/>
      <c r="BJ67" s="131"/>
      <c r="BK67" s="128"/>
      <c r="BL67" s="131"/>
      <c r="BM67" s="131"/>
      <c r="BN67" s="131"/>
      <c r="BO67" s="131"/>
      <c r="BP67" s="133"/>
      <c r="BQ67" s="131"/>
      <c r="BR67" s="131"/>
      <c r="BS67" s="131"/>
      <c r="BT67" s="131"/>
      <c r="BU67" s="131"/>
      <c r="BV67" s="131"/>
      <c r="BW67" s="133"/>
      <c r="BX67" s="131"/>
      <c r="BY67" s="128"/>
      <c r="BZ67" s="131"/>
      <c r="CA67" s="131"/>
      <c r="CB67" s="131"/>
      <c r="CC67" s="131"/>
      <c r="CD67" s="131"/>
      <c r="CE67" s="134"/>
      <c r="CF67" s="128"/>
      <c r="CG67" s="131"/>
      <c r="CH67" s="131"/>
      <c r="CI67" s="131"/>
      <c r="CJ67" s="131"/>
      <c r="CK67" s="131"/>
      <c r="CL67" s="131"/>
      <c r="CM67" s="128"/>
      <c r="CN67" s="131"/>
      <c r="CO67" s="131"/>
      <c r="CP67" s="131"/>
      <c r="CQ67" s="131"/>
      <c r="CR67" s="131"/>
    </row>
    <row r="68" customFormat="false" ht="12.8" hidden="false" customHeight="false" outlineLevel="0" collapsed="false">
      <c r="A68" s="16" t="s">
        <v>53</v>
      </c>
      <c r="B68" s="17" t="s">
        <v>81</v>
      </c>
      <c r="C68" s="16" t="s">
        <v>243</v>
      </c>
      <c r="D68" s="16" t="s">
        <v>225</v>
      </c>
      <c r="E68" s="140" t="s">
        <v>88</v>
      </c>
      <c r="F68" s="16" t="s">
        <v>180</v>
      </c>
      <c r="G68" s="16"/>
      <c r="H68" s="16"/>
      <c r="I68" s="39"/>
      <c r="J68" s="39" t="n">
        <v>5500</v>
      </c>
      <c r="K68" s="42" t="n">
        <v>36640</v>
      </c>
      <c r="L68" s="50" t="n">
        <v>30</v>
      </c>
      <c r="M68" s="48"/>
      <c r="N68" s="37"/>
      <c r="O68" s="44" t="n">
        <f aca="false">IF(Y68,1,0)+AB68+AI68+AP68+AW68+BD68+BK68+BR68+BY68+CF68+CM68</f>
        <v>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31"/>
      <c r="AP68" s="128"/>
      <c r="AQ68" s="131"/>
      <c r="AR68" s="131"/>
      <c r="AS68" s="131"/>
      <c r="AT68" s="131"/>
      <c r="AU68" s="131"/>
      <c r="AV68" s="131"/>
      <c r="AW68" s="131"/>
      <c r="AX68" s="131"/>
      <c r="AY68" s="131"/>
      <c r="AZ68" s="131"/>
      <c r="BA68" s="131"/>
      <c r="BB68" s="131"/>
      <c r="BC68" s="131"/>
      <c r="BD68" s="131"/>
      <c r="BE68" s="131"/>
      <c r="BF68" s="131"/>
      <c r="BG68" s="131"/>
      <c r="BH68" s="131"/>
      <c r="BI68" s="131"/>
      <c r="BJ68" s="131"/>
      <c r="BK68" s="128"/>
      <c r="BL68" s="131"/>
      <c r="BM68" s="131"/>
      <c r="BN68" s="131"/>
      <c r="BO68" s="131"/>
      <c r="BP68" s="133"/>
      <c r="BQ68" s="131"/>
      <c r="BR68" s="131"/>
      <c r="BS68" s="131"/>
      <c r="BT68" s="131"/>
      <c r="BU68" s="131"/>
      <c r="BV68" s="131"/>
      <c r="BW68" s="133"/>
      <c r="BX68" s="131"/>
      <c r="BY68" s="128"/>
      <c r="BZ68" s="131"/>
      <c r="CA68" s="131"/>
      <c r="CB68" s="131"/>
      <c r="CC68" s="131"/>
      <c r="CD68" s="131"/>
      <c r="CE68" s="134"/>
      <c r="CF68" s="128"/>
      <c r="CG68" s="131"/>
      <c r="CH68" s="131"/>
      <c r="CI68" s="131"/>
      <c r="CJ68" s="131"/>
      <c r="CK68" s="131"/>
      <c r="CL68" s="131"/>
      <c r="CM68" s="128"/>
      <c r="CN68" s="131"/>
      <c r="CO68" s="131"/>
      <c r="CP68" s="131"/>
      <c r="CQ68" s="131"/>
      <c r="CR68" s="131"/>
    </row>
    <row r="69" customFormat="false" ht="12.8" hidden="false" customHeight="false" outlineLevel="0" collapsed="false">
      <c r="A69" s="16" t="s">
        <v>53</v>
      </c>
      <c r="B69" s="16" t="s">
        <v>158</v>
      </c>
      <c r="C69" s="16" t="s">
        <v>235</v>
      </c>
      <c r="D69" s="16" t="s">
        <v>236</v>
      </c>
      <c r="E69" s="140" t="s">
        <v>89</v>
      </c>
      <c r="F69" s="16" t="s">
        <v>237</v>
      </c>
      <c r="G69" s="16"/>
      <c r="H69" s="16"/>
      <c r="I69" s="39"/>
      <c r="J69" s="39" t="n">
        <v>5500</v>
      </c>
      <c r="K69" s="42" t="n">
        <v>29570</v>
      </c>
      <c r="L69" s="50" t="n">
        <v>20</v>
      </c>
      <c r="M69" s="48" t="n">
        <v>0.02</v>
      </c>
      <c r="N69" s="37" t="n">
        <v>3</v>
      </c>
      <c r="O69" s="44" t="n">
        <f aca="false">IF(Y69,1,0)+AB69+AI69+AP69+AW69+BD69+BK69+BR69+BY69+CF69+CM69</f>
        <v>0</v>
      </c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128" t="n">
        <v>8</v>
      </c>
      <c r="AB69" s="128" t="n">
        <v>2</v>
      </c>
      <c r="AC69" s="131" t="s">
        <v>390</v>
      </c>
      <c r="AD69" s="131" t="s">
        <v>391</v>
      </c>
      <c r="AE69" s="131" t="s">
        <v>383</v>
      </c>
      <c r="AF69" s="131" t="s">
        <v>384</v>
      </c>
      <c r="AG69" s="131" t="s">
        <v>399</v>
      </c>
      <c r="AH69" s="130" t="s">
        <v>478</v>
      </c>
      <c r="AI69" s="128" t="n">
        <v>2</v>
      </c>
      <c r="AJ69" s="130" t="s">
        <v>479</v>
      </c>
      <c r="AK69" s="130" t="s">
        <v>480</v>
      </c>
      <c r="AL69" s="130" t="s">
        <v>481</v>
      </c>
      <c r="AM69" s="130" t="s">
        <v>482</v>
      </c>
      <c r="AN69" s="16"/>
      <c r="AO69" s="131"/>
      <c r="AP69" s="128"/>
      <c r="AQ69" s="131"/>
      <c r="AR69" s="131"/>
      <c r="AS69" s="131"/>
      <c r="AT69" s="131"/>
      <c r="AU69" s="131"/>
      <c r="AV69" s="131"/>
      <c r="AW69" s="131"/>
      <c r="AX69" s="131"/>
      <c r="AY69" s="131"/>
      <c r="AZ69" s="131"/>
      <c r="BA69" s="131"/>
      <c r="BB69" s="131"/>
      <c r="BC69" s="131"/>
      <c r="BD69" s="131"/>
      <c r="BE69" s="131"/>
      <c r="BF69" s="131"/>
      <c r="BG69" s="131"/>
      <c r="BH69" s="131"/>
      <c r="BI69" s="131"/>
      <c r="BJ69" s="131"/>
      <c r="BK69" s="128"/>
      <c r="BL69" s="131"/>
      <c r="BM69" s="131"/>
      <c r="BN69" s="131"/>
      <c r="BO69" s="131"/>
      <c r="BP69" s="133"/>
      <c r="BQ69" s="131"/>
      <c r="BR69" s="131"/>
      <c r="BS69" s="131"/>
      <c r="BT69" s="131"/>
      <c r="BU69" s="131"/>
      <c r="BV69" s="131"/>
      <c r="BW69" s="133"/>
      <c r="BX69" s="131"/>
      <c r="BY69" s="128"/>
      <c r="BZ69" s="131"/>
      <c r="CA69" s="131"/>
      <c r="CB69" s="131"/>
      <c r="CC69" s="131"/>
      <c r="CD69" s="131"/>
      <c r="CE69" s="134"/>
      <c r="CF69" s="128"/>
      <c r="CG69" s="131"/>
      <c r="CH69" s="131"/>
      <c r="CI69" s="131"/>
      <c r="CJ69" s="131"/>
      <c r="CK69" s="131"/>
      <c r="CL69" s="131"/>
      <c r="CM69" s="128"/>
      <c r="CN69" s="131"/>
      <c r="CO69" s="131"/>
      <c r="CP69" s="131"/>
      <c r="CQ69" s="131"/>
      <c r="CR69" s="131"/>
    </row>
    <row r="70" customFormat="false" ht="12.8" hidden="false" customHeight="false" outlineLevel="0" collapsed="false">
      <c r="A70" s="16" t="s">
        <v>53</v>
      </c>
      <c r="B70" s="16" t="s">
        <v>158</v>
      </c>
      <c r="C70" s="16" t="s">
        <v>235</v>
      </c>
      <c r="D70" s="16" t="s">
        <v>218</v>
      </c>
      <c r="E70" s="140" t="s">
        <v>87</v>
      </c>
      <c r="F70" s="16" t="s">
        <v>188</v>
      </c>
      <c r="G70" s="16"/>
      <c r="H70" s="16"/>
      <c r="I70" s="39"/>
      <c r="J70" s="39" t="n">
        <v>5500</v>
      </c>
      <c r="K70" s="42" t="n">
        <v>29570</v>
      </c>
      <c r="L70" s="50" t="n">
        <v>20</v>
      </c>
      <c r="M70" s="48" t="n">
        <v>0.02</v>
      </c>
      <c r="N70" s="37" t="n">
        <v>3</v>
      </c>
      <c r="O70" s="44" t="n">
        <f aca="false">IF(Y70,1,0)+AB70+AI70+AP70+AW70+BD70+BK70+BR70+BY70+CF70+CM70</f>
        <v>0</v>
      </c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31"/>
      <c r="AP70" s="128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  <c r="BD70" s="131"/>
      <c r="BE70" s="131"/>
      <c r="BF70" s="131"/>
      <c r="BG70" s="131"/>
      <c r="BH70" s="131"/>
      <c r="BI70" s="131"/>
      <c r="BJ70" s="131"/>
      <c r="BK70" s="128"/>
      <c r="BL70" s="131"/>
      <c r="BM70" s="131"/>
      <c r="BN70" s="131"/>
      <c r="BO70" s="131"/>
      <c r="BP70" s="133"/>
      <c r="BQ70" s="131"/>
      <c r="BR70" s="131"/>
      <c r="BS70" s="131"/>
      <c r="BT70" s="131"/>
      <c r="BU70" s="131"/>
      <c r="BV70" s="131"/>
      <c r="BW70" s="133"/>
      <c r="BX70" s="131"/>
      <c r="BY70" s="128"/>
      <c r="BZ70" s="131"/>
      <c r="CA70" s="131"/>
      <c r="CB70" s="131"/>
      <c r="CC70" s="131"/>
      <c r="CD70" s="131"/>
      <c r="CE70" s="134"/>
      <c r="CF70" s="128"/>
      <c r="CG70" s="131"/>
      <c r="CH70" s="131"/>
      <c r="CI70" s="131"/>
      <c r="CJ70" s="131"/>
      <c r="CK70" s="131"/>
      <c r="CL70" s="131"/>
      <c r="CM70" s="128"/>
      <c r="CN70" s="131"/>
      <c r="CO70" s="131"/>
      <c r="CP70" s="131"/>
      <c r="CQ70" s="131"/>
      <c r="CR70" s="131"/>
    </row>
    <row r="71" customFormat="false" ht="12.8" hidden="false" customHeight="false" outlineLevel="0" collapsed="false">
      <c r="A71" s="16" t="s">
        <v>53</v>
      </c>
      <c r="B71" s="16" t="s">
        <v>158</v>
      </c>
      <c r="C71" s="16" t="s">
        <v>235</v>
      </c>
      <c r="D71" s="16" t="s">
        <v>222</v>
      </c>
      <c r="E71" s="140" t="s">
        <v>88</v>
      </c>
      <c r="F71" s="16" t="s">
        <v>238</v>
      </c>
      <c r="G71" s="16"/>
      <c r="H71" s="16"/>
      <c r="I71" s="39"/>
      <c r="J71" s="39" t="n">
        <v>5500</v>
      </c>
      <c r="K71" s="42" t="n">
        <v>29570</v>
      </c>
      <c r="L71" s="50" t="n">
        <v>20</v>
      </c>
      <c r="M71" s="48" t="n">
        <v>0.02</v>
      </c>
      <c r="N71" s="37" t="n">
        <v>3</v>
      </c>
      <c r="O71" s="44" t="n">
        <f aca="false">IF(Y71,1,0)+AB71+AI71+AP71+AW71+BD71+BK71+BR71+BY71+CF71+CM71</f>
        <v>0</v>
      </c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31"/>
      <c r="AP71" s="128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  <c r="BA71" s="131"/>
      <c r="BB71" s="131"/>
      <c r="BC71" s="131"/>
      <c r="BD71" s="131"/>
      <c r="BE71" s="131"/>
      <c r="BF71" s="131"/>
      <c r="BG71" s="131"/>
      <c r="BH71" s="131"/>
      <c r="BI71" s="131"/>
      <c r="BJ71" s="131"/>
      <c r="BK71" s="128"/>
      <c r="BL71" s="131"/>
      <c r="BM71" s="131"/>
      <c r="BN71" s="131"/>
      <c r="BO71" s="131"/>
      <c r="BP71" s="133"/>
      <c r="BQ71" s="131"/>
      <c r="BR71" s="131"/>
      <c r="BS71" s="131"/>
      <c r="BT71" s="131"/>
      <c r="BU71" s="131"/>
      <c r="BV71" s="131"/>
      <c r="BW71" s="133"/>
      <c r="BX71" s="131"/>
      <c r="BY71" s="128"/>
      <c r="BZ71" s="131"/>
      <c r="CA71" s="131"/>
      <c r="CB71" s="131"/>
      <c r="CC71" s="131"/>
      <c r="CD71" s="131"/>
      <c r="CE71" s="134"/>
      <c r="CF71" s="128"/>
      <c r="CG71" s="131"/>
      <c r="CH71" s="131"/>
      <c r="CI71" s="131"/>
      <c r="CJ71" s="131"/>
      <c r="CK71" s="131"/>
      <c r="CL71" s="131"/>
      <c r="CM71" s="128"/>
      <c r="CN71" s="131"/>
      <c r="CO71" s="131"/>
      <c r="CP71" s="131"/>
      <c r="CQ71" s="131"/>
      <c r="CR71" s="131"/>
    </row>
    <row r="72" customFormat="false" ht="12.8" hidden="false" customHeight="false" outlineLevel="0" collapsed="false">
      <c r="A72" s="16" t="s">
        <v>53</v>
      </c>
      <c r="B72" s="17" t="s">
        <v>93</v>
      </c>
      <c r="C72" s="130" t="s">
        <v>250</v>
      </c>
      <c r="D72" s="17" t="s">
        <v>251</v>
      </c>
      <c r="E72" s="140" t="s">
        <v>89</v>
      </c>
      <c r="F72" s="16" t="s">
        <v>148</v>
      </c>
      <c r="G72" s="16"/>
      <c r="H72" s="16"/>
      <c r="I72" s="39"/>
      <c r="J72" s="39" t="n">
        <v>5500</v>
      </c>
      <c r="K72" s="141" t="n">
        <v>31240</v>
      </c>
      <c r="L72" s="142" t="n">
        <v>5</v>
      </c>
      <c r="M72" s="51"/>
      <c r="N72" s="141" t="n">
        <v>3</v>
      </c>
      <c r="O72" s="44" t="n">
        <f aca="false">IF(Y72,1,0)+AB72+AI72+AP72+AW72+BD72+BK72+BR72+BY72+CF72+CM72</f>
        <v>0</v>
      </c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28" t="n">
        <v>8</v>
      </c>
      <c r="AB72" s="128" t="n">
        <v>2</v>
      </c>
      <c r="AC72" s="131" t="s">
        <v>390</v>
      </c>
      <c r="AD72" s="131" t="s">
        <v>391</v>
      </c>
      <c r="AE72" s="131" t="s">
        <v>383</v>
      </c>
      <c r="AF72" s="131" t="s">
        <v>384</v>
      </c>
      <c r="AG72" s="131" t="s">
        <v>399</v>
      </c>
      <c r="AH72" s="130" t="s">
        <v>478</v>
      </c>
      <c r="AI72" s="128" t="n">
        <v>2</v>
      </c>
      <c r="AJ72" s="130" t="s">
        <v>479</v>
      </c>
      <c r="AK72" s="130" t="s">
        <v>480</v>
      </c>
      <c r="AL72" s="130" t="s">
        <v>481</v>
      </c>
      <c r="AM72" s="130" t="s">
        <v>482</v>
      </c>
      <c r="AN72" s="130"/>
      <c r="AO72" s="131"/>
      <c r="AP72" s="128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  <c r="BD72" s="131"/>
      <c r="BE72" s="131"/>
      <c r="BF72" s="131"/>
      <c r="BG72" s="131"/>
      <c r="BH72" s="131"/>
      <c r="BI72" s="131"/>
      <c r="BJ72" s="131"/>
      <c r="BK72" s="128"/>
      <c r="BL72" s="131"/>
      <c r="BM72" s="131"/>
      <c r="BN72" s="131"/>
      <c r="BO72" s="131"/>
      <c r="BP72" s="133"/>
      <c r="BQ72" s="131"/>
      <c r="BR72" s="131"/>
      <c r="BS72" s="131"/>
      <c r="BT72" s="131"/>
      <c r="BU72" s="131"/>
      <c r="BV72" s="131"/>
      <c r="BW72" s="133"/>
      <c r="BX72" s="131"/>
      <c r="BY72" s="128"/>
      <c r="BZ72" s="131"/>
      <c r="CA72" s="131"/>
      <c r="CB72" s="131"/>
      <c r="CC72" s="131"/>
      <c r="CD72" s="131"/>
      <c r="CE72" s="134"/>
      <c r="CF72" s="128"/>
      <c r="CG72" s="131"/>
      <c r="CH72" s="131"/>
      <c r="CI72" s="131"/>
      <c r="CJ72" s="131"/>
      <c r="CK72" s="131"/>
      <c r="CL72" s="131"/>
      <c r="CM72" s="128"/>
      <c r="CN72" s="131"/>
      <c r="CO72" s="131"/>
      <c r="CP72" s="131"/>
      <c r="CQ72" s="131"/>
      <c r="CR72" s="131"/>
    </row>
    <row r="73" customFormat="false" ht="12.8" hidden="false" customHeight="false" outlineLevel="0" collapsed="false">
      <c r="A73" s="16" t="s">
        <v>53</v>
      </c>
      <c r="B73" s="17" t="s">
        <v>93</v>
      </c>
      <c r="C73" s="140" t="s">
        <v>250</v>
      </c>
      <c r="D73" s="16" t="s">
        <v>252</v>
      </c>
      <c r="E73" s="140" t="s">
        <v>87</v>
      </c>
      <c r="F73" s="16" t="s">
        <v>126</v>
      </c>
      <c r="G73" s="16"/>
      <c r="H73" s="16"/>
      <c r="I73" s="39"/>
      <c r="J73" s="39" t="n">
        <v>5500</v>
      </c>
      <c r="K73" s="42" t="n">
        <v>31240</v>
      </c>
      <c r="L73" s="50" t="n">
        <v>5</v>
      </c>
      <c r="M73" s="48"/>
      <c r="N73" s="37" t="n">
        <v>3</v>
      </c>
      <c r="O73" s="44" t="n">
        <f aca="false">IF(Y73,1,0)+AB73+AI73+AP73+AW73+BD73+BK73+BR73+BY73+CF73+CM73</f>
        <v>0</v>
      </c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31"/>
      <c r="AP73" s="128"/>
      <c r="AQ73" s="131"/>
      <c r="AR73" s="131"/>
      <c r="AS73" s="131"/>
      <c r="AT73" s="131"/>
      <c r="AU73" s="131"/>
      <c r="AV73" s="131"/>
      <c r="AW73" s="131"/>
      <c r="AX73" s="131"/>
      <c r="AY73" s="131"/>
      <c r="AZ73" s="131"/>
      <c r="BA73" s="131"/>
      <c r="BB73" s="131"/>
      <c r="BC73" s="131"/>
      <c r="BD73" s="131"/>
      <c r="BE73" s="131"/>
      <c r="BF73" s="131"/>
      <c r="BG73" s="131"/>
      <c r="BH73" s="131"/>
      <c r="BI73" s="131"/>
      <c r="BJ73" s="131"/>
      <c r="BK73" s="128"/>
      <c r="BL73" s="131"/>
      <c r="BM73" s="131"/>
      <c r="BN73" s="131"/>
      <c r="BO73" s="131"/>
      <c r="BP73" s="133"/>
      <c r="BQ73" s="131"/>
      <c r="BR73" s="131"/>
      <c r="BS73" s="131"/>
      <c r="BT73" s="131"/>
      <c r="BU73" s="131"/>
      <c r="BV73" s="131"/>
      <c r="BW73" s="133"/>
      <c r="BX73" s="131"/>
      <c r="BY73" s="128"/>
      <c r="BZ73" s="131"/>
      <c r="CA73" s="131"/>
      <c r="CB73" s="131"/>
      <c r="CC73" s="131"/>
      <c r="CD73" s="131"/>
      <c r="CE73" s="134"/>
      <c r="CF73" s="128"/>
      <c r="CG73" s="131"/>
      <c r="CH73" s="131"/>
      <c r="CI73" s="131"/>
      <c r="CJ73" s="131"/>
      <c r="CK73" s="131"/>
      <c r="CL73" s="131"/>
      <c r="CM73" s="128"/>
      <c r="CN73" s="131"/>
      <c r="CO73" s="131"/>
      <c r="CP73" s="131"/>
      <c r="CQ73" s="131"/>
      <c r="CR73" s="131"/>
    </row>
    <row r="74" customFormat="false" ht="12.8" hidden="false" customHeight="false" outlineLevel="0" collapsed="false">
      <c r="A74" s="16" t="s">
        <v>53</v>
      </c>
      <c r="B74" s="17" t="s">
        <v>93</v>
      </c>
      <c r="C74" s="130" t="s">
        <v>250</v>
      </c>
      <c r="D74" s="17" t="s">
        <v>253</v>
      </c>
      <c r="E74" s="130" t="s">
        <v>88</v>
      </c>
      <c r="F74" s="17" t="s">
        <v>178</v>
      </c>
      <c r="G74" s="16"/>
      <c r="H74" s="16"/>
      <c r="I74" s="39"/>
      <c r="J74" s="39" t="n">
        <v>5500</v>
      </c>
      <c r="K74" s="42" t="n">
        <v>28130</v>
      </c>
      <c r="L74" s="50" t="n">
        <v>20</v>
      </c>
      <c r="M74" s="48" t="n">
        <v>0.02</v>
      </c>
      <c r="N74" s="37"/>
      <c r="O74" s="44" t="n">
        <f aca="false">IF(Y74,1,0)+AB74+AI74+AP74+AW74+BD74+BK74+BR74+BY74+CF74+CM74</f>
        <v>0</v>
      </c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31"/>
      <c r="AP74" s="128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1"/>
      <c r="BC74" s="131"/>
      <c r="BD74" s="131"/>
      <c r="BE74" s="131"/>
      <c r="BF74" s="131"/>
      <c r="BG74" s="131"/>
      <c r="BH74" s="131"/>
      <c r="BI74" s="131"/>
      <c r="BJ74" s="131"/>
      <c r="BK74" s="128"/>
      <c r="BL74" s="131"/>
      <c r="BM74" s="131"/>
      <c r="BN74" s="131"/>
      <c r="BO74" s="131"/>
      <c r="BP74" s="133"/>
      <c r="BQ74" s="131"/>
      <c r="BR74" s="131"/>
      <c r="BS74" s="131"/>
      <c r="BT74" s="131"/>
      <c r="BU74" s="131"/>
      <c r="BV74" s="131"/>
      <c r="BW74" s="133"/>
      <c r="BX74" s="131"/>
      <c r="BY74" s="128"/>
      <c r="BZ74" s="131"/>
      <c r="CA74" s="131"/>
      <c r="CB74" s="131"/>
      <c r="CC74" s="131"/>
      <c r="CD74" s="131"/>
      <c r="CE74" s="134"/>
      <c r="CF74" s="128"/>
      <c r="CG74" s="131"/>
      <c r="CH74" s="131"/>
      <c r="CI74" s="131"/>
      <c r="CJ74" s="131"/>
      <c r="CK74" s="131"/>
      <c r="CL74" s="131"/>
      <c r="CM74" s="128"/>
      <c r="CN74" s="131"/>
      <c r="CO74" s="131"/>
      <c r="CP74" s="131"/>
      <c r="CQ74" s="131"/>
      <c r="CR74" s="131"/>
    </row>
    <row r="75" customFormat="false" ht="12.8" hidden="false" customHeight="false" outlineLevel="0" collapsed="false">
      <c r="A75" s="16" t="s">
        <v>53</v>
      </c>
      <c r="B75" s="17" t="s">
        <v>93</v>
      </c>
      <c r="C75" s="140" t="s">
        <v>250</v>
      </c>
      <c r="D75" s="16" t="s">
        <v>254</v>
      </c>
      <c r="E75" s="140" t="s">
        <v>255</v>
      </c>
      <c r="F75" s="16" t="s">
        <v>237</v>
      </c>
      <c r="G75" s="16"/>
      <c r="H75" s="16"/>
      <c r="I75" s="39"/>
      <c r="J75" s="39" t="n">
        <v>5500</v>
      </c>
      <c r="K75" s="141" t="n">
        <v>28130</v>
      </c>
      <c r="L75" s="142" t="n">
        <v>20</v>
      </c>
      <c r="M75" s="51" t="n">
        <v>0.02</v>
      </c>
      <c r="N75" s="141" t="n">
        <v>3</v>
      </c>
      <c r="O75" s="44" t="n">
        <f aca="false">IF(Y75,1,0)+AB75+AI75+AP75+AW75+BD75+BK75+BR75+BY75+CF75+CM75</f>
        <v>0</v>
      </c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28" t="n">
        <v>8</v>
      </c>
      <c r="AB75" s="128" t="n">
        <v>2</v>
      </c>
      <c r="AC75" s="131" t="s">
        <v>390</v>
      </c>
      <c r="AD75" s="131" t="s">
        <v>391</v>
      </c>
      <c r="AE75" s="131" t="s">
        <v>383</v>
      </c>
      <c r="AF75" s="131" t="s">
        <v>384</v>
      </c>
      <c r="AG75" s="131" t="s">
        <v>399</v>
      </c>
      <c r="AH75" s="130" t="s">
        <v>478</v>
      </c>
      <c r="AI75" s="128" t="n">
        <v>2</v>
      </c>
      <c r="AJ75" s="130" t="s">
        <v>479</v>
      </c>
      <c r="AK75" s="130" t="s">
        <v>480</v>
      </c>
      <c r="AL75" s="130" t="s">
        <v>481</v>
      </c>
      <c r="AM75" s="130" t="s">
        <v>482</v>
      </c>
      <c r="AN75" s="130"/>
      <c r="AO75" s="131"/>
      <c r="AP75" s="128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  <c r="BD75" s="131"/>
      <c r="BE75" s="131"/>
      <c r="BF75" s="131"/>
      <c r="BG75" s="131"/>
      <c r="BH75" s="131"/>
      <c r="BI75" s="131"/>
      <c r="BJ75" s="131"/>
      <c r="BK75" s="128"/>
      <c r="BL75" s="131"/>
      <c r="BM75" s="131"/>
      <c r="BN75" s="131"/>
      <c r="BO75" s="131"/>
      <c r="BP75" s="133"/>
      <c r="BQ75" s="131"/>
      <c r="BR75" s="131"/>
      <c r="BS75" s="131"/>
      <c r="BT75" s="131"/>
      <c r="BU75" s="131"/>
      <c r="BV75" s="131"/>
      <c r="BW75" s="133"/>
      <c r="BX75" s="131"/>
      <c r="BY75" s="128"/>
      <c r="BZ75" s="131"/>
      <c r="CA75" s="131"/>
      <c r="CB75" s="131"/>
      <c r="CC75" s="131"/>
      <c r="CD75" s="131"/>
      <c r="CE75" s="134"/>
      <c r="CF75" s="128"/>
      <c r="CG75" s="131"/>
      <c r="CH75" s="131"/>
      <c r="CI75" s="131"/>
      <c r="CJ75" s="131"/>
      <c r="CK75" s="131"/>
      <c r="CL75" s="131"/>
      <c r="CM75" s="128"/>
      <c r="CN75" s="131"/>
      <c r="CO75" s="131"/>
      <c r="CP75" s="131"/>
      <c r="CQ75" s="131"/>
      <c r="CR75" s="131"/>
    </row>
    <row r="76" customFormat="false" ht="12.8" hidden="false" customHeight="false" outlineLevel="0" collapsed="false">
      <c r="A76" s="16" t="s">
        <v>53</v>
      </c>
      <c r="B76" s="16" t="s">
        <v>158</v>
      </c>
      <c r="C76" s="16" t="s">
        <v>413</v>
      </c>
      <c r="D76" s="16" t="s">
        <v>240</v>
      </c>
      <c r="E76" s="140" t="s">
        <v>89</v>
      </c>
      <c r="F76" s="16" t="s">
        <v>128</v>
      </c>
      <c r="G76" s="16"/>
      <c r="H76" s="16"/>
      <c r="I76" s="39"/>
      <c r="J76" s="39" t="n">
        <v>5500</v>
      </c>
      <c r="K76" s="42" t="n">
        <v>27960</v>
      </c>
      <c r="L76" s="50" t="n">
        <v>20</v>
      </c>
      <c r="M76" s="48" t="n">
        <v>0.02</v>
      </c>
      <c r="N76" s="37" t="n">
        <v>3</v>
      </c>
      <c r="O76" s="44" t="n">
        <f aca="false">IF(Y76,1,0)+AB76+AI76+AP76+AW76+BD76+BK76+BR76+BY76+CF76+CM76</f>
        <v>0</v>
      </c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128" t="n">
        <v>8</v>
      </c>
      <c r="AB76" s="128" t="n">
        <v>2</v>
      </c>
      <c r="AC76" s="131" t="s">
        <v>390</v>
      </c>
      <c r="AD76" s="131" t="s">
        <v>391</v>
      </c>
      <c r="AE76" s="131" t="s">
        <v>383</v>
      </c>
      <c r="AF76" s="131" t="s">
        <v>384</v>
      </c>
      <c r="AG76" s="131" t="s">
        <v>399</v>
      </c>
      <c r="AH76" s="130" t="s">
        <v>478</v>
      </c>
      <c r="AI76" s="128" t="n">
        <v>2</v>
      </c>
      <c r="AJ76" s="130" t="s">
        <v>479</v>
      </c>
      <c r="AK76" s="130" t="s">
        <v>480</v>
      </c>
      <c r="AL76" s="130" t="s">
        <v>481</v>
      </c>
      <c r="AM76" s="130" t="s">
        <v>482</v>
      </c>
      <c r="AN76" s="130"/>
      <c r="AO76" s="131"/>
      <c r="AP76" s="128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  <c r="BD76" s="131"/>
      <c r="BE76" s="131"/>
      <c r="BF76" s="131"/>
      <c r="BG76" s="131"/>
      <c r="BH76" s="131"/>
      <c r="BI76" s="131"/>
      <c r="BJ76" s="131"/>
      <c r="BK76" s="128"/>
      <c r="BL76" s="131"/>
      <c r="BM76" s="131"/>
      <c r="BN76" s="131"/>
      <c r="BO76" s="131"/>
      <c r="BP76" s="133"/>
      <c r="BQ76" s="131"/>
      <c r="BR76" s="131"/>
      <c r="BS76" s="131"/>
      <c r="BT76" s="131"/>
      <c r="BU76" s="131"/>
      <c r="BV76" s="131"/>
      <c r="BW76" s="133"/>
      <c r="BX76" s="131"/>
      <c r="BY76" s="128"/>
      <c r="BZ76" s="131"/>
      <c r="CA76" s="131"/>
      <c r="CB76" s="131"/>
      <c r="CC76" s="131"/>
      <c r="CD76" s="131"/>
      <c r="CE76" s="134"/>
      <c r="CF76" s="128"/>
      <c r="CG76" s="131"/>
      <c r="CH76" s="131"/>
      <c r="CI76" s="131"/>
      <c r="CJ76" s="131"/>
      <c r="CK76" s="131"/>
      <c r="CL76" s="131"/>
      <c r="CM76" s="128"/>
      <c r="CN76" s="131"/>
      <c r="CO76" s="131"/>
      <c r="CP76" s="131"/>
      <c r="CQ76" s="131"/>
      <c r="CR76" s="131"/>
    </row>
    <row r="77" customFormat="false" ht="12.8" hidden="false" customHeight="false" outlineLevel="0" collapsed="false">
      <c r="A77" s="16" t="s">
        <v>53</v>
      </c>
      <c r="B77" s="16" t="s">
        <v>158</v>
      </c>
      <c r="C77" s="16" t="s">
        <v>413</v>
      </c>
      <c r="D77" s="16" t="s">
        <v>241</v>
      </c>
      <c r="E77" s="140" t="s">
        <v>87</v>
      </c>
      <c r="F77" s="16" t="s">
        <v>137</v>
      </c>
      <c r="G77" s="16"/>
      <c r="H77" s="16"/>
      <c r="I77" s="39"/>
      <c r="J77" s="39" t="n">
        <v>5500</v>
      </c>
      <c r="K77" s="42" t="n">
        <v>27960</v>
      </c>
      <c r="L77" s="50" t="n">
        <v>20</v>
      </c>
      <c r="M77" s="48" t="n">
        <v>0.02</v>
      </c>
      <c r="N77" s="37" t="n">
        <v>3</v>
      </c>
      <c r="O77" s="44" t="n">
        <f aca="false">IF(Y77,1,0)+AB77+AI77+AP77+AW77+BD77+BK77+BR77+BY77+CF77+CM77</f>
        <v>0</v>
      </c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31"/>
      <c r="AP77" s="128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  <c r="BA77" s="131"/>
      <c r="BB77" s="131"/>
      <c r="BC77" s="131"/>
      <c r="BD77" s="131"/>
      <c r="BE77" s="131"/>
      <c r="BF77" s="131"/>
      <c r="BG77" s="131"/>
      <c r="BH77" s="131"/>
      <c r="BI77" s="131"/>
      <c r="BJ77" s="131"/>
      <c r="BK77" s="128"/>
      <c r="BL77" s="131"/>
      <c r="BM77" s="131"/>
      <c r="BN77" s="131"/>
      <c r="BO77" s="131"/>
      <c r="BP77" s="133"/>
      <c r="BQ77" s="131"/>
      <c r="BR77" s="131"/>
      <c r="BS77" s="131"/>
      <c r="BT77" s="131"/>
      <c r="BU77" s="131"/>
      <c r="BV77" s="131"/>
      <c r="BW77" s="133"/>
      <c r="BX77" s="131"/>
      <c r="BY77" s="128"/>
      <c r="BZ77" s="131"/>
      <c r="CA77" s="131"/>
      <c r="CB77" s="131"/>
      <c r="CC77" s="131"/>
      <c r="CD77" s="131"/>
      <c r="CE77" s="134"/>
      <c r="CF77" s="128"/>
      <c r="CG77" s="131"/>
      <c r="CH77" s="131"/>
      <c r="CI77" s="131"/>
      <c r="CJ77" s="131"/>
      <c r="CK77" s="131"/>
      <c r="CL77" s="131"/>
      <c r="CM77" s="128"/>
      <c r="CN77" s="131"/>
      <c r="CO77" s="131"/>
      <c r="CP77" s="131"/>
      <c r="CQ77" s="131"/>
      <c r="CR77" s="131"/>
    </row>
    <row r="78" customFormat="false" ht="12.8" hidden="false" customHeight="false" outlineLevel="0" collapsed="false">
      <c r="A78" s="16" t="s">
        <v>53</v>
      </c>
      <c r="B78" s="16" t="s">
        <v>158</v>
      </c>
      <c r="C78" s="16" t="s">
        <v>413</v>
      </c>
      <c r="D78" s="16" t="s">
        <v>242</v>
      </c>
      <c r="E78" s="140" t="s">
        <v>88</v>
      </c>
      <c r="F78" s="16" t="s">
        <v>192</v>
      </c>
      <c r="G78" s="16"/>
      <c r="H78" s="16"/>
      <c r="I78" s="39"/>
      <c r="J78" s="39" t="n">
        <v>5500</v>
      </c>
      <c r="K78" s="42" t="n">
        <v>31240</v>
      </c>
      <c r="L78" s="50" t="n">
        <v>30</v>
      </c>
      <c r="M78" s="48"/>
      <c r="N78" s="37"/>
      <c r="O78" s="44" t="n">
        <f aca="false">IF(Y78,1,0)+AB78+AI78+AP78+AW78+BD78+BK78+BR78+BY78+CF78+CM78</f>
        <v>0</v>
      </c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31"/>
      <c r="AP78" s="128"/>
      <c r="AQ78" s="131"/>
      <c r="AR78" s="131"/>
      <c r="AS78" s="131"/>
      <c r="AT78" s="131"/>
      <c r="AU78" s="131"/>
      <c r="AV78" s="131"/>
      <c r="AW78" s="131"/>
      <c r="AX78" s="131"/>
      <c r="AY78" s="131"/>
      <c r="AZ78" s="131"/>
      <c r="BA78" s="131"/>
      <c r="BB78" s="131"/>
      <c r="BC78" s="131"/>
      <c r="BD78" s="131"/>
      <c r="BE78" s="131"/>
      <c r="BF78" s="131"/>
      <c r="BG78" s="131"/>
      <c r="BH78" s="131"/>
      <c r="BI78" s="131"/>
      <c r="BJ78" s="131"/>
      <c r="BK78" s="128"/>
      <c r="BL78" s="131"/>
      <c r="BM78" s="131"/>
      <c r="BN78" s="131"/>
      <c r="BO78" s="131"/>
      <c r="BP78" s="133"/>
      <c r="BQ78" s="131"/>
      <c r="BR78" s="131"/>
      <c r="BS78" s="131"/>
      <c r="BT78" s="131"/>
      <c r="BU78" s="131"/>
      <c r="BV78" s="131"/>
      <c r="BW78" s="133"/>
      <c r="BX78" s="131"/>
      <c r="BY78" s="128"/>
      <c r="BZ78" s="131"/>
      <c r="CA78" s="131"/>
      <c r="CB78" s="131"/>
      <c r="CC78" s="131"/>
      <c r="CD78" s="131"/>
      <c r="CE78" s="134"/>
      <c r="CF78" s="128"/>
      <c r="CG78" s="131"/>
      <c r="CH78" s="131"/>
      <c r="CI78" s="131"/>
      <c r="CJ78" s="131"/>
      <c r="CK78" s="131"/>
      <c r="CL78" s="131"/>
      <c r="CM78" s="128"/>
      <c r="CN78" s="131"/>
      <c r="CO78" s="131"/>
      <c r="CP78" s="131"/>
      <c r="CQ78" s="131"/>
      <c r="CR78" s="131"/>
    </row>
    <row r="79" customFormat="false" ht="12.8" hidden="false" customHeight="false" outlineLevel="0" collapsed="false">
      <c r="A79" s="16" t="s">
        <v>53</v>
      </c>
      <c r="B79" s="16" t="s">
        <v>98</v>
      </c>
      <c r="C79" s="16" t="s">
        <v>213</v>
      </c>
      <c r="D79" s="16" t="s">
        <v>214</v>
      </c>
      <c r="E79" s="140" t="s">
        <v>89</v>
      </c>
      <c r="F79" s="16" t="s">
        <v>116</v>
      </c>
      <c r="G79" s="16"/>
      <c r="H79" s="16"/>
      <c r="I79" s="39"/>
      <c r="J79" s="39" t="n">
        <v>5500</v>
      </c>
      <c r="K79" s="42" t="n">
        <v>20780</v>
      </c>
      <c r="L79" s="50" t="n">
        <v>20</v>
      </c>
      <c r="M79" s="48" t="n">
        <v>0.02</v>
      </c>
      <c r="N79" s="37" t="n">
        <v>3</v>
      </c>
      <c r="O79" s="44" t="n">
        <f aca="false">IF(Y79,1,0)+AB79+AI79+AP79+AW79+BD79+BK79+BR79+BY79+CF79+CM79</f>
        <v>0</v>
      </c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128" t="n">
        <v>8</v>
      </c>
      <c r="AB79" s="128" t="n">
        <v>2</v>
      </c>
      <c r="AC79" s="131" t="s">
        <v>390</v>
      </c>
      <c r="AD79" s="131" t="s">
        <v>391</v>
      </c>
      <c r="AE79" s="131" t="s">
        <v>383</v>
      </c>
      <c r="AF79" s="131" t="s">
        <v>384</v>
      </c>
      <c r="AG79" s="131" t="s">
        <v>399</v>
      </c>
      <c r="AH79" s="130" t="s">
        <v>478</v>
      </c>
      <c r="AI79" s="128" t="n">
        <v>2</v>
      </c>
      <c r="AJ79" s="130" t="s">
        <v>479</v>
      </c>
      <c r="AK79" s="130" t="s">
        <v>480</v>
      </c>
      <c r="AL79" s="130" t="s">
        <v>481</v>
      </c>
      <c r="AM79" s="130" t="s">
        <v>482</v>
      </c>
      <c r="AN79" s="130"/>
      <c r="AO79" s="131"/>
      <c r="AP79" s="128"/>
      <c r="AQ79" s="131"/>
      <c r="AR79" s="131"/>
      <c r="AS79" s="131"/>
      <c r="AT79" s="131"/>
      <c r="AU79" s="131"/>
      <c r="AV79" s="131"/>
      <c r="AW79" s="131"/>
      <c r="AX79" s="131"/>
      <c r="AY79" s="131"/>
      <c r="AZ79" s="131"/>
      <c r="BA79" s="131"/>
      <c r="BB79" s="131"/>
      <c r="BC79" s="131"/>
      <c r="BD79" s="131"/>
      <c r="BE79" s="131"/>
      <c r="BF79" s="131"/>
      <c r="BG79" s="131"/>
      <c r="BH79" s="131"/>
      <c r="BI79" s="131"/>
      <c r="BJ79" s="131"/>
      <c r="BK79" s="128"/>
      <c r="BL79" s="131"/>
      <c r="BM79" s="131"/>
      <c r="BN79" s="131"/>
      <c r="BO79" s="131"/>
      <c r="BP79" s="133"/>
      <c r="BQ79" s="131"/>
      <c r="BR79" s="131"/>
      <c r="BS79" s="131"/>
      <c r="BT79" s="131"/>
      <c r="BU79" s="131"/>
      <c r="BV79" s="131"/>
      <c r="BW79" s="133"/>
      <c r="BX79" s="131"/>
      <c r="BY79" s="128"/>
      <c r="BZ79" s="131"/>
      <c r="CA79" s="131"/>
      <c r="CB79" s="131"/>
      <c r="CC79" s="131"/>
      <c r="CD79" s="131"/>
      <c r="CE79" s="134"/>
      <c r="CF79" s="128"/>
      <c r="CG79" s="131"/>
      <c r="CH79" s="131"/>
      <c r="CI79" s="131"/>
      <c r="CJ79" s="131"/>
      <c r="CK79" s="131"/>
      <c r="CL79" s="131"/>
      <c r="CM79" s="128"/>
      <c r="CN79" s="131"/>
      <c r="CO79" s="131"/>
      <c r="CP79" s="131"/>
      <c r="CQ79" s="131"/>
      <c r="CR79" s="131"/>
    </row>
    <row r="80" customFormat="false" ht="12.8" hidden="false" customHeight="false" outlineLevel="0" collapsed="false">
      <c r="A80" s="16" t="s">
        <v>53</v>
      </c>
      <c r="B80" s="16" t="s">
        <v>98</v>
      </c>
      <c r="C80" s="16" t="s">
        <v>213</v>
      </c>
      <c r="D80" s="16" t="s">
        <v>215</v>
      </c>
      <c r="E80" s="140" t="s">
        <v>87</v>
      </c>
      <c r="F80" s="16" t="s">
        <v>165</v>
      </c>
      <c r="G80" s="16"/>
      <c r="H80" s="16"/>
      <c r="I80" s="39"/>
      <c r="J80" s="39" t="n">
        <v>5500</v>
      </c>
      <c r="K80" s="42" t="n">
        <v>20780</v>
      </c>
      <c r="L80" s="50" t="n">
        <v>20</v>
      </c>
      <c r="M80" s="48" t="n">
        <v>0.02</v>
      </c>
      <c r="N80" s="37"/>
      <c r="O80" s="44" t="n">
        <f aca="false">IF(Y80,1,0)+AB80+AI80+AP80+AW80+BD80+BK80+BR80+BY80+CF80+CM80</f>
        <v>0</v>
      </c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31"/>
      <c r="AP80" s="128"/>
      <c r="AQ80" s="131"/>
      <c r="AR80" s="131"/>
      <c r="AS80" s="131"/>
      <c r="AT80" s="131"/>
      <c r="AU80" s="131"/>
      <c r="AV80" s="131"/>
      <c r="AW80" s="131"/>
      <c r="AX80" s="131"/>
      <c r="AY80" s="131"/>
      <c r="AZ80" s="131"/>
      <c r="BA80" s="131"/>
      <c r="BB80" s="131"/>
      <c r="BC80" s="131"/>
      <c r="BD80" s="131"/>
      <c r="BE80" s="131"/>
      <c r="BF80" s="131"/>
      <c r="BG80" s="131"/>
      <c r="BH80" s="131"/>
      <c r="BI80" s="131"/>
      <c r="BJ80" s="131"/>
      <c r="BK80" s="128"/>
      <c r="BL80" s="131"/>
      <c r="BM80" s="131"/>
      <c r="BN80" s="131"/>
      <c r="BO80" s="131"/>
      <c r="BP80" s="133"/>
      <c r="BQ80" s="131"/>
      <c r="BR80" s="131"/>
      <c r="BS80" s="131"/>
      <c r="BT80" s="131"/>
      <c r="BU80" s="131"/>
      <c r="BV80" s="131"/>
      <c r="BW80" s="133"/>
      <c r="BX80" s="131"/>
      <c r="BY80" s="128"/>
      <c r="BZ80" s="131"/>
      <c r="CA80" s="131"/>
      <c r="CB80" s="131"/>
      <c r="CC80" s="131"/>
      <c r="CD80" s="131"/>
      <c r="CE80" s="134"/>
      <c r="CF80" s="128"/>
      <c r="CG80" s="131"/>
      <c r="CH80" s="131"/>
      <c r="CI80" s="131"/>
      <c r="CJ80" s="131"/>
      <c r="CK80" s="131"/>
      <c r="CL80" s="131"/>
      <c r="CM80" s="128"/>
      <c r="CN80" s="131"/>
      <c r="CO80" s="131"/>
      <c r="CP80" s="131"/>
      <c r="CQ80" s="131"/>
      <c r="CR80" s="131"/>
    </row>
    <row r="81" customFormat="false" ht="12.8" hidden="false" customHeight="false" outlineLevel="0" collapsed="false">
      <c r="A81" s="16" t="s">
        <v>53</v>
      </c>
      <c r="B81" s="16" t="s">
        <v>98</v>
      </c>
      <c r="C81" s="16" t="s">
        <v>213</v>
      </c>
      <c r="D81" s="16" t="s">
        <v>216</v>
      </c>
      <c r="E81" s="140" t="s">
        <v>88</v>
      </c>
      <c r="F81" s="16" t="s">
        <v>163</v>
      </c>
      <c r="G81" s="16"/>
      <c r="H81" s="16"/>
      <c r="I81" s="39"/>
      <c r="J81" s="39" t="n">
        <v>5500</v>
      </c>
      <c r="K81" s="42" t="n">
        <v>20780</v>
      </c>
      <c r="L81" s="50" t="n">
        <v>30</v>
      </c>
      <c r="M81" s="48"/>
      <c r="N81" s="37"/>
      <c r="O81" s="44" t="n">
        <f aca="false">IF(Y81,1,0)+AB81+AI81+AP81+AW81+BD81+BK81+BR81+BY81+CF81+CM81</f>
        <v>0</v>
      </c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31"/>
      <c r="AP81" s="128"/>
      <c r="AQ81" s="131"/>
      <c r="AR81" s="131"/>
      <c r="AS81" s="131"/>
      <c r="AT81" s="131"/>
      <c r="AU81" s="131"/>
      <c r="AV81" s="131"/>
      <c r="AW81" s="131"/>
      <c r="AX81" s="131"/>
      <c r="AY81" s="131"/>
      <c r="AZ81" s="131"/>
      <c r="BA81" s="131"/>
      <c r="BB81" s="131"/>
      <c r="BC81" s="131"/>
      <c r="BD81" s="131"/>
      <c r="BE81" s="131"/>
      <c r="BF81" s="131"/>
      <c r="BG81" s="131"/>
      <c r="BH81" s="131"/>
      <c r="BI81" s="131"/>
      <c r="BJ81" s="131"/>
      <c r="BK81" s="128"/>
      <c r="BL81" s="131"/>
      <c r="BM81" s="131"/>
      <c r="BN81" s="131"/>
      <c r="BO81" s="131"/>
      <c r="BP81" s="133"/>
      <c r="BQ81" s="131"/>
      <c r="BR81" s="131"/>
      <c r="BS81" s="131"/>
      <c r="BT81" s="131"/>
      <c r="BU81" s="131"/>
      <c r="BV81" s="131"/>
      <c r="BW81" s="133"/>
      <c r="BX81" s="131"/>
      <c r="BY81" s="128"/>
      <c r="BZ81" s="131"/>
      <c r="CA81" s="131"/>
      <c r="CB81" s="131"/>
      <c r="CC81" s="131"/>
      <c r="CD81" s="131"/>
      <c r="CE81" s="134"/>
      <c r="CF81" s="128"/>
      <c r="CG81" s="131"/>
      <c r="CH81" s="131"/>
      <c r="CI81" s="131"/>
      <c r="CJ81" s="131"/>
      <c r="CK81" s="131"/>
      <c r="CL81" s="131"/>
      <c r="CM81" s="128"/>
      <c r="CN81" s="131"/>
      <c r="CO81" s="131"/>
      <c r="CP81" s="131"/>
      <c r="CQ81" s="131"/>
      <c r="CR81" s="131"/>
    </row>
    <row r="82" customFormat="false" ht="12.8" hidden="false" customHeight="false" outlineLevel="0" collapsed="false">
      <c r="A82" s="16" t="s">
        <v>53</v>
      </c>
      <c r="B82" s="17" t="s">
        <v>113</v>
      </c>
      <c r="C82" s="16" t="s">
        <v>221</v>
      </c>
      <c r="D82" s="17" t="s">
        <v>222</v>
      </c>
      <c r="E82" s="130" t="s">
        <v>89</v>
      </c>
      <c r="F82" s="16" t="s">
        <v>148</v>
      </c>
      <c r="G82" s="16"/>
      <c r="H82" s="16"/>
      <c r="I82" s="39"/>
      <c r="J82" s="39" t="n">
        <v>5500</v>
      </c>
      <c r="K82" s="42" t="n">
        <v>31240</v>
      </c>
      <c r="L82" s="50" t="n">
        <v>20</v>
      </c>
      <c r="M82" s="48" t="n">
        <v>0.02</v>
      </c>
      <c r="N82" s="37" t="n">
        <v>3</v>
      </c>
      <c r="O82" s="44" t="n">
        <f aca="false">IF(Y82,1,0)+AB82+AI82+AP82+AW82+BD82+BK82+BR82+BY82+CF82+CM82</f>
        <v>0</v>
      </c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128" t="n">
        <v>8</v>
      </c>
      <c r="AB82" s="128" t="n">
        <v>2</v>
      </c>
      <c r="AC82" s="131" t="s">
        <v>390</v>
      </c>
      <c r="AD82" s="131" t="s">
        <v>391</v>
      </c>
      <c r="AE82" s="131" t="s">
        <v>383</v>
      </c>
      <c r="AF82" s="131" t="s">
        <v>384</v>
      </c>
      <c r="AG82" s="131" t="s">
        <v>399</v>
      </c>
      <c r="AH82" s="130" t="s">
        <v>478</v>
      </c>
      <c r="AI82" s="128" t="n">
        <v>2</v>
      </c>
      <c r="AJ82" s="130" t="s">
        <v>479</v>
      </c>
      <c r="AK82" s="130" t="s">
        <v>480</v>
      </c>
      <c r="AL82" s="130" t="s">
        <v>481</v>
      </c>
      <c r="AM82" s="130" t="s">
        <v>482</v>
      </c>
      <c r="AN82" s="130"/>
      <c r="AO82" s="131"/>
      <c r="AP82" s="128"/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  <c r="BA82" s="131"/>
      <c r="BB82" s="131"/>
      <c r="BC82" s="131"/>
      <c r="BD82" s="131"/>
      <c r="BE82" s="131"/>
      <c r="BF82" s="131"/>
      <c r="BG82" s="131"/>
      <c r="BH82" s="131"/>
      <c r="BI82" s="131"/>
      <c r="BJ82" s="131"/>
      <c r="BK82" s="128"/>
      <c r="BL82" s="131"/>
      <c r="BM82" s="131"/>
      <c r="BN82" s="131"/>
      <c r="BO82" s="131"/>
      <c r="BP82" s="133"/>
      <c r="BQ82" s="131"/>
      <c r="BR82" s="131"/>
      <c r="BS82" s="131"/>
      <c r="BT82" s="131"/>
      <c r="BU82" s="131"/>
      <c r="BV82" s="131"/>
      <c r="BW82" s="133"/>
      <c r="BX82" s="131"/>
      <c r="BY82" s="128"/>
      <c r="BZ82" s="131"/>
      <c r="CA82" s="131"/>
      <c r="CB82" s="131"/>
      <c r="CC82" s="131"/>
      <c r="CD82" s="131"/>
      <c r="CE82" s="134"/>
      <c r="CF82" s="128"/>
      <c r="CG82" s="131"/>
      <c r="CH82" s="131"/>
      <c r="CI82" s="131"/>
      <c r="CJ82" s="131"/>
      <c r="CK82" s="131"/>
      <c r="CL82" s="131"/>
      <c r="CM82" s="128"/>
      <c r="CN82" s="131"/>
      <c r="CO82" s="131"/>
      <c r="CP82" s="131"/>
      <c r="CQ82" s="131"/>
      <c r="CR82" s="131"/>
    </row>
    <row r="83" customFormat="false" ht="12.8" hidden="false" customHeight="false" outlineLevel="0" collapsed="false">
      <c r="A83" s="16" t="s">
        <v>53</v>
      </c>
      <c r="B83" s="17" t="s">
        <v>113</v>
      </c>
      <c r="C83" s="16" t="s">
        <v>223</v>
      </c>
      <c r="D83" s="17" t="s">
        <v>224</v>
      </c>
      <c r="E83" s="130" t="s">
        <v>89</v>
      </c>
      <c r="F83" s="16" t="s">
        <v>148</v>
      </c>
      <c r="G83" s="16"/>
      <c r="H83" s="16"/>
      <c r="I83" s="39"/>
      <c r="J83" s="39" t="n">
        <v>5500</v>
      </c>
      <c r="K83" s="42" t="n">
        <v>24920</v>
      </c>
      <c r="L83" s="50" t="n">
        <v>30</v>
      </c>
      <c r="M83" s="48" t="n">
        <v>0.05</v>
      </c>
      <c r="N83" s="37" t="n">
        <v>3</v>
      </c>
      <c r="O83" s="44" t="n">
        <f aca="false">IF(Y83,1,0)+AB83+AI83+AP83+AW83+BD83+BK83+BR83+BY83+CF83+CM83</f>
        <v>0</v>
      </c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128" t="n">
        <v>8</v>
      </c>
      <c r="AB83" s="128" t="n">
        <v>2</v>
      </c>
      <c r="AC83" s="131" t="s">
        <v>390</v>
      </c>
      <c r="AD83" s="131" t="s">
        <v>391</v>
      </c>
      <c r="AE83" s="131" t="s">
        <v>383</v>
      </c>
      <c r="AF83" s="131" t="s">
        <v>384</v>
      </c>
      <c r="AG83" s="131" t="s">
        <v>399</v>
      </c>
      <c r="AH83" s="130" t="s">
        <v>478</v>
      </c>
      <c r="AI83" s="128" t="n">
        <v>2</v>
      </c>
      <c r="AJ83" s="130" t="s">
        <v>479</v>
      </c>
      <c r="AK83" s="130" t="s">
        <v>480</v>
      </c>
      <c r="AL83" s="130" t="s">
        <v>481</v>
      </c>
      <c r="AM83" s="130" t="s">
        <v>482</v>
      </c>
      <c r="AN83" s="130"/>
      <c r="AO83" s="131"/>
      <c r="AP83" s="128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31"/>
      <c r="BD83" s="131"/>
      <c r="BE83" s="131"/>
      <c r="BF83" s="131"/>
      <c r="BG83" s="131"/>
      <c r="BH83" s="131"/>
      <c r="BI83" s="131"/>
      <c r="BJ83" s="131"/>
      <c r="BK83" s="128"/>
      <c r="BL83" s="131"/>
      <c r="BM83" s="131"/>
      <c r="BN83" s="131"/>
      <c r="BO83" s="131"/>
      <c r="BP83" s="133"/>
      <c r="BQ83" s="131"/>
      <c r="BR83" s="131"/>
      <c r="BS83" s="131"/>
      <c r="BT83" s="131"/>
      <c r="BU83" s="131"/>
      <c r="BV83" s="131"/>
      <c r="BW83" s="133"/>
      <c r="BX83" s="131"/>
      <c r="BY83" s="128"/>
      <c r="BZ83" s="131"/>
      <c r="CA83" s="131"/>
      <c r="CB83" s="131"/>
      <c r="CC83" s="131"/>
      <c r="CD83" s="131"/>
      <c r="CE83" s="134"/>
      <c r="CF83" s="128"/>
      <c r="CG83" s="131"/>
      <c r="CH83" s="131"/>
      <c r="CI83" s="131"/>
      <c r="CJ83" s="131"/>
      <c r="CK83" s="131"/>
      <c r="CL83" s="131"/>
      <c r="CM83" s="128"/>
      <c r="CN83" s="131"/>
      <c r="CO83" s="131"/>
      <c r="CP83" s="131"/>
      <c r="CQ83" s="131"/>
      <c r="CR83" s="131"/>
    </row>
    <row r="84" customFormat="false" ht="12.8" hidden="false" customHeight="false" outlineLevel="0" collapsed="false">
      <c r="A84" s="16" t="s">
        <v>53</v>
      </c>
      <c r="B84" s="17" t="s">
        <v>113</v>
      </c>
      <c r="C84" s="16" t="s">
        <v>223</v>
      </c>
      <c r="D84" s="17" t="s">
        <v>225</v>
      </c>
      <c r="E84" s="130" t="s">
        <v>87</v>
      </c>
      <c r="F84" s="16" t="s">
        <v>126</v>
      </c>
      <c r="G84" s="16"/>
      <c r="H84" s="16"/>
      <c r="I84" s="39"/>
      <c r="J84" s="39" t="n">
        <v>5500</v>
      </c>
      <c r="K84" s="42" t="n">
        <v>23490</v>
      </c>
      <c r="L84" s="50" t="n">
        <v>30</v>
      </c>
      <c r="M84" s="48" t="n">
        <v>0.05</v>
      </c>
      <c r="N84" s="37" t="n">
        <v>3</v>
      </c>
      <c r="O84" s="44" t="n">
        <f aca="false">IF(Y84,1,0)+AB84+AI84+AP84+AW84+BD84+BK84+BR84+BY84+CF84+CM84</f>
        <v>0</v>
      </c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128" t="n">
        <v>8</v>
      </c>
      <c r="AB84" s="128" t="n">
        <v>2</v>
      </c>
      <c r="AC84" s="131" t="s">
        <v>390</v>
      </c>
      <c r="AD84" s="131" t="s">
        <v>391</v>
      </c>
      <c r="AE84" s="131" t="s">
        <v>383</v>
      </c>
      <c r="AF84" s="131" t="s">
        <v>384</v>
      </c>
      <c r="AG84" s="131" t="s">
        <v>399</v>
      </c>
      <c r="AH84" s="130" t="s">
        <v>478</v>
      </c>
      <c r="AI84" s="128" t="n">
        <v>2</v>
      </c>
      <c r="AJ84" s="130" t="s">
        <v>479</v>
      </c>
      <c r="AK84" s="130" t="s">
        <v>480</v>
      </c>
      <c r="AL84" s="130" t="s">
        <v>481</v>
      </c>
      <c r="AM84" s="130" t="s">
        <v>482</v>
      </c>
      <c r="AN84" s="16"/>
      <c r="AO84" s="131"/>
      <c r="AP84" s="128"/>
      <c r="AQ84" s="131"/>
      <c r="AR84" s="131"/>
      <c r="AS84" s="131"/>
      <c r="AT84" s="131"/>
      <c r="AU84" s="131"/>
      <c r="AV84" s="131"/>
      <c r="AW84" s="131"/>
      <c r="AX84" s="131"/>
      <c r="AY84" s="131"/>
      <c r="AZ84" s="131"/>
      <c r="BA84" s="131"/>
      <c r="BB84" s="131"/>
      <c r="BC84" s="131"/>
      <c r="BD84" s="131"/>
      <c r="BE84" s="131"/>
      <c r="BF84" s="131"/>
      <c r="BG84" s="131"/>
      <c r="BH84" s="131"/>
      <c r="BI84" s="131"/>
      <c r="BJ84" s="131"/>
      <c r="BK84" s="128"/>
      <c r="BL84" s="131"/>
      <c r="BM84" s="131"/>
      <c r="BN84" s="131"/>
      <c r="BO84" s="131"/>
      <c r="BP84" s="133"/>
      <c r="BQ84" s="131"/>
      <c r="BR84" s="131"/>
      <c r="BS84" s="131"/>
      <c r="BT84" s="131"/>
      <c r="BU84" s="131"/>
      <c r="BV84" s="131"/>
      <c r="BW84" s="133"/>
      <c r="BX84" s="131"/>
      <c r="BY84" s="128"/>
      <c r="BZ84" s="131"/>
      <c r="CA84" s="131"/>
      <c r="CB84" s="131"/>
      <c r="CC84" s="131"/>
      <c r="CD84" s="131"/>
      <c r="CE84" s="134"/>
      <c r="CF84" s="128"/>
      <c r="CG84" s="131"/>
      <c r="CH84" s="131"/>
      <c r="CI84" s="131"/>
      <c r="CJ84" s="131"/>
      <c r="CK84" s="131"/>
      <c r="CL84" s="131"/>
      <c r="CM84" s="128"/>
      <c r="CN84" s="131"/>
      <c r="CO84" s="131"/>
      <c r="CP84" s="131"/>
      <c r="CQ84" s="131"/>
      <c r="CR84" s="131"/>
    </row>
    <row r="85" customFormat="false" ht="12.8" hidden="false" customHeight="false" outlineLevel="0" collapsed="false">
      <c r="A85" s="36" t="s">
        <v>53</v>
      </c>
      <c r="B85" s="35" t="s">
        <v>113</v>
      </c>
      <c r="C85" s="36" t="s">
        <v>223</v>
      </c>
      <c r="D85" s="35" t="s">
        <v>226</v>
      </c>
      <c r="E85" s="34" t="s">
        <v>88</v>
      </c>
      <c r="F85" s="36" t="s">
        <v>148</v>
      </c>
      <c r="G85" s="16"/>
      <c r="H85" s="16"/>
      <c r="I85" s="39"/>
      <c r="J85" s="39" t="n">
        <v>5500</v>
      </c>
      <c r="K85" s="42" t="n">
        <v>24920</v>
      </c>
      <c r="L85" s="50" t="n">
        <v>20</v>
      </c>
      <c r="M85" s="48" t="n">
        <v>0.02</v>
      </c>
      <c r="N85" s="37" t="n">
        <v>3</v>
      </c>
      <c r="O85" s="44" t="n">
        <f aca="false">IF(Y85,1,0)+AB85+AI85+AP85+AW85+BD85+BK85+BR85+BY85+CF85+CM85</f>
        <v>0</v>
      </c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128" t="n">
        <v>8</v>
      </c>
      <c r="AB85" s="128" t="n">
        <v>2</v>
      </c>
      <c r="AC85" s="131" t="s">
        <v>390</v>
      </c>
      <c r="AD85" s="131" t="s">
        <v>391</v>
      </c>
      <c r="AE85" s="131" t="s">
        <v>383</v>
      </c>
      <c r="AF85" s="131" t="s">
        <v>384</v>
      </c>
      <c r="AG85" s="131" t="s">
        <v>399</v>
      </c>
      <c r="AH85" s="130" t="s">
        <v>478</v>
      </c>
      <c r="AI85" s="128" t="n">
        <v>2</v>
      </c>
      <c r="AJ85" s="130" t="s">
        <v>479</v>
      </c>
      <c r="AK85" s="130" t="s">
        <v>480</v>
      </c>
      <c r="AL85" s="130" t="s">
        <v>481</v>
      </c>
      <c r="AM85" s="130" t="s">
        <v>482</v>
      </c>
      <c r="AN85" s="16"/>
      <c r="AO85" s="131"/>
      <c r="AP85" s="128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  <c r="BD85" s="131"/>
      <c r="BE85" s="131"/>
      <c r="BF85" s="131"/>
      <c r="BG85" s="131"/>
      <c r="BH85" s="131"/>
      <c r="BI85" s="131"/>
      <c r="BJ85" s="131"/>
      <c r="BK85" s="128"/>
      <c r="BL85" s="131"/>
      <c r="BM85" s="131"/>
      <c r="BN85" s="131"/>
      <c r="BO85" s="131"/>
      <c r="BP85" s="133"/>
      <c r="BQ85" s="131"/>
      <c r="BR85" s="131"/>
      <c r="BS85" s="131"/>
      <c r="BT85" s="131"/>
      <c r="BU85" s="131"/>
      <c r="BV85" s="131"/>
      <c r="BW85" s="133"/>
      <c r="BX85" s="131"/>
      <c r="BY85" s="128"/>
      <c r="BZ85" s="131"/>
      <c r="CA85" s="131"/>
      <c r="CB85" s="131"/>
      <c r="CC85" s="131"/>
      <c r="CD85" s="131"/>
      <c r="CE85" s="134"/>
      <c r="CF85" s="128"/>
      <c r="CG85" s="131"/>
      <c r="CH85" s="131"/>
      <c r="CI85" s="131"/>
      <c r="CJ85" s="131"/>
      <c r="CK85" s="131"/>
      <c r="CL85" s="131"/>
      <c r="CM85" s="128"/>
      <c r="CN85" s="131"/>
      <c r="CO85" s="131"/>
      <c r="CP85" s="131"/>
      <c r="CQ85" s="131"/>
      <c r="CR85" s="131"/>
    </row>
    <row r="86" customFormat="false" ht="12.8" hidden="false" customHeight="false" outlineLevel="0" collapsed="false">
      <c r="A86" s="16" t="s">
        <v>53</v>
      </c>
      <c r="B86" s="17" t="s">
        <v>113</v>
      </c>
      <c r="C86" s="16" t="s">
        <v>230</v>
      </c>
      <c r="D86" s="17" t="s">
        <v>231</v>
      </c>
      <c r="E86" s="130" t="s">
        <v>89</v>
      </c>
      <c r="F86" s="16" t="s">
        <v>148</v>
      </c>
      <c r="G86" s="16"/>
      <c r="H86" s="16"/>
      <c r="I86" s="39"/>
      <c r="J86" s="39" t="n">
        <v>5500</v>
      </c>
      <c r="K86" s="42" t="n">
        <v>40560</v>
      </c>
      <c r="L86" s="50" t="n">
        <v>20</v>
      </c>
      <c r="M86" s="48" t="n">
        <v>0.02</v>
      </c>
      <c r="N86" s="37" t="n">
        <v>3</v>
      </c>
      <c r="O86" s="44" t="n">
        <f aca="false">IF(Y86,1,0)+AB86+AI86+AP86+AW86+BD86+BK86+BR86+BY86+CF86+CM86</f>
        <v>0</v>
      </c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128" t="n">
        <v>8</v>
      </c>
      <c r="AB86" s="128" t="n">
        <v>2</v>
      </c>
      <c r="AC86" s="131" t="s">
        <v>390</v>
      </c>
      <c r="AD86" s="131" t="s">
        <v>391</v>
      </c>
      <c r="AE86" s="131" t="s">
        <v>383</v>
      </c>
      <c r="AF86" s="131" t="s">
        <v>384</v>
      </c>
      <c r="AG86" s="131" t="s">
        <v>399</v>
      </c>
      <c r="AH86" s="130" t="s">
        <v>478</v>
      </c>
      <c r="AI86" s="128" t="n">
        <v>2</v>
      </c>
      <c r="AJ86" s="130" t="s">
        <v>479</v>
      </c>
      <c r="AK86" s="130" t="s">
        <v>480</v>
      </c>
      <c r="AL86" s="130" t="s">
        <v>481</v>
      </c>
      <c r="AM86" s="130" t="s">
        <v>482</v>
      </c>
      <c r="AN86" s="16"/>
      <c r="AO86" s="131"/>
      <c r="AP86" s="128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  <c r="BF86" s="131"/>
      <c r="BG86" s="131"/>
      <c r="BH86" s="131"/>
      <c r="BI86" s="131"/>
      <c r="BJ86" s="131"/>
      <c r="BK86" s="128"/>
      <c r="BL86" s="131"/>
      <c r="BM86" s="131"/>
      <c r="BN86" s="131"/>
      <c r="BO86" s="131"/>
      <c r="BP86" s="133"/>
      <c r="BQ86" s="131"/>
      <c r="BR86" s="131"/>
      <c r="BS86" s="131"/>
      <c r="BT86" s="131"/>
      <c r="BU86" s="131"/>
      <c r="BV86" s="131"/>
      <c r="BW86" s="133"/>
      <c r="BX86" s="131"/>
      <c r="BY86" s="128"/>
      <c r="BZ86" s="131"/>
      <c r="CA86" s="131"/>
      <c r="CB86" s="131"/>
      <c r="CC86" s="131"/>
      <c r="CD86" s="131"/>
      <c r="CE86" s="134"/>
      <c r="CF86" s="128"/>
      <c r="CG86" s="131"/>
      <c r="CH86" s="131"/>
      <c r="CI86" s="131"/>
      <c r="CJ86" s="131"/>
      <c r="CK86" s="131"/>
      <c r="CL86" s="131"/>
      <c r="CM86" s="128"/>
      <c r="CN86" s="131"/>
      <c r="CO86" s="131"/>
      <c r="CP86" s="131"/>
      <c r="CQ86" s="131"/>
      <c r="CR86" s="131"/>
    </row>
    <row r="87" customFormat="false" ht="12.8" hidden="false" customHeight="false" outlineLevel="0" collapsed="false">
      <c r="A87" s="36" t="s">
        <v>53</v>
      </c>
      <c r="B87" s="35" t="s">
        <v>113</v>
      </c>
      <c r="C87" s="58" t="s">
        <v>228</v>
      </c>
      <c r="D87" s="35" t="s">
        <v>229</v>
      </c>
      <c r="E87" s="34" t="s">
        <v>89</v>
      </c>
      <c r="F87" s="36" t="s">
        <v>143</v>
      </c>
      <c r="G87" s="16"/>
      <c r="H87" s="16"/>
      <c r="I87" s="39"/>
      <c r="J87" s="39" t="n">
        <v>5500</v>
      </c>
      <c r="K87" s="42"/>
      <c r="L87" s="50"/>
      <c r="M87" s="48"/>
      <c r="N87" s="37"/>
      <c r="O87" s="44" t="n">
        <f aca="false">IF(Y87,1,0)+AB87+AI87+AP87+AW87+BD87+BK87+BR87+BY87+CF87+CM87</f>
        <v>0</v>
      </c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31"/>
      <c r="AP87" s="128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  <c r="BA87" s="131"/>
      <c r="BB87" s="131"/>
      <c r="BC87" s="131"/>
      <c r="BD87" s="131"/>
      <c r="BE87" s="131"/>
      <c r="BF87" s="131"/>
      <c r="BG87" s="131"/>
      <c r="BH87" s="131"/>
      <c r="BI87" s="131"/>
      <c r="BJ87" s="131"/>
      <c r="BK87" s="128"/>
      <c r="BL87" s="131"/>
      <c r="BM87" s="131"/>
      <c r="BN87" s="131"/>
      <c r="BO87" s="131"/>
      <c r="BP87" s="133"/>
      <c r="BQ87" s="131"/>
      <c r="BR87" s="131"/>
      <c r="BS87" s="131"/>
      <c r="BT87" s="131"/>
      <c r="BU87" s="131"/>
      <c r="BV87" s="131"/>
      <c r="BW87" s="133"/>
      <c r="BX87" s="131"/>
      <c r="BY87" s="128"/>
      <c r="BZ87" s="131"/>
      <c r="CA87" s="131"/>
      <c r="CB87" s="131"/>
      <c r="CC87" s="131"/>
      <c r="CD87" s="131"/>
      <c r="CE87" s="134"/>
      <c r="CF87" s="128"/>
      <c r="CG87" s="131"/>
      <c r="CH87" s="131"/>
      <c r="CI87" s="131"/>
      <c r="CJ87" s="131"/>
      <c r="CK87" s="131"/>
      <c r="CL87" s="131"/>
      <c r="CM87" s="128"/>
      <c r="CN87" s="131"/>
      <c r="CO87" s="131"/>
      <c r="CP87" s="131"/>
      <c r="CQ87" s="131"/>
      <c r="CR87" s="131"/>
    </row>
    <row r="88" customFormat="false" ht="12.8" hidden="false" customHeight="false" outlineLevel="0" collapsed="false">
      <c r="A88" s="36" t="s">
        <v>53</v>
      </c>
      <c r="B88" s="36" t="s">
        <v>158</v>
      </c>
      <c r="C88" s="36" t="s">
        <v>232</v>
      </c>
      <c r="D88" s="35" t="s">
        <v>233</v>
      </c>
      <c r="E88" s="58" t="s">
        <v>89</v>
      </c>
      <c r="F88" s="36" t="s">
        <v>176</v>
      </c>
      <c r="G88" s="16"/>
      <c r="H88" s="16"/>
      <c r="I88" s="39"/>
      <c r="J88" s="39" t="n">
        <v>5500</v>
      </c>
      <c r="K88" s="42" t="n">
        <v>27960</v>
      </c>
      <c r="L88" s="50" t="n">
        <v>20</v>
      </c>
      <c r="M88" s="48" t="n">
        <v>0.02</v>
      </c>
      <c r="N88" s="37" t="n">
        <v>3</v>
      </c>
      <c r="O88" s="44" t="n">
        <f aca="false">IF(Y88,1,0)+AB88+AI88+AP88+AW88+BD88+BK88+BR88+BY88+CF88+CM88</f>
        <v>0</v>
      </c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128" t="n">
        <v>8</v>
      </c>
      <c r="AB88" s="128" t="n">
        <v>2</v>
      </c>
      <c r="AC88" s="131" t="s">
        <v>390</v>
      </c>
      <c r="AD88" s="131" t="s">
        <v>391</v>
      </c>
      <c r="AE88" s="131" t="s">
        <v>383</v>
      </c>
      <c r="AF88" s="131" t="s">
        <v>384</v>
      </c>
      <c r="AG88" s="131" t="s">
        <v>399</v>
      </c>
      <c r="AH88" s="130" t="s">
        <v>478</v>
      </c>
      <c r="AI88" s="128" t="n">
        <v>2</v>
      </c>
      <c r="AJ88" s="130" t="s">
        <v>479</v>
      </c>
      <c r="AK88" s="130" t="s">
        <v>480</v>
      </c>
      <c r="AL88" s="130" t="s">
        <v>481</v>
      </c>
      <c r="AM88" s="130" t="s">
        <v>482</v>
      </c>
      <c r="AN88" s="16"/>
      <c r="AO88" s="131"/>
      <c r="AP88" s="128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28"/>
      <c r="BL88" s="131"/>
      <c r="BM88" s="131"/>
      <c r="BN88" s="131"/>
      <c r="BO88" s="131"/>
      <c r="BP88" s="133"/>
      <c r="BQ88" s="131"/>
      <c r="BR88" s="131"/>
      <c r="BS88" s="131"/>
      <c r="BT88" s="131"/>
      <c r="BU88" s="131"/>
      <c r="BV88" s="131"/>
      <c r="BW88" s="133"/>
      <c r="BX88" s="131"/>
      <c r="BY88" s="128"/>
      <c r="BZ88" s="131"/>
      <c r="CA88" s="131"/>
      <c r="CB88" s="131"/>
      <c r="CC88" s="131"/>
      <c r="CD88" s="131"/>
      <c r="CE88" s="134"/>
      <c r="CF88" s="128"/>
      <c r="CG88" s="131"/>
      <c r="CH88" s="131"/>
      <c r="CI88" s="131"/>
      <c r="CJ88" s="131"/>
      <c r="CK88" s="131"/>
      <c r="CL88" s="131"/>
      <c r="CM88" s="128"/>
      <c r="CN88" s="131"/>
      <c r="CO88" s="131"/>
      <c r="CP88" s="131"/>
      <c r="CQ88" s="131"/>
      <c r="CR88" s="131"/>
    </row>
    <row r="89" customFormat="false" ht="12.8" hidden="false" customHeight="false" outlineLevel="0" collapsed="false">
      <c r="A89" s="36" t="s">
        <v>53</v>
      </c>
      <c r="B89" s="36" t="s">
        <v>158</v>
      </c>
      <c r="C89" s="36" t="s">
        <v>232</v>
      </c>
      <c r="D89" s="36" t="s">
        <v>234</v>
      </c>
      <c r="E89" s="58" t="s">
        <v>87</v>
      </c>
      <c r="F89" s="36" t="s">
        <v>143</v>
      </c>
      <c r="G89" s="16"/>
      <c r="H89" s="16"/>
      <c r="I89" s="39"/>
      <c r="J89" s="39" t="n">
        <v>5500</v>
      </c>
      <c r="K89" s="42" t="n">
        <v>27960</v>
      </c>
      <c r="L89" s="50" t="n">
        <v>20</v>
      </c>
      <c r="M89" s="48" t="n">
        <v>0.02</v>
      </c>
      <c r="N89" s="37" t="n">
        <v>3</v>
      </c>
      <c r="O89" s="44" t="n">
        <f aca="false">IF(Y89,1,0)+AB89+AI89+AP89+AW89+BD89+BK89+BR89+BY89+CF89+CM89</f>
        <v>0</v>
      </c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31"/>
      <c r="AP89" s="128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  <c r="BA89" s="131"/>
      <c r="BB89" s="131"/>
      <c r="BC89" s="131"/>
      <c r="BD89" s="131"/>
      <c r="BE89" s="131"/>
      <c r="BF89" s="131"/>
      <c r="BG89" s="131"/>
      <c r="BH89" s="131"/>
      <c r="BI89" s="131"/>
      <c r="BJ89" s="131"/>
      <c r="BK89" s="128"/>
      <c r="BL89" s="131"/>
      <c r="BM89" s="131"/>
      <c r="BN89" s="131"/>
      <c r="BO89" s="131"/>
      <c r="BP89" s="133"/>
      <c r="BQ89" s="131"/>
      <c r="BR89" s="131"/>
      <c r="BS89" s="131"/>
      <c r="BT89" s="131"/>
      <c r="BU89" s="131"/>
      <c r="BV89" s="131"/>
      <c r="BW89" s="133"/>
      <c r="BX89" s="131"/>
      <c r="BY89" s="128"/>
      <c r="BZ89" s="131"/>
      <c r="CA89" s="131"/>
      <c r="CB89" s="131"/>
      <c r="CC89" s="131"/>
      <c r="CD89" s="131"/>
      <c r="CE89" s="134"/>
      <c r="CF89" s="128"/>
      <c r="CG89" s="131"/>
      <c r="CH89" s="131"/>
      <c r="CI89" s="131"/>
      <c r="CJ89" s="131"/>
      <c r="CK89" s="131"/>
      <c r="CL89" s="131"/>
      <c r="CM89" s="128"/>
      <c r="CN89" s="131"/>
      <c r="CO89" s="131"/>
      <c r="CP89" s="131"/>
      <c r="CQ89" s="131"/>
      <c r="CR89" s="131"/>
    </row>
    <row r="90" customFormat="false" ht="12.8" hidden="false" customHeight="false" outlineLevel="0" collapsed="false">
      <c r="A90" s="36" t="s">
        <v>53</v>
      </c>
      <c r="B90" s="35" t="s">
        <v>81</v>
      </c>
      <c r="C90" s="35" t="s">
        <v>247</v>
      </c>
      <c r="D90" s="35" t="s">
        <v>248</v>
      </c>
      <c r="E90" s="34" t="s">
        <v>89</v>
      </c>
      <c r="F90" s="35" t="s">
        <v>148</v>
      </c>
      <c r="G90" s="16"/>
      <c r="H90" s="16"/>
      <c r="I90" s="39"/>
      <c r="J90" s="39" t="n">
        <v>5500</v>
      </c>
      <c r="K90" s="42" t="n">
        <v>32980</v>
      </c>
      <c r="L90" s="50" t="n">
        <v>30</v>
      </c>
      <c r="M90" s="48" t="n">
        <v>0.04</v>
      </c>
      <c r="N90" s="37" t="n">
        <v>3</v>
      </c>
      <c r="O90" s="44" t="n">
        <f aca="false">IF(Y90,1,0)+AB90+AI90+AP90+AW90+BD90+BK90+BR90+BY90+CF90+CM90</f>
        <v>0</v>
      </c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128" t="n">
        <v>8</v>
      </c>
      <c r="AB90" s="128" t="n">
        <v>2</v>
      </c>
      <c r="AC90" s="131" t="s">
        <v>390</v>
      </c>
      <c r="AD90" s="131" t="s">
        <v>391</v>
      </c>
      <c r="AE90" s="131" t="s">
        <v>383</v>
      </c>
      <c r="AF90" s="131" t="s">
        <v>384</v>
      </c>
      <c r="AG90" s="131" t="s">
        <v>399</v>
      </c>
      <c r="AH90" s="130" t="s">
        <v>478</v>
      </c>
      <c r="AI90" s="128" t="n">
        <v>2</v>
      </c>
      <c r="AJ90" s="130" t="s">
        <v>479</v>
      </c>
      <c r="AK90" s="130" t="s">
        <v>480</v>
      </c>
      <c r="AL90" s="130" t="s">
        <v>481</v>
      </c>
      <c r="AM90" s="130" t="s">
        <v>482</v>
      </c>
      <c r="AN90" s="16"/>
      <c r="AO90" s="131"/>
      <c r="AP90" s="128"/>
      <c r="AQ90" s="131"/>
      <c r="AR90" s="131"/>
      <c r="AS90" s="131"/>
      <c r="AT90" s="131"/>
      <c r="AU90" s="131"/>
      <c r="AV90" s="131"/>
      <c r="AW90" s="131"/>
      <c r="AX90" s="131"/>
      <c r="AY90" s="131"/>
      <c r="AZ90" s="131"/>
      <c r="BA90" s="131"/>
      <c r="BB90" s="131"/>
      <c r="BC90" s="131"/>
      <c r="BD90" s="131"/>
      <c r="BE90" s="131"/>
      <c r="BF90" s="131"/>
      <c r="BG90" s="131"/>
      <c r="BH90" s="131"/>
      <c r="BI90" s="131"/>
      <c r="BJ90" s="131"/>
      <c r="BK90" s="128"/>
      <c r="BL90" s="131"/>
      <c r="BM90" s="131"/>
      <c r="BN90" s="131"/>
      <c r="BO90" s="131"/>
      <c r="BP90" s="133"/>
      <c r="BQ90" s="131"/>
      <c r="BR90" s="131"/>
      <c r="BS90" s="131"/>
      <c r="BT90" s="131"/>
      <c r="BU90" s="131"/>
      <c r="BV90" s="131"/>
      <c r="BW90" s="133"/>
      <c r="BX90" s="131"/>
      <c r="BY90" s="128"/>
      <c r="BZ90" s="131"/>
      <c r="CA90" s="131"/>
      <c r="CB90" s="131"/>
      <c r="CC90" s="131"/>
      <c r="CD90" s="131"/>
      <c r="CE90" s="134"/>
      <c r="CF90" s="128"/>
      <c r="CG90" s="131"/>
      <c r="CH90" s="131"/>
      <c r="CI90" s="131"/>
      <c r="CJ90" s="131"/>
      <c r="CK90" s="131"/>
      <c r="CL90" s="131"/>
      <c r="CM90" s="128"/>
      <c r="CN90" s="131"/>
      <c r="CO90" s="131"/>
      <c r="CP90" s="131"/>
      <c r="CQ90" s="131"/>
      <c r="CR90" s="131"/>
    </row>
    <row r="91" customFormat="false" ht="12.8" hidden="false" customHeight="false" outlineLevel="0" collapsed="false">
      <c r="A91" s="16" t="s">
        <v>258</v>
      </c>
      <c r="B91" s="17" t="s">
        <v>81</v>
      </c>
      <c r="C91" s="16" t="s">
        <v>292</v>
      </c>
      <c r="D91" s="16" t="s">
        <v>293</v>
      </c>
      <c r="E91" s="140" t="s">
        <v>89</v>
      </c>
      <c r="F91" s="16" t="s">
        <v>106</v>
      </c>
      <c r="G91" s="16"/>
      <c r="H91" s="16"/>
      <c r="I91" s="39"/>
      <c r="J91" s="39" t="n">
        <v>7000</v>
      </c>
      <c r="K91" s="42" t="n">
        <v>77240</v>
      </c>
      <c r="L91" s="50" t="n">
        <v>80</v>
      </c>
      <c r="M91" s="48"/>
      <c r="N91" s="37" t="n">
        <v>4</v>
      </c>
      <c r="O91" s="44" t="n">
        <f aca="false">IF(Y91,1,0)+AB91+AI91+AP91+AW91+BD91+BK91+BR91+BY91+CF91+CM91</f>
        <v>0</v>
      </c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128" t="n">
        <v>6</v>
      </c>
      <c r="AB91" s="128" t="n">
        <v>2</v>
      </c>
      <c r="AC91" s="131" t="s">
        <v>390</v>
      </c>
      <c r="AD91" s="131" t="s">
        <v>391</v>
      </c>
      <c r="AE91" s="131" t="s">
        <v>410</v>
      </c>
      <c r="AF91" s="131" t="s">
        <v>411</v>
      </c>
      <c r="AG91" s="131" t="s">
        <v>399</v>
      </c>
      <c r="AH91" s="130" t="s">
        <v>483</v>
      </c>
      <c r="AI91" s="128" t="n">
        <v>2</v>
      </c>
      <c r="AJ91" s="130" t="s">
        <v>484</v>
      </c>
      <c r="AK91" s="130" t="s">
        <v>485</v>
      </c>
      <c r="AL91" s="130" t="s">
        <v>486</v>
      </c>
      <c r="AM91" s="130" t="s">
        <v>487</v>
      </c>
      <c r="AN91" s="130" t="s">
        <v>488</v>
      </c>
      <c r="AO91" s="128" t="n">
        <v>6</v>
      </c>
      <c r="AP91" s="128" t="n">
        <v>1</v>
      </c>
      <c r="AQ91" s="131" t="s">
        <v>390</v>
      </c>
      <c r="AR91" s="131" t="s">
        <v>391</v>
      </c>
      <c r="AS91" s="131" t="s">
        <v>410</v>
      </c>
      <c r="AT91" s="131" t="s">
        <v>411</v>
      </c>
      <c r="AU91" s="131" t="s">
        <v>399</v>
      </c>
      <c r="AV91" s="131"/>
      <c r="AW91" s="131"/>
      <c r="AX91" s="131"/>
      <c r="AY91" s="131"/>
      <c r="AZ91" s="131"/>
      <c r="BA91" s="131"/>
      <c r="BB91" s="131"/>
      <c r="BC91" s="128" t="n">
        <v>6</v>
      </c>
      <c r="BD91" s="128" t="n">
        <v>1</v>
      </c>
      <c r="BE91" s="131" t="s">
        <v>410</v>
      </c>
      <c r="BF91" s="131" t="s">
        <v>453</v>
      </c>
      <c r="BG91" s="131" t="s">
        <v>489</v>
      </c>
      <c r="BH91" s="131" t="s">
        <v>447</v>
      </c>
      <c r="BI91" s="131" t="s">
        <v>380</v>
      </c>
      <c r="BJ91" s="131"/>
      <c r="BK91" s="128"/>
      <c r="BL91" s="131"/>
      <c r="BM91" s="131"/>
      <c r="BN91" s="131"/>
      <c r="BO91" s="131"/>
      <c r="BP91" s="133"/>
      <c r="BQ91" s="131"/>
      <c r="BR91" s="131"/>
      <c r="BS91" s="131"/>
      <c r="BT91" s="131"/>
      <c r="BU91" s="131"/>
      <c r="BV91" s="131"/>
      <c r="BW91" s="133"/>
      <c r="BX91" s="131"/>
      <c r="BY91" s="128"/>
      <c r="BZ91" s="131"/>
      <c r="CA91" s="131"/>
      <c r="CB91" s="131"/>
      <c r="CC91" s="131"/>
      <c r="CD91" s="131"/>
      <c r="CE91" s="134"/>
      <c r="CF91" s="128"/>
      <c r="CG91" s="131"/>
      <c r="CH91" s="131"/>
      <c r="CI91" s="131"/>
      <c r="CJ91" s="131"/>
      <c r="CK91" s="131"/>
      <c r="CL91" s="131"/>
      <c r="CM91" s="128"/>
      <c r="CN91" s="131"/>
      <c r="CO91" s="131"/>
      <c r="CP91" s="131"/>
      <c r="CQ91" s="131"/>
      <c r="CR91" s="131"/>
    </row>
    <row r="92" customFormat="false" ht="12.8" hidden="false" customHeight="false" outlineLevel="0" collapsed="false">
      <c r="A92" s="16" t="s">
        <v>258</v>
      </c>
      <c r="B92" s="17" t="s">
        <v>81</v>
      </c>
      <c r="C92" s="16" t="s">
        <v>292</v>
      </c>
      <c r="D92" s="16" t="s">
        <v>294</v>
      </c>
      <c r="E92" s="140" t="s">
        <v>87</v>
      </c>
      <c r="F92" s="16" t="s">
        <v>137</v>
      </c>
      <c r="G92" s="16"/>
      <c r="H92" s="16"/>
      <c r="I92" s="39"/>
      <c r="J92" s="39" t="n">
        <v>7000</v>
      </c>
      <c r="K92" s="42" t="n">
        <v>77240</v>
      </c>
      <c r="L92" s="50" t="n">
        <v>80</v>
      </c>
      <c r="M92" s="48"/>
      <c r="N92" s="37"/>
      <c r="O92" s="44" t="n">
        <f aca="false">IF(Y92,1,0)+AB92+AI92+AP92+AW92+BD92+BK92+BR92+BY92+CF92+CM92</f>
        <v>0</v>
      </c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31"/>
      <c r="AP92" s="128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  <c r="BF92" s="131"/>
      <c r="BG92" s="131"/>
      <c r="BH92" s="131"/>
      <c r="BI92" s="131"/>
      <c r="BJ92" s="131"/>
      <c r="BK92" s="128"/>
      <c r="BL92" s="131"/>
      <c r="BM92" s="131"/>
      <c r="BN92" s="131"/>
      <c r="BO92" s="131"/>
      <c r="BP92" s="133"/>
      <c r="BQ92" s="131"/>
      <c r="BR92" s="131"/>
      <c r="BS92" s="131"/>
      <c r="BT92" s="131"/>
      <c r="BU92" s="131"/>
      <c r="BV92" s="131"/>
      <c r="BW92" s="133"/>
      <c r="BX92" s="131"/>
      <c r="BY92" s="128"/>
      <c r="BZ92" s="131"/>
      <c r="CA92" s="131"/>
      <c r="CB92" s="131"/>
      <c r="CC92" s="131"/>
      <c r="CD92" s="131"/>
      <c r="CE92" s="134"/>
      <c r="CF92" s="128"/>
      <c r="CG92" s="131"/>
      <c r="CH92" s="131"/>
      <c r="CI92" s="131"/>
      <c r="CJ92" s="131"/>
      <c r="CK92" s="131"/>
      <c r="CL92" s="131"/>
      <c r="CM92" s="128"/>
      <c r="CN92" s="131"/>
      <c r="CO92" s="131"/>
      <c r="CP92" s="131"/>
      <c r="CQ92" s="131"/>
      <c r="CR92" s="131"/>
    </row>
    <row r="93" customFormat="false" ht="12.8" hidden="false" customHeight="false" outlineLevel="0" collapsed="false">
      <c r="A93" s="16" t="s">
        <v>258</v>
      </c>
      <c r="B93" s="17" t="s">
        <v>81</v>
      </c>
      <c r="C93" s="16" t="s">
        <v>292</v>
      </c>
      <c r="D93" s="16" t="s">
        <v>295</v>
      </c>
      <c r="E93" s="140" t="s">
        <v>88</v>
      </c>
      <c r="F93" s="16" t="s">
        <v>180</v>
      </c>
      <c r="G93" s="16"/>
      <c r="H93" s="16"/>
      <c r="I93" s="39"/>
      <c r="J93" s="39" t="n">
        <v>7000</v>
      </c>
      <c r="K93" s="42" t="n">
        <v>84040</v>
      </c>
      <c r="L93" s="50" t="n">
        <v>130</v>
      </c>
      <c r="M93" s="48"/>
      <c r="N93" s="37"/>
      <c r="O93" s="44" t="n">
        <f aca="false">IF(Y93,1,0)+AB93+AI93+AP93+AW93+BD93+BK93+BR93+BY93+CF93+CM93</f>
        <v>0</v>
      </c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31"/>
      <c r="AP93" s="128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  <c r="BA93" s="131"/>
      <c r="BB93" s="131"/>
      <c r="BC93" s="131"/>
      <c r="BD93" s="131"/>
      <c r="BE93" s="131"/>
      <c r="BF93" s="131"/>
      <c r="BG93" s="131"/>
      <c r="BH93" s="131"/>
      <c r="BI93" s="131"/>
      <c r="BJ93" s="131"/>
      <c r="BK93" s="128"/>
      <c r="BL93" s="131"/>
      <c r="BM93" s="131"/>
      <c r="BN93" s="131"/>
      <c r="BO93" s="131"/>
      <c r="BP93" s="133"/>
      <c r="BQ93" s="131"/>
      <c r="BR93" s="131"/>
      <c r="BS93" s="131"/>
      <c r="BT93" s="131"/>
      <c r="BU93" s="131"/>
      <c r="BV93" s="131"/>
      <c r="BW93" s="133"/>
      <c r="BX93" s="131"/>
      <c r="BY93" s="128"/>
      <c r="BZ93" s="131"/>
      <c r="CA93" s="131"/>
      <c r="CB93" s="131"/>
      <c r="CC93" s="131"/>
      <c r="CD93" s="131"/>
      <c r="CE93" s="134"/>
      <c r="CF93" s="128"/>
      <c r="CG93" s="131"/>
      <c r="CH93" s="131"/>
      <c r="CI93" s="131"/>
      <c r="CJ93" s="131"/>
      <c r="CK93" s="131"/>
      <c r="CL93" s="131"/>
      <c r="CM93" s="128"/>
      <c r="CN93" s="131"/>
      <c r="CO93" s="131"/>
      <c r="CP93" s="131"/>
      <c r="CQ93" s="131"/>
      <c r="CR93" s="131"/>
    </row>
    <row r="94" customFormat="false" ht="12.8" hidden="false" customHeight="false" outlineLevel="0" collapsed="false">
      <c r="A94" s="16" t="s">
        <v>258</v>
      </c>
      <c r="B94" s="17" t="s">
        <v>81</v>
      </c>
      <c r="C94" s="16" t="s">
        <v>288</v>
      </c>
      <c r="D94" s="16" t="s">
        <v>289</v>
      </c>
      <c r="E94" s="140" t="s">
        <v>89</v>
      </c>
      <c r="F94" s="16" t="s">
        <v>148</v>
      </c>
      <c r="G94" s="16"/>
      <c r="H94" s="16"/>
      <c r="I94" s="39"/>
      <c r="J94" s="39" t="n">
        <v>7000</v>
      </c>
      <c r="K94" s="42" t="n">
        <v>61850</v>
      </c>
      <c r="L94" s="50" t="n">
        <v>50</v>
      </c>
      <c r="M94" s="48" t="n">
        <v>0.1</v>
      </c>
      <c r="N94" s="37" t="n">
        <v>3</v>
      </c>
      <c r="O94" s="44" t="n">
        <f aca="false">IF(Y94,1,0)+AB94+AI94+AP94+AW94+BD94+BK94+BR94+BY94+CF94+CM94</f>
        <v>0</v>
      </c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128" t="n">
        <v>6</v>
      </c>
      <c r="AB94" s="128" t="n">
        <v>2</v>
      </c>
      <c r="AC94" s="131" t="s">
        <v>390</v>
      </c>
      <c r="AD94" s="131" t="s">
        <v>391</v>
      </c>
      <c r="AE94" s="131" t="s">
        <v>410</v>
      </c>
      <c r="AF94" s="131" t="s">
        <v>411</v>
      </c>
      <c r="AG94" s="131" t="s">
        <v>399</v>
      </c>
      <c r="AH94" s="130" t="s">
        <v>483</v>
      </c>
      <c r="AI94" s="128" t="n">
        <v>2</v>
      </c>
      <c r="AJ94" s="130" t="s">
        <v>484</v>
      </c>
      <c r="AK94" s="130" t="s">
        <v>485</v>
      </c>
      <c r="AL94" s="130" t="s">
        <v>486</v>
      </c>
      <c r="AM94" s="130" t="s">
        <v>487</v>
      </c>
      <c r="AN94" s="130" t="s">
        <v>488</v>
      </c>
      <c r="AO94" s="131"/>
      <c r="AP94" s="128"/>
      <c r="AQ94" s="131"/>
      <c r="AR94" s="131"/>
      <c r="AS94" s="131"/>
      <c r="AT94" s="131"/>
      <c r="AU94" s="131"/>
      <c r="AV94" s="131"/>
      <c r="AW94" s="131"/>
      <c r="AX94" s="131"/>
      <c r="AY94" s="131"/>
      <c r="AZ94" s="131"/>
      <c r="BA94" s="131"/>
      <c r="BB94" s="131"/>
      <c r="BC94" s="131"/>
      <c r="BD94" s="131"/>
      <c r="BE94" s="131"/>
      <c r="BF94" s="131"/>
      <c r="BG94" s="131"/>
      <c r="BH94" s="131"/>
      <c r="BI94" s="131"/>
      <c r="BJ94" s="131"/>
      <c r="BK94" s="128"/>
      <c r="BL94" s="131"/>
      <c r="BM94" s="131"/>
      <c r="BN94" s="131"/>
      <c r="BO94" s="131"/>
      <c r="BP94" s="133"/>
      <c r="BQ94" s="131"/>
      <c r="BR94" s="131"/>
      <c r="BS94" s="131"/>
      <c r="BT94" s="131"/>
      <c r="BU94" s="131"/>
      <c r="BV94" s="131"/>
      <c r="BW94" s="133"/>
      <c r="BX94" s="131"/>
      <c r="BY94" s="128"/>
      <c r="BZ94" s="131"/>
      <c r="CA94" s="131"/>
      <c r="CB94" s="131"/>
      <c r="CC94" s="131"/>
      <c r="CD94" s="131"/>
      <c r="CE94" s="134"/>
      <c r="CF94" s="128"/>
      <c r="CG94" s="131"/>
      <c r="CH94" s="131"/>
      <c r="CI94" s="131"/>
      <c r="CJ94" s="131"/>
      <c r="CK94" s="131"/>
      <c r="CL94" s="131"/>
      <c r="CM94" s="128"/>
      <c r="CN94" s="131"/>
      <c r="CO94" s="131"/>
      <c r="CP94" s="131"/>
      <c r="CQ94" s="131"/>
      <c r="CR94" s="131"/>
    </row>
    <row r="95" customFormat="false" ht="12.8" hidden="false" customHeight="false" outlineLevel="0" collapsed="false">
      <c r="A95" s="16" t="s">
        <v>258</v>
      </c>
      <c r="B95" s="17" t="s">
        <v>81</v>
      </c>
      <c r="C95" s="16" t="s">
        <v>288</v>
      </c>
      <c r="D95" s="16" t="s">
        <v>290</v>
      </c>
      <c r="E95" s="140" t="s">
        <v>87</v>
      </c>
      <c r="F95" s="16" t="s">
        <v>163</v>
      </c>
      <c r="G95" s="16"/>
      <c r="H95" s="16"/>
      <c r="I95" s="39"/>
      <c r="J95" s="39" t="n">
        <v>7000</v>
      </c>
      <c r="K95" s="42" t="n">
        <v>61850</v>
      </c>
      <c r="L95" s="50" t="n">
        <v>50</v>
      </c>
      <c r="M95" s="48" t="n">
        <v>0.1</v>
      </c>
      <c r="N95" s="37"/>
      <c r="O95" s="44" t="n">
        <f aca="false">IF(Y95,1,0)+AB95+AI95+AP95+AW95+BD95+BK95+BR95+BY95+CF95+CM95</f>
        <v>0</v>
      </c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31"/>
      <c r="AP95" s="128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  <c r="BF95" s="131"/>
      <c r="BG95" s="131"/>
      <c r="BH95" s="131"/>
      <c r="BI95" s="131"/>
      <c r="BJ95" s="131"/>
      <c r="BK95" s="128"/>
      <c r="BL95" s="131"/>
      <c r="BM95" s="131"/>
      <c r="BN95" s="131"/>
      <c r="BO95" s="131"/>
      <c r="BP95" s="133"/>
      <c r="BQ95" s="131"/>
      <c r="BR95" s="131"/>
      <c r="BS95" s="131"/>
      <c r="BT95" s="131"/>
      <c r="BU95" s="131"/>
      <c r="BV95" s="131"/>
      <c r="BW95" s="133"/>
      <c r="BX95" s="131"/>
      <c r="BY95" s="128"/>
      <c r="BZ95" s="131"/>
      <c r="CA95" s="131"/>
      <c r="CB95" s="131"/>
      <c r="CC95" s="131"/>
      <c r="CD95" s="131"/>
      <c r="CE95" s="134"/>
      <c r="CF95" s="128"/>
      <c r="CG95" s="131"/>
      <c r="CH95" s="131"/>
      <c r="CI95" s="131"/>
      <c r="CJ95" s="131"/>
      <c r="CK95" s="131"/>
      <c r="CL95" s="131"/>
      <c r="CM95" s="128"/>
      <c r="CN95" s="131"/>
      <c r="CO95" s="131"/>
      <c r="CP95" s="131"/>
      <c r="CQ95" s="131"/>
      <c r="CR95" s="131"/>
    </row>
    <row r="96" customFormat="false" ht="12.8" hidden="false" customHeight="false" outlineLevel="0" collapsed="false">
      <c r="A96" s="16" t="s">
        <v>258</v>
      </c>
      <c r="B96" s="17" t="s">
        <v>81</v>
      </c>
      <c r="C96" s="16" t="s">
        <v>288</v>
      </c>
      <c r="D96" s="16" t="s">
        <v>291</v>
      </c>
      <c r="E96" s="140" t="s">
        <v>88</v>
      </c>
      <c r="F96" s="16" t="s">
        <v>170</v>
      </c>
      <c r="G96" s="16"/>
      <c r="H96" s="16"/>
      <c r="I96" s="39"/>
      <c r="J96" s="39" t="n">
        <v>7000</v>
      </c>
      <c r="K96" s="42" t="n">
        <v>61850</v>
      </c>
      <c r="L96" s="50" t="n">
        <v>50</v>
      </c>
      <c r="M96" s="48" t="n">
        <v>0.1</v>
      </c>
      <c r="N96" s="37"/>
      <c r="O96" s="44" t="n">
        <f aca="false">IF(Y96,1,0)+AB96+AI96+AP96+AW96+BD96+BK96+BR96+BY96+CF96+CM96</f>
        <v>0</v>
      </c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31"/>
      <c r="AP96" s="128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  <c r="BA96" s="131"/>
      <c r="BB96" s="131"/>
      <c r="BC96" s="131"/>
      <c r="BD96" s="131"/>
      <c r="BE96" s="131"/>
      <c r="BF96" s="131"/>
      <c r="BG96" s="131"/>
      <c r="BH96" s="131"/>
      <c r="BI96" s="131"/>
      <c r="BJ96" s="131"/>
      <c r="BK96" s="128"/>
      <c r="BL96" s="131"/>
      <c r="BM96" s="131"/>
      <c r="BN96" s="131"/>
      <c r="BO96" s="131"/>
      <c r="BP96" s="133"/>
      <c r="BQ96" s="131"/>
      <c r="BR96" s="131"/>
      <c r="BS96" s="131"/>
      <c r="BT96" s="131"/>
      <c r="BU96" s="131"/>
      <c r="BV96" s="131"/>
      <c r="BW96" s="133"/>
      <c r="BX96" s="131"/>
      <c r="BY96" s="128"/>
      <c r="BZ96" s="131"/>
      <c r="CA96" s="131"/>
      <c r="CB96" s="131"/>
      <c r="CC96" s="131"/>
      <c r="CD96" s="131"/>
      <c r="CE96" s="134"/>
      <c r="CF96" s="128"/>
      <c r="CG96" s="131"/>
      <c r="CH96" s="131"/>
      <c r="CI96" s="131"/>
      <c r="CJ96" s="131"/>
      <c r="CK96" s="131"/>
      <c r="CL96" s="131"/>
      <c r="CM96" s="128"/>
      <c r="CN96" s="131"/>
      <c r="CO96" s="131"/>
      <c r="CP96" s="131"/>
      <c r="CQ96" s="131"/>
      <c r="CR96" s="131"/>
    </row>
    <row r="97" customFormat="false" ht="12.8" hidden="false" customHeight="false" outlineLevel="0" collapsed="false">
      <c r="A97" s="16" t="s">
        <v>258</v>
      </c>
      <c r="B97" s="16" t="s">
        <v>158</v>
      </c>
      <c r="C97" s="16" t="s">
        <v>280</v>
      </c>
      <c r="D97" s="16" t="s">
        <v>281</v>
      </c>
      <c r="E97" s="140" t="s">
        <v>89</v>
      </c>
      <c r="F97" s="16" t="s">
        <v>143</v>
      </c>
      <c r="G97" s="16"/>
      <c r="H97" s="16"/>
      <c r="I97" s="39"/>
      <c r="J97" s="39" t="n">
        <v>7000</v>
      </c>
      <c r="K97" s="42" t="n">
        <v>70810</v>
      </c>
      <c r="L97" s="50" t="n">
        <v>40</v>
      </c>
      <c r="M97" s="48" t="n">
        <v>0.1</v>
      </c>
      <c r="N97" s="37" t="n">
        <v>4</v>
      </c>
      <c r="O97" s="44" t="n">
        <f aca="false">IF(Y97,1,0)+AB97+AI97+AP97+AW97+BD97+BK97+BR97+BY97+CF97+CM97</f>
        <v>0</v>
      </c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128" t="n">
        <v>6</v>
      </c>
      <c r="AB97" s="128" t="n">
        <v>2</v>
      </c>
      <c r="AC97" s="131" t="s">
        <v>390</v>
      </c>
      <c r="AD97" s="131" t="s">
        <v>391</v>
      </c>
      <c r="AE97" s="131" t="s">
        <v>410</v>
      </c>
      <c r="AF97" s="131" t="s">
        <v>411</v>
      </c>
      <c r="AG97" s="131" t="s">
        <v>399</v>
      </c>
      <c r="AH97" s="130" t="s">
        <v>483</v>
      </c>
      <c r="AI97" s="128" t="n">
        <v>2</v>
      </c>
      <c r="AJ97" s="130" t="s">
        <v>484</v>
      </c>
      <c r="AK97" s="130" t="s">
        <v>485</v>
      </c>
      <c r="AL97" s="130" t="s">
        <v>486</v>
      </c>
      <c r="AM97" s="130" t="s">
        <v>487</v>
      </c>
      <c r="AN97" s="130" t="s">
        <v>488</v>
      </c>
      <c r="AO97" s="131"/>
      <c r="AP97" s="128"/>
      <c r="AQ97" s="131"/>
      <c r="AR97" s="131"/>
      <c r="AS97" s="131"/>
      <c r="AT97" s="131"/>
      <c r="AU97" s="131"/>
      <c r="AV97" s="128" t="n">
        <v>6</v>
      </c>
      <c r="AW97" s="128" t="n">
        <v>1</v>
      </c>
      <c r="AX97" s="131" t="s">
        <v>410</v>
      </c>
      <c r="AY97" s="131" t="s">
        <v>453</v>
      </c>
      <c r="AZ97" s="131" t="s">
        <v>489</v>
      </c>
      <c r="BA97" s="131" t="s">
        <v>447</v>
      </c>
      <c r="BB97" s="133" t="s">
        <v>380</v>
      </c>
      <c r="BC97" s="131"/>
      <c r="BD97" s="131"/>
      <c r="BE97" s="131"/>
      <c r="BF97" s="131"/>
      <c r="BG97" s="131"/>
      <c r="BH97" s="131"/>
      <c r="BI97" s="131"/>
      <c r="BJ97" s="131"/>
      <c r="BK97" s="128"/>
      <c r="BL97" s="131"/>
      <c r="BM97" s="131"/>
      <c r="BN97" s="131"/>
      <c r="BO97" s="131"/>
      <c r="BP97" s="133"/>
      <c r="BQ97" s="131"/>
      <c r="BR97" s="131"/>
      <c r="BS97" s="131"/>
      <c r="BT97" s="131"/>
      <c r="BU97" s="131"/>
      <c r="BV97" s="131"/>
      <c r="BW97" s="133"/>
      <c r="BX97" s="131"/>
      <c r="BY97" s="128"/>
      <c r="BZ97" s="131"/>
      <c r="CA97" s="131"/>
      <c r="CB97" s="131"/>
      <c r="CC97" s="131"/>
      <c r="CD97" s="131"/>
      <c r="CE97" s="134"/>
      <c r="CF97" s="128"/>
      <c r="CG97" s="131"/>
      <c r="CH97" s="131"/>
      <c r="CI97" s="131"/>
      <c r="CJ97" s="131"/>
      <c r="CK97" s="131"/>
      <c r="CL97" s="131"/>
      <c r="CM97" s="128"/>
      <c r="CN97" s="131"/>
      <c r="CO97" s="131"/>
      <c r="CP97" s="131"/>
      <c r="CQ97" s="131"/>
      <c r="CR97" s="131"/>
    </row>
    <row r="98" customFormat="false" ht="12.8" hidden="false" customHeight="false" outlineLevel="0" collapsed="false">
      <c r="A98" s="16" t="s">
        <v>258</v>
      </c>
      <c r="B98" s="16" t="s">
        <v>158</v>
      </c>
      <c r="C98" s="16" t="s">
        <v>280</v>
      </c>
      <c r="D98" s="16" t="s">
        <v>282</v>
      </c>
      <c r="E98" s="140" t="s">
        <v>87</v>
      </c>
      <c r="F98" s="16" t="s">
        <v>116</v>
      </c>
      <c r="G98" s="16"/>
      <c r="H98" s="16"/>
      <c r="I98" s="39"/>
      <c r="J98" s="39" t="n">
        <v>7000</v>
      </c>
      <c r="K98" s="42" t="n">
        <v>70810</v>
      </c>
      <c r="L98" s="50" t="n">
        <v>40</v>
      </c>
      <c r="M98" s="48" t="n">
        <v>0.1</v>
      </c>
      <c r="N98" s="37"/>
      <c r="O98" s="44" t="n">
        <f aca="false">IF(Y98,1,0)+AB98+AI98+AP98+AW98+BD98+BK98+BR98+BY98+CF98+CM98</f>
        <v>0</v>
      </c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31"/>
      <c r="AP98" s="128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  <c r="BA98" s="131"/>
      <c r="BB98" s="131"/>
      <c r="BC98" s="131"/>
      <c r="BD98" s="131"/>
      <c r="BE98" s="131"/>
      <c r="BF98" s="131"/>
      <c r="BG98" s="131"/>
      <c r="BH98" s="131"/>
      <c r="BI98" s="131"/>
      <c r="BJ98" s="131"/>
      <c r="BK98" s="128"/>
      <c r="BL98" s="131"/>
      <c r="BM98" s="131"/>
      <c r="BN98" s="131"/>
      <c r="BO98" s="131"/>
      <c r="BP98" s="133"/>
      <c r="BQ98" s="131"/>
      <c r="BR98" s="131"/>
      <c r="BS98" s="131"/>
      <c r="BT98" s="131"/>
      <c r="BU98" s="131"/>
      <c r="BV98" s="131"/>
      <c r="BW98" s="133"/>
      <c r="BX98" s="131"/>
      <c r="BY98" s="128"/>
      <c r="BZ98" s="131"/>
      <c r="CA98" s="131"/>
      <c r="CB98" s="131"/>
      <c r="CC98" s="131"/>
      <c r="CD98" s="131"/>
      <c r="CE98" s="134"/>
      <c r="CF98" s="128"/>
      <c r="CG98" s="131"/>
      <c r="CH98" s="131"/>
      <c r="CI98" s="131"/>
      <c r="CJ98" s="131"/>
      <c r="CK98" s="131"/>
      <c r="CL98" s="131"/>
      <c r="CM98" s="128"/>
      <c r="CN98" s="131"/>
      <c r="CO98" s="131"/>
      <c r="CP98" s="131"/>
      <c r="CQ98" s="131"/>
      <c r="CR98" s="131"/>
    </row>
    <row r="99" customFormat="false" ht="12.8" hidden="false" customHeight="false" outlineLevel="0" collapsed="false">
      <c r="A99" s="16" t="s">
        <v>258</v>
      </c>
      <c r="B99" s="16" t="s">
        <v>158</v>
      </c>
      <c r="C99" s="16" t="s">
        <v>280</v>
      </c>
      <c r="D99" s="17" t="s">
        <v>283</v>
      </c>
      <c r="E99" s="130" t="s">
        <v>88</v>
      </c>
      <c r="F99" s="16" t="s">
        <v>188</v>
      </c>
      <c r="G99" s="16"/>
      <c r="H99" s="16"/>
      <c r="I99" s="39"/>
      <c r="J99" s="39" t="n">
        <v>7000</v>
      </c>
      <c r="K99" s="42" t="n">
        <v>70810</v>
      </c>
      <c r="L99" s="50" t="n">
        <v>40</v>
      </c>
      <c r="M99" s="48" t="n">
        <v>0.1</v>
      </c>
      <c r="N99" s="37"/>
      <c r="O99" s="44" t="n">
        <f aca="false">IF(Y99,1,0)+AB99+AI99+AP99+AW99+BD99+BK99+BR99+BY99+CF99+CM99</f>
        <v>0</v>
      </c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31"/>
      <c r="AP99" s="128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1"/>
      <c r="BB99" s="131"/>
      <c r="BC99" s="131"/>
      <c r="BD99" s="131"/>
      <c r="BE99" s="131"/>
      <c r="BF99" s="131"/>
      <c r="BG99" s="131"/>
      <c r="BH99" s="131"/>
      <c r="BI99" s="131"/>
      <c r="BJ99" s="131"/>
      <c r="BK99" s="128"/>
      <c r="BL99" s="131"/>
      <c r="BM99" s="131"/>
      <c r="BN99" s="131"/>
      <c r="BO99" s="131"/>
      <c r="BP99" s="133"/>
      <c r="BQ99" s="131"/>
      <c r="BR99" s="131"/>
      <c r="BS99" s="131"/>
      <c r="BT99" s="131"/>
      <c r="BU99" s="131"/>
      <c r="BV99" s="131"/>
      <c r="BW99" s="133"/>
      <c r="BX99" s="131"/>
      <c r="BY99" s="128"/>
      <c r="BZ99" s="131"/>
      <c r="CA99" s="131"/>
      <c r="CB99" s="131"/>
      <c r="CC99" s="131"/>
      <c r="CD99" s="131"/>
      <c r="CE99" s="134"/>
      <c r="CF99" s="128"/>
      <c r="CG99" s="131"/>
      <c r="CH99" s="131"/>
      <c r="CI99" s="131"/>
      <c r="CJ99" s="131"/>
      <c r="CK99" s="131"/>
      <c r="CL99" s="131"/>
      <c r="CM99" s="128"/>
      <c r="CN99" s="131"/>
      <c r="CO99" s="131"/>
      <c r="CP99" s="131"/>
      <c r="CQ99" s="131"/>
      <c r="CR99" s="131"/>
    </row>
    <row r="100" customFormat="false" ht="12.8" hidden="false" customHeight="false" outlineLevel="0" collapsed="false">
      <c r="A100" s="16" t="s">
        <v>258</v>
      </c>
      <c r="B100" s="16" t="s">
        <v>98</v>
      </c>
      <c r="C100" s="16" t="s">
        <v>262</v>
      </c>
      <c r="D100" s="17" t="s">
        <v>263</v>
      </c>
      <c r="E100" s="140" t="s">
        <v>89</v>
      </c>
      <c r="F100" s="16" t="s">
        <v>148</v>
      </c>
      <c r="G100" s="16"/>
      <c r="H100" s="16"/>
      <c r="I100" s="39"/>
      <c r="J100" s="39" t="n">
        <v>7000</v>
      </c>
      <c r="K100" s="42" t="n">
        <v>67730</v>
      </c>
      <c r="L100" s="50" t="n">
        <v>50</v>
      </c>
      <c r="M100" s="48" t="n">
        <v>0.1</v>
      </c>
      <c r="N100" s="37" t="n">
        <v>4</v>
      </c>
      <c r="O100" s="44" t="n">
        <f aca="false">IF(Y100,1,0)+AB100+AI100+AP100+AW100+BD100+BK100+BR100+BY100+CF100+CM100</f>
        <v>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128" t="n">
        <v>6</v>
      </c>
      <c r="AB100" s="128" t="n">
        <v>2</v>
      </c>
      <c r="AC100" s="131" t="s">
        <v>390</v>
      </c>
      <c r="AD100" s="131" t="s">
        <v>391</v>
      </c>
      <c r="AE100" s="131" t="s">
        <v>410</v>
      </c>
      <c r="AF100" s="131" t="s">
        <v>411</v>
      </c>
      <c r="AG100" s="131" t="s">
        <v>399</v>
      </c>
      <c r="AH100" s="130" t="s">
        <v>483</v>
      </c>
      <c r="AI100" s="128" t="n">
        <v>1</v>
      </c>
      <c r="AJ100" s="130" t="s">
        <v>484</v>
      </c>
      <c r="AK100" s="130" t="s">
        <v>485</v>
      </c>
      <c r="AL100" s="130" t="s">
        <v>486</v>
      </c>
      <c r="AM100" s="130" t="s">
        <v>487</v>
      </c>
      <c r="AN100" s="130" t="s">
        <v>488</v>
      </c>
      <c r="AO100" s="128" t="n">
        <v>6</v>
      </c>
      <c r="AP100" s="128" t="n">
        <v>1</v>
      </c>
      <c r="AQ100" s="131" t="s">
        <v>390</v>
      </c>
      <c r="AR100" s="131" t="s">
        <v>391</v>
      </c>
      <c r="AS100" s="131" t="s">
        <v>410</v>
      </c>
      <c r="AT100" s="131" t="s">
        <v>411</v>
      </c>
      <c r="AU100" s="131" t="s">
        <v>399</v>
      </c>
      <c r="AV100" s="128" t="n">
        <v>6</v>
      </c>
      <c r="AW100" s="128" t="n">
        <v>1</v>
      </c>
      <c r="AX100" s="131" t="s">
        <v>410</v>
      </c>
      <c r="AY100" s="131" t="s">
        <v>453</v>
      </c>
      <c r="AZ100" s="131" t="s">
        <v>489</v>
      </c>
      <c r="BA100" s="131" t="s">
        <v>447</v>
      </c>
      <c r="BB100" s="133" t="s">
        <v>380</v>
      </c>
      <c r="BC100" s="131"/>
      <c r="BD100" s="131"/>
      <c r="BE100" s="131"/>
      <c r="BF100" s="131"/>
      <c r="BG100" s="131"/>
      <c r="BH100" s="131"/>
      <c r="BI100" s="131"/>
      <c r="BJ100" s="131"/>
      <c r="BK100" s="128"/>
      <c r="BL100" s="131"/>
      <c r="BM100" s="131"/>
      <c r="BN100" s="131"/>
      <c r="BO100" s="131"/>
      <c r="BP100" s="133"/>
      <c r="BQ100" s="131"/>
      <c r="BR100" s="131"/>
      <c r="BS100" s="131"/>
      <c r="BT100" s="131"/>
      <c r="BU100" s="131"/>
      <c r="BV100" s="131"/>
      <c r="BW100" s="133"/>
      <c r="BX100" s="131"/>
      <c r="BY100" s="128"/>
      <c r="BZ100" s="131"/>
      <c r="CA100" s="131"/>
      <c r="CB100" s="131"/>
      <c r="CC100" s="131"/>
      <c r="CD100" s="131"/>
      <c r="CE100" s="134"/>
      <c r="CF100" s="128"/>
      <c r="CG100" s="131"/>
      <c r="CH100" s="131"/>
      <c r="CI100" s="131"/>
      <c r="CJ100" s="131"/>
      <c r="CK100" s="131"/>
      <c r="CL100" s="131"/>
      <c r="CM100" s="128"/>
      <c r="CN100" s="131"/>
      <c r="CO100" s="131"/>
      <c r="CP100" s="131"/>
      <c r="CQ100" s="131"/>
      <c r="CR100" s="131"/>
    </row>
    <row r="101" customFormat="false" ht="12.8" hidden="false" customHeight="false" outlineLevel="0" collapsed="false">
      <c r="A101" s="16" t="s">
        <v>258</v>
      </c>
      <c r="B101" s="16" t="s">
        <v>98</v>
      </c>
      <c r="C101" s="16" t="s">
        <v>262</v>
      </c>
      <c r="D101" s="16" t="s">
        <v>264</v>
      </c>
      <c r="E101" s="140" t="s">
        <v>87</v>
      </c>
      <c r="F101" s="16" t="s">
        <v>238</v>
      </c>
      <c r="G101" s="16"/>
      <c r="H101" s="16"/>
      <c r="I101" s="39"/>
      <c r="J101" s="39" t="n">
        <v>7000</v>
      </c>
      <c r="K101" s="42" t="n">
        <v>67730</v>
      </c>
      <c r="L101" s="50" t="n">
        <v>50</v>
      </c>
      <c r="M101" s="48" t="n">
        <v>0.1</v>
      </c>
      <c r="N101" s="37"/>
      <c r="O101" s="44" t="n">
        <f aca="false">IF(Y101,1,0)+AB101+AI101+AP101+AW101+BD101+BK101+BR101+BY101+CF101+CM101</f>
        <v>0</v>
      </c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31"/>
      <c r="AP101" s="128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31"/>
      <c r="BF101" s="131"/>
      <c r="BG101" s="131"/>
      <c r="BH101" s="131"/>
      <c r="BI101" s="131"/>
      <c r="BJ101" s="131"/>
      <c r="BK101" s="128"/>
      <c r="BL101" s="131"/>
      <c r="BM101" s="131"/>
      <c r="BN101" s="131"/>
      <c r="BO101" s="131"/>
      <c r="BP101" s="133"/>
      <c r="BQ101" s="131"/>
      <c r="BR101" s="131"/>
      <c r="BS101" s="131"/>
      <c r="BT101" s="131"/>
      <c r="BU101" s="131"/>
      <c r="BV101" s="131"/>
      <c r="BW101" s="133"/>
      <c r="BX101" s="131"/>
      <c r="BY101" s="128"/>
      <c r="BZ101" s="131"/>
      <c r="CA101" s="131"/>
      <c r="CB101" s="131"/>
      <c r="CC101" s="131"/>
      <c r="CD101" s="131"/>
      <c r="CE101" s="134"/>
      <c r="CF101" s="128"/>
      <c r="CG101" s="131"/>
      <c r="CH101" s="131"/>
      <c r="CI101" s="131"/>
      <c r="CJ101" s="131"/>
      <c r="CK101" s="131"/>
      <c r="CL101" s="131"/>
      <c r="CM101" s="128"/>
      <c r="CN101" s="131"/>
      <c r="CO101" s="131"/>
      <c r="CP101" s="131"/>
      <c r="CQ101" s="131"/>
      <c r="CR101" s="131"/>
    </row>
    <row r="102" customFormat="false" ht="12.8" hidden="false" customHeight="false" outlineLevel="0" collapsed="false">
      <c r="A102" s="16" t="s">
        <v>258</v>
      </c>
      <c r="B102" s="16" t="s">
        <v>98</v>
      </c>
      <c r="C102" s="16" t="s">
        <v>262</v>
      </c>
      <c r="D102" s="16" t="s">
        <v>265</v>
      </c>
      <c r="E102" s="140" t="s">
        <v>88</v>
      </c>
      <c r="F102" s="16" t="s">
        <v>163</v>
      </c>
      <c r="G102" s="16"/>
      <c r="H102" s="16"/>
      <c r="I102" s="39"/>
      <c r="J102" s="39" t="n">
        <v>7000</v>
      </c>
      <c r="K102" s="42" t="n">
        <v>67730</v>
      </c>
      <c r="L102" s="50" t="n">
        <v>50</v>
      </c>
      <c r="M102" s="48" t="n">
        <v>0.1</v>
      </c>
      <c r="N102" s="37"/>
      <c r="O102" s="44" t="n">
        <f aca="false">IF(Y102,1,0)+AB102+AI102+AP102+AW102+BD102+BK102+BR102+BY102+CF102+CM102</f>
        <v>0</v>
      </c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31"/>
      <c r="AP102" s="128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31"/>
      <c r="BF102" s="131"/>
      <c r="BG102" s="131"/>
      <c r="BH102" s="131"/>
      <c r="BI102" s="131"/>
      <c r="BJ102" s="131"/>
      <c r="BK102" s="128"/>
      <c r="BL102" s="131"/>
      <c r="BM102" s="131"/>
      <c r="BN102" s="131"/>
      <c r="BO102" s="131"/>
      <c r="BP102" s="133"/>
      <c r="BQ102" s="131"/>
      <c r="BR102" s="131"/>
      <c r="BS102" s="131"/>
      <c r="BT102" s="131"/>
      <c r="BU102" s="131"/>
      <c r="BV102" s="131"/>
      <c r="BW102" s="133"/>
      <c r="BX102" s="131"/>
      <c r="BY102" s="128"/>
      <c r="BZ102" s="131"/>
      <c r="CA102" s="131"/>
      <c r="CB102" s="131"/>
      <c r="CC102" s="131"/>
      <c r="CD102" s="131"/>
      <c r="CE102" s="134"/>
      <c r="CF102" s="128"/>
      <c r="CG102" s="131"/>
      <c r="CH102" s="131"/>
      <c r="CI102" s="131"/>
      <c r="CJ102" s="131"/>
      <c r="CK102" s="131"/>
      <c r="CL102" s="131"/>
      <c r="CM102" s="128"/>
      <c r="CN102" s="131"/>
      <c r="CO102" s="131"/>
      <c r="CP102" s="131"/>
      <c r="CQ102" s="131"/>
      <c r="CR102" s="131"/>
    </row>
    <row r="103" customFormat="false" ht="12.8" hidden="false" customHeight="false" outlineLevel="0" collapsed="false">
      <c r="A103" s="16" t="s">
        <v>258</v>
      </c>
      <c r="B103" s="16" t="s">
        <v>158</v>
      </c>
      <c r="C103" s="16" t="s">
        <v>276</v>
      </c>
      <c r="D103" s="16" t="s">
        <v>277</v>
      </c>
      <c r="E103" s="140" t="s">
        <v>89</v>
      </c>
      <c r="F103" s="16" t="s">
        <v>178</v>
      </c>
      <c r="G103" s="16"/>
      <c r="H103" s="16"/>
      <c r="I103" s="39"/>
      <c r="J103" s="39" t="n">
        <v>7000</v>
      </c>
      <c r="K103" s="42" t="n">
        <v>53690</v>
      </c>
      <c r="L103" s="50" t="n">
        <v>50</v>
      </c>
      <c r="M103" s="48" t="n">
        <v>0.1</v>
      </c>
      <c r="N103" s="37" t="n">
        <v>4</v>
      </c>
      <c r="O103" s="44" t="n">
        <f aca="false">IF(Y103,1,0)+AB103+AI103+AP103+AW103+BD103+BK103+BR103+BY103+CF103+CM103</f>
        <v>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128" t="n">
        <v>6</v>
      </c>
      <c r="AB103" s="128" t="n">
        <v>2</v>
      </c>
      <c r="AC103" s="131" t="s">
        <v>390</v>
      </c>
      <c r="AD103" s="131" t="s">
        <v>391</v>
      </c>
      <c r="AE103" s="131" t="s">
        <v>410</v>
      </c>
      <c r="AF103" s="131" t="s">
        <v>411</v>
      </c>
      <c r="AG103" s="131" t="s">
        <v>399</v>
      </c>
      <c r="AH103" s="130" t="s">
        <v>483</v>
      </c>
      <c r="AI103" s="128" t="n">
        <v>1</v>
      </c>
      <c r="AJ103" s="130" t="s">
        <v>484</v>
      </c>
      <c r="AK103" s="130" t="s">
        <v>485</v>
      </c>
      <c r="AL103" s="130" t="s">
        <v>486</v>
      </c>
      <c r="AM103" s="130" t="s">
        <v>487</v>
      </c>
      <c r="AN103" s="130" t="s">
        <v>488</v>
      </c>
      <c r="AO103" s="128" t="n">
        <v>6</v>
      </c>
      <c r="AP103" s="128" t="n">
        <v>2</v>
      </c>
      <c r="AQ103" s="131" t="s">
        <v>390</v>
      </c>
      <c r="AR103" s="131" t="s">
        <v>391</v>
      </c>
      <c r="AS103" s="131" t="s">
        <v>410</v>
      </c>
      <c r="AT103" s="131" t="s">
        <v>411</v>
      </c>
      <c r="AU103" s="131" t="s">
        <v>399</v>
      </c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31"/>
      <c r="BF103" s="131"/>
      <c r="BG103" s="131"/>
      <c r="BH103" s="131"/>
      <c r="BI103" s="131"/>
      <c r="BJ103" s="131"/>
      <c r="BK103" s="128"/>
      <c r="BL103" s="131"/>
      <c r="BM103" s="131"/>
      <c r="BN103" s="131"/>
      <c r="BO103" s="131"/>
      <c r="BP103" s="133"/>
      <c r="BQ103" s="131"/>
      <c r="BR103" s="131"/>
      <c r="BS103" s="131"/>
      <c r="BT103" s="131"/>
      <c r="BU103" s="131"/>
      <c r="BV103" s="131"/>
      <c r="BW103" s="133"/>
      <c r="BX103" s="128" t="n">
        <v>6</v>
      </c>
      <c r="BY103" s="128" t="n">
        <v>1</v>
      </c>
      <c r="BZ103" s="131" t="s">
        <v>441</v>
      </c>
      <c r="CA103" s="131" t="s">
        <v>442</v>
      </c>
      <c r="CB103" s="131" t="s">
        <v>443</v>
      </c>
      <c r="CC103" s="131" t="s">
        <v>444</v>
      </c>
      <c r="CD103" s="131" t="s">
        <v>458</v>
      </c>
      <c r="CE103" s="134"/>
      <c r="CF103" s="128"/>
      <c r="CG103" s="131"/>
      <c r="CH103" s="131"/>
      <c r="CI103" s="131"/>
      <c r="CJ103" s="131"/>
      <c r="CK103" s="131"/>
      <c r="CL103" s="131"/>
      <c r="CM103" s="128"/>
      <c r="CN103" s="131"/>
      <c r="CO103" s="131"/>
      <c r="CP103" s="131"/>
      <c r="CQ103" s="131"/>
      <c r="CR103" s="131"/>
    </row>
    <row r="104" customFormat="false" ht="12.8" hidden="false" customHeight="false" outlineLevel="0" collapsed="false">
      <c r="A104" s="16" t="s">
        <v>258</v>
      </c>
      <c r="B104" s="16" t="s">
        <v>158</v>
      </c>
      <c r="C104" s="16" t="s">
        <v>276</v>
      </c>
      <c r="D104" s="16" t="s">
        <v>278</v>
      </c>
      <c r="E104" s="140" t="s">
        <v>87</v>
      </c>
      <c r="F104" s="16" t="s">
        <v>116</v>
      </c>
      <c r="G104" s="16"/>
      <c r="H104" s="16"/>
      <c r="I104" s="39"/>
      <c r="J104" s="39" t="n">
        <v>7000</v>
      </c>
      <c r="K104" s="42" t="n">
        <v>53690</v>
      </c>
      <c r="L104" s="50" t="n">
        <v>50</v>
      </c>
      <c r="M104" s="48" t="n">
        <v>0.1</v>
      </c>
      <c r="N104" s="37"/>
      <c r="O104" s="44" t="n">
        <f aca="false">IF(Y104,1,0)+AB104+AI104+AP104+AW104+BD104+BK104+BR104+BY104+CF104+CM104</f>
        <v>0</v>
      </c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31"/>
      <c r="AP104" s="128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  <c r="BE104" s="131"/>
      <c r="BF104" s="131"/>
      <c r="BG104" s="131"/>
      <c r="BH104" s="131"/>
      <c r="BI104" s="131"/>
      <c r="BJ104" s="131"/>
      <c r="BK104" s="128"/>
      <c r="BL104" s="131"/>
      <c r="BM104" s="131"/>
      <c r="BN104" s="131"/>
      <c r="BO104" s="131"/>
      <c r="BP104" s="133"/>
      <c r="BQ104" s="131"/>
      <c r="BR104" s="131"/>
      <c r="BS104" s="131"/>
      <c r="BT104" s="131"/>
      <c r="BU104" s="131"/>
      <c r="BV104" s="131"/>
      <c r="BW104" s="133"/>
      <c r="BX104" s="131"/>
      <c r="BY104" s="128"/>
      <c r="BZ104" s="131"/>
      <c r="CA104" s="131"/>
      <c r="CB104" s="131"/>
      <c r="CC104" s="131"/>
      <c r="CD104" s="131"/>
      <c r="CE104" s="134"/>
      <c r="CF104" s="128"/>
      <c r="CG104" s="131"/>
      <c r="CH104" s="131"/>
      <c r="CI104" s="131"/>
      <c r="CJ104" s="131"/>
      <c r="CK104" s="131"/>
      <c r="CL104" s="131"/>
      <c r="CM104" s="128"/>
      <c r="CN104" s="131"/>
      <c r="CO104" s="131"/>
      <c r="CP104" s="131"/>
      <c r="CQ104" s="131"/>
      <c r="CR104" s="131"/>
    </row>
    <row r="105" customFormat="false" ht="12.8" hidden="false" customHeight="false" outlineLevel="0" collapsed="false">
      <c r="A105" s="16" t="s">
        <v>258</v>
      </c>
      <c r="B105" s="16" t="s">
        <v>158</v>
      </c>
      <c r="C105" s="16" t="s">
        <v>276</v>
      </c>
      <c r="D105" s="16" t="s">
        <v>279</v>
      </c>
      <c r="E105" s="140" t="s">
        <v>88</v>
      </c>
      <c r="F105" s="16" t="s">
        <v>153</v>
      </c>
      <c r="G105" s="16"/>
      <c r="H105" s="16"/>
      <c r="I105" s="39"/>
      <c r="J105" s="39" t="n">
        <v>7000</v>
      </c>
      <c r="K105" s="42" t="n">
        <v>53690</v>
      </c>
      <c r="L105" s="50" t="n">
        <v>50</v>
      </c>
      <c r="M105" s="48" t="n">
        <v>0.1</v>
      </c>
      <c r="N105" s="37"/>
      <c r="O105" s="44" t="n">
        <f aca="false">IF(Y105,1,0)+AB105+AI105+AP105+AW105+BD105+BK105+BR105+BY105+CF105+CM105</f>
        <v>0</v>
      </c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31"/>
      <c r="AP105" s="128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  <c r="BF105" s="131"/>
      <c r="BG105" s="131"/>
      <c r="BH105" s="131"/>
      <c r="BI105" s="131"/>
      <c r="BJ105" s="131"/>
      <c r="BK105" s="128"/>
      <c r="BL105" s="131"/>
      <c r="BM105" s="131"/>
      <c r="BN105" s="131"/>
      <c r="BO105" s="131"/>
      <c r="BP105" s="133"/>
      <c r="BQ105" s="131"/>
      <c r="BR105" s="131"/>
      <c r="BS105" s="131"/>
      <c r="BT105" s="131"/>
      <c r="BU105" s="131"/>
      <c r="BV105" s="131"/>
      <c r="BW105" s="133"/>
      <c r="BX105" s="131"/>
      <c r="BY105" s="128"/>
      <c r="BZ105" s="131"/>
      <c r="CA105" s="131"/>
      <c r="CB105" s="131"/>
      <c r="CC105" s="131"/>
      <c r="CD105" s="131"/>
      <c r="CE105" s="134"/>
      <c r="CF105" s="128"/>
      <c r="CG105" s="131"/>
      <c r="CH105" s="131"/>
      <c r="CI105" s="131"/>
      <c r="CJ105" s="131"/>
      <c r="CK105" s="131"/>
      <c r="CL105" s="131"/>
      <c r="CM105" s="128"/>
      <c r="CN105" s="131"/>
      <c r="CO105" s="131"/>
      <c r="CP105" s="131"/>
      <c r="CQ105" s="131"/>
      <c r="CR105" s="131"/>
    </row>
    <row r="106" customFormat="false" ht="12.8" hidden="false" customHeight="false" outlineLevel="0" collapsed="false">
      <c r="A106" s="16" t="s">
        <v>258</v>
      </c>
      <c r="B106" s="17" t="s">
        <v>93</v>
      </c>
      <c r="C106" s="130" t="s">
        <v>296</v>
      </c>
      <c r="D106" s="16" t="s">
        <v>297</v>
      </c>
      <c r="E106" s="140" t="s">
        <v>89</v>
      </c>
      <c r="F106" s="16" t="s">
        <v>165</v>
      </c>
      <c r="G106" s="16"/>
      <c r="H106" s="16"/>
      <c r="I106" s="39"/>
      <c r="J106" s="39" t="n">
        <v>7000</v>
      </c>
      <c r="K106" s="42" t="n">
        <v>61850</v>
      </c>
      <c r="L106" s="50" t="n">
        <v>50</v>
      </c>
      <c r="M106" s="48" t="n">
        <v>0.1</v>
      </c>
      <c r="N106" s="37" t="n">
        <v>4</v>
      </c>
      <c r="O106" s="44" t="n">
        <f aca="false">IF(Y106,1,0)+AB106+AI106+AP106+AW106+BD106+BK106+BR106+BY106+CF106+CM106</f>
        <v>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128" t="n">
        <v>6</v>
      </c>
      <c r="AB106" s="128" t="n">
        <v>2</v>
      </c>
      <c r="AC106" s="131" t="s">
        <v>390</v>
      </c>
      <c r="AD106" s="131" t="s">
        <v>391</v>
      </c>
      <c r="AE106" s="131" t="s">
        <v>410</v>
      </c>
      <c r="AF106" s="131" t="s">
        <v>411</v>
      </c>
      <c r="AG106" s="131" t="s">
        <v>399</v>
      </c>
      <c r="AH106" s="130" t="s">
        <v>483</v>
      </c>
      <c r="AI106" s="128" t="n">
        <v>2</v>
      </c>
      <c r="AJ106" s="130" t="s">
        <v>484</v>
      </c>
      <c r="AK106" s="130" t="s">
        <v>485</v>
      </c>
      <c r="AL106" s="130" t="s">
        <v>486</v>
      </c>
      <c r="AM106" s="130" t="s">
        <v>487</v>
      </c>
      <c r="AN106" s="130" t="s">
        <v>488</v>
      </c>
      <c r="AO106" s="128" t="n">
        <v>6</v>
      </c>
      <c r="AP106" s="128" t="n">
        <v>2</v>
      </c>
      <c r="AQ106" s="131" t="s">
        <v>390</v>
      </c>
      <c r="AR106" s="131" t="s">
        <v>391</v>
      </c>
      <c r="AS106" s="131" t="s">
        <v>410</v>
      </c>
      <c r="AT106" s="131" t="s">
        <v>411</v>
      </c>
      <c r="AU106" s="131" t="s">
        <v>399</v>
      </c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31"/>
      <c r="BF106" s="131"/>
      <c r="BG106" s="131"/>
      <c r="BH106" s="131"/>
      <c r="BI106" s="131"/>
      <c r="BJ106" s="131"/>
      <c r="BK106" s="128"/>
      <c r="BL106" s="131"/>
      <c r="BM106" s="131"/>
      <c r="BN106" s="131"/>
      <c r="BO106" s="131"/>
      <c r="BP106" s="133"/>
      <c r="BQ106" s="131"/>
      <c r="BR106" s="131"/>
      <c r="BS106" s="131"/>
      <c r="BT106" s="131"/>
      <c r="BU106" s="131"/>
      <c r="BV106" s="131"/>
      <c r="BW106" s="133"/>
      <c r="BX106" s="131"/>
      <c r="BY106" s="128"/>
      <c r="BZ106" s="131"/>
      <c r="CA106" s="131"/>
      <c r="CB106" s="131"/>
      <c r="CC106" s="131"/>
      <c r="CD106" s="131"/>
      <c r="CE106" s="134"/>
      <c r="CF106" s="128"/>
      <c r="CG106" s="131"/>
      <c r="CH106" s="131"/>
      <c r="CI106" s="131"/>
      <c r="CJ106" s="131"/>
      <c r="CK106" s="131"/>
      <c r="CL106" s="131"/>
      <c r="CM106" s="128"/>
      <c r="CN106" s="131"/>
      <c r="CO106" s="131"/>
      <c r="CP106" s="131"/>
      <c r="CQ106" s="131"/>
      <c r="CR106" s="131"/>
    </row>
    <row r="107" customFormat="false" ht="12.8" hidden="false" customHeight="false" outlineLevel="0" collapsed="false">
      <c r="A107" s="16" t="s">
        <v>258</v>
      </c>
      <c r="B107" s="17" t="s">
        <v>93</v>
      </c>
      <c r="C107" s="140" t="s">
        <v>417</v>
      </c>
      <c r="D107" s="16" t="s">
        <v>299</v>
      </c>
      <c r="E107" s="140" t="s">
        <v>87</v>
      </c>
      <c r="F107" s="16" t="s">
        <v>300</v>
      </c>
      <c r="G107" s="16"/>
      <c r="H107" s="16"/>
      <c r="I107" s="39"/>
      <c r="J107" s="39" t="n">
        <v>7000</v>
      </c>
      <c r="K107" s="42" t="n">
        <v>56320</v>
      </c>
      <c r="L107" s="50" t="n">
        <v>50</v>
      </c>
      <c r="M107" s="48" t="n">
        <v>0.1</v>
      </c>
      <c r="N107" s="37" t="n">
        <v>4</v>
      </c>
      <c r="O107" s="44" t="n">
        <f aca="false">IF(Y107,1,0)+AB107+AI107+AP107+AW107+BD107+BK107+BR107+BY107+CF107+CM107</f>
        <v>0</v>
      </c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31"/>
      <c r="AP107" s="128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31"/>
      <c r="BF107" s="131"/>
      <c r="BG107" s="131"/>
      <c r="BH107" s="131"/>
      <c r="BI107" s="131"/>
      <c r="BJ107" s="131"/>
      <c r="BK107" s="128"/>
      <c r="BL107" s="131"/>
      <c r="BM107" s="131"/>
      <c r="BN107" s="131"/>
      <c r="BO107" s="131"/>
      <c r="BP107" s="133"/>
      <c r="BQ107" s="131"/>
      <c r="BR107" s="131"/>
      <c r="BS107" s="131"/>
      <c r="BT107" s="131"/>
      <c r="BU107" s="131"/>
      <c r="BV107" s="131"/>
      <c r="BW107" s="133"/>
      <c r="BX107" s="131"/>
      <c r="BY107" s="128"/>
      <c r="BZ107" s="131"/>
      <c r="CA107" s="131"/>
      <c r="CB107" s="131"/>
      <c r="CC107" s="131"/>
      <c r="CD107" s="131"/>
      <c r="CE107" s="134"/>
      <c r="CF107" s="128"/>
      <c r="CG107" s="131"/>
      <c r="CH107" s="131"/>
      <c r="CI107" s="131"/>
      <c r="CJ107" s="131"/>
      <c r="CK107" s="131"/>
      <c r="CL107" s="131"/>
      <c r="CM107" s="128"/>
      <c r="CN107" s="131"/>
      <c r="CO107" s="131"/>
      <c r="CP107" s="131"/>
      <c r="CQ107" s="131"/>
      <c r="CR107" s="131"/>
    </row>
    <row r="108" customFormat="false" ht="12.8" hidden="false" customHeight="false" outlineLevel="0" collapsed="false">
      <c r="A108" s="16" t="s">
        <v>258</v>
      </c>
      <c r="B108" s="17" t="s">
        <v>93</v>
      </c>
      <c r="C108" s="140" t="s">
        <v>417</v>
      </c>
      <c r="D108" s="16" t="s">
        <v>263</v>
      </c>
      <c r="E108" s="140" t="s">
        <v>88</v>
      </c>
      <c r="F108" s="16" t="s">
        <v>237</v>
      </c>
      <c r="G108" s="16"/>
      <c r="H108" s="16"/>
      <c r="I108" s="39"/>
      <c r="J108" s="39" t="n">
        <v>7000</v>
      </c>
      <c r="K108" s="42" t="n">
        <v>59040</v>
      </c>
      <c r="L108" s="50" t="n">
        <v>50</v>
      </c>
      <c r="M108" s="48" t="n">
        <v>0.1</v>
      </c>
      <c r="N108" s="37" t="n">
        <v>4</v>
      </c>
      <c r="O108" s="44" t="n">
        <f aca="false">IF(Y108,1,0)+AB108+AI108+AP108+AW108+BD108+BK108+BR108+BY108+CF108+CM108</f>
        <v>0</v>
      </c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31"/>
      <c r="AP108" s="128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31"/>
      <c r="BF108" s="131"/>
      <c r="BG108" s="131"/>
      <c r="BH108" s="131"/>
      <c r="BI108" s="131"/>
      <c r="BJ108" s="131"/>
      <c r="BK108" s="128"/>
      <c r="BL108" s="131"/>
      <c r="BM108" s="131"/>
      <c r="BN108" s="131"/>
      <c r="BO108" s="131"/>
      <c r="BP108" s="133"/>
      <c r="BQ108" s="131"/>
      <c r="BR108" s="131"/>
      <c r="BS108" s="131"/>
      <c r="BT108" s="131"/>
      <c r="BU108" s="131"/>
      <c r="BV108" s="131"/>
      <c r="BW108" s="133"/>
      <c r="BX108" s="131"/>
      <c r="BY108" s="128"/>
      <c r="BZ108" s="131"/>
      <c r="CA108" s="131"/>
      <c r="CB108" s="131"/>
      <c r="CC108" s="131"/>
      <c r="CD108" s="131"/>
      <c r="CE108" s="134"/>
      <c r="CF108" s="128"/>
      <c r="CG108" s="131"/>
      <c r="CH108" s="131"/>
      <c r="CI108" s="131"/>
      <c r="CJ108" s="131"/>
      <c r="CK108" s="131"/>
      <c r="CL108" s="131"/>
      <c r="CM108" s="128"/>
      <c r="CN108" s="131"/>
      <c r="CO108" s="131"/>
      <c r="CP108" s="131"/>
      <c r="CQ108" s="131"/>
      <c r="CR108" s="131"/>
    </row>
    <row r="109" customFormat="false" ht="12.8" hidden="false" customHeight="false" outlineLevel="0" collapsed="false">
      <c r="A109" s="16" t="s">
        <v>258</v>
      </c>
      <c r="B109" s="17" t="s">
        <v>93</v>
      </c>
      <c r="C109" s="130" t="s">
        <v>301</v>
      </c>
      <c r="D109" s="16" t="s">
        <v>302</v>
      </c>
      <c r="E109" s="140" t="s">
        <v>89</v>
      </c>
      <c r="F109" s="16" t="s">
        <v>165</v>
      </c>
      <c r="G109" s="16"/>
      <c r="H109" s="16"/>
      <c r="I109" s="39"/>
      <c r="J109" s="39" t="n">
        <v>7000</v>
      </c>
      <c r="K109" s="42" t="n">
        <v>46260</v>
      </c>
      <c r="L109" s="50" t="n">
        <v>50</v>
      </c>
      <c r="M109" s="48" t="n">
        <v>0.1</v>
      </c>
      <c r="N109" s="37" t="n">
        <v>4</v>
      </c>
      <c r="O109" s="44" t="n">
        <f aca="false">IF(Y109,1,0)+AB109+AI109+AP109+AW109+BD109+BK109+BR109+BY109+CF109+CM109</f>
        <v>0</v>
      </c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128" t="n">
        <v>6</v>
      </c>
      <c r="AB109" s="128" t="n">
        <v>2</v>
      </c>
      <c r="AC109" s="131" t="s">
        <v>390</v>
      </c>
      <c r="AD109" s="131" t="s">
        <v>391</v>
      </c>
      <c r="AE109" s="131" t="s">
        <v>410</v>
      </c>
      <c r="AF109" s="131" t="s">
        <v>411</v>
      </c>
      <c r="AG109" s="131" t="s">
        <v>399</v>
      </c>
      <c r="AH109" s="130" t="s">
        <v>483</v>
      </c>
      <c r="AI109" s="128" t="n">
        <v>2</v>
      </c>
      <c r="AJ109" s="130" t="s">
        <v>484</v>
      </c>
      <c r="AK109" s="130" t="s">
        <v>485</v>
      </c>
      <c r="AL109" s="130" t="s">
        <v>486</v>
      </c>
      <c r="AM109" s="130" t="s">
        <v>487</v>
      </c>
      <c r="AN109" s="130" t="s">
        <v>488</v>
      </c>
      <c r="AO109" s="128" t="n">
        <v>6</v>
      </c>
      <c r="AP109" s="128" t="n">
        <v>1</v>
      </c>
      <c r="AQ109" s="131" t="s">
        <v>390</v>
      </c>
      <c r="AR109" s="131" t="s">
        <v>391</v>
      </c>
      <c r="AS109" s="131" t="s">
        <v>410</v>
      </c>
      <c r="AT109" s="131" t="s">
        <v>411</v>
      </c>
      <c r="AU109" s="131" t="s">
        <v>399</v>
      </c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31"/>
      <c r="BF109" s="131"/>
      <c r="BG109" s="131"/>
      <c r="BH109" s="131"/>
      <c r="BI109" s="131"/>
      <c r="BJ109" s="131"/>
      <c r="BK109" s="128"/>
      <c r="BL109" s="131"/>
      <c r="BM109" s="131"/>
      <c r="BN109" s="131"/>
      <c r="BO109" s="131"/>
      <c r="BP109" s="133"/>
      <c r="BQ109" s="131"/>
      <c r="BR109" s="131"/>
      <c r="BS109" s="131"/>
      <c r="BT109" s="131"/>
      <c r="BU109" s="131"/>
      <c r="BV109" s="131"/>
      <c r="BW109" s="133"/>
      <c r="BX109" s="131"/>
      <c r="BY109" s="128"/>
      <c r="BZ109" s="131"/>
      <c r="CA109" s="131"/>
      <c r="CB109" s="131"/>
      <c r="CC109" s="131"/>
      <c r="CD109" s="131"/>
      <c r="CE109" s="134"/>
      <c r="CF109" s="128"/>
      <c r="CG109" s="131"/>
      <c r="CH109" s="131"/>
      <c r="CI109" s="131"/>
      <c r="CJ109" s="131"/>
      <c r="CK109" s="131"/>
      <c r="CL109" s="131"/>
      <c r="CM109" s="128"/>
      <c r="CN109" s="131"/>
      <c r="CO109" s="131"/>
      <c r="CP109" s="131"/>
      <c r="CQ109" s="131"/>
      <c r="CR109" s="131"/>
    </row>
    <row r="110" customFormat="false" ht="12.8" hidden="false" customHeight="false" outlineLevel="0" collapsed="false">
      <c r="A110" s="16" t="s">
        <v>258</v>
      </c>
      <c r="B110" s="17" t="s">
        <v>93</v>
      </c>
      <c r="C110" s="140" t="s">
        <v>301</v>
      </c>
      <c r="D110" s="16" t="s">
        <v>303</v>
      </c>
      <c r="E110" s="140" t="s">
        <v>87</v>
      </c>
      <c r="F110" s="16" t="s">
        <v>109</v>
      </c>
      <c r="G110" s="16"/>
      <c r="H110" s="16"/>
      <c r="I110" s="39"/>
      <c r="J110" s="39" t="n">
        <v>7000</v>
      </c>
      <c r="K110" s="42" t="n">
        <v>46260</v>
      </c>
      <c r="L110" s="50" t="n">
        <v>50</v>
      </c>
      <c r="M110" s="48" t="n">
        <v>0.1</v>
      </c>
      <c r="N110" s="37"/>
      <c r="O110" s="44" t="n">
        <f aca="false">IF(Y110,1,0)+AB110+AI110+AP110+AW110+BD110+BK110+BR110+BY110+CF110+CM110</f>
        <v>0</v>
      </c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31"/>
      <c r="AP110" s="128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31"/>
      <c r="BF110" s="131"/>
      <c r="BG110" s="131"/>
      <c r="BH110" s="131"/>
      <c r="BI110" s="131"/>
      <c r="BJ110" s="131"/>
      <c r="BK110" s="128"/>
      <c r="BL110" s="131"/>
      <c r="BM110" s="131"/>
      <c r="BN110" s="131"/>
      <c r="BO110" s="131"/>
      <c r="BP110" s="133"/>
      <c r="BQ110" s="131"/>
      <c r="BR110" s="131"/>
      <c r="BS110" s="131"/>
      <c r="BT110" s="131"/>
      <c r="BU110" s="131"/>
      <c r="BV110" s="131"/>
      <c r="BW110" s="133"/>
      <c r="BX110" s="131"/>
      <c r="BY110" s="128"/>
      <c r="BZ110" s="131"/>
      <c r="CA110" s="131"/>
      <c r="CB110" s="131"/>
      <c r="CC110" s="131"/>
      <c r="CD110" s="131"/>
      <c r="CE110" s="134"/>
      <c r="CF110" s="128"/>
      <c r="CG110" s="131"/>
      <c r="CH110" s="131"/>
      <c r="CI110" s="131"/>
      <c r="CJ110" s="131"/>
      <c r="CK110" s="131"/>
      <c r="CL110" s="131"/>
      <c r="CM110" s="128"/>
      <c r="CN110" s="131"/>
      <c r="CO110" s="131"/>
      <c r="CP110" s="131"/>
      <c r="CQ110" s="131"/>
      <c r="CR110" s="131"/>
    </row>
    <row r="111" customFormat="false" ht="12.8" hidden="false" customHeight="false" outlineLevel="0" collapsed="false">
      <c r="A111" s="16" t="s">
        <v>258</v>
      </c>
      <c r="B111" s="17" t="s">
        <v>93</v>
      </c>
      <c r="C111" s="140" t="s">
        <v>301</v>
      </c>
      <c r="D111" s="16" t="s">
        <v>304</v>
      </c>
      <c r="E111" s="140" t="s">
        <v>88</v>
      </c>
      <c r="F111" s="16" t="s">
        <v>176</v>
      </c>
      <c r="G111" s="16"/>
      <c r="H111" s="16"/>
      <c r="I111" s="39"/>
      <c r="J111" s="39" t="n">
        <v>7000</v>
      </c>
      <c r="K111" s="42" t="n">
        <v>46260</v>
      </c>
      <c r="L111" s="50" t="n">
        <v>50</v>
      </c>
      <c r="M111" s="48" t="n">
        <v>0.1</v>
      </c>
      <c r="N111" s="37"/>
      <c r="O111" s="44" t="n">
        <f aca="false">IF(Y111,1,0)+AB111+AI111+AP111+AW111+BD111+BK111+BR111+BY111+CF111+CM111</f>
        <v>0</v>
      </c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31"/>
      <c r="AP111" s="128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  <c r="BA111" s="131"/>
      <c r="BB111" s="131"/>
      <c r="BC111" s="131"/>
      <c r="BD111" s="131"/>
      <c r="BE111" s="131"/>
      <c r="BF111" s="131"/>
      <c r="BG111" s="131"/>
      <c r="BH111" s="131"/>
      <c r="BI111" s="131"/>
      <c r="BJ111" s="131"/>
      <c r="BK111" s="128"/>
      <c r="BL111" s="131"/>
      <c r="BM111" s="131"/>
      <c r="BN111" s="131"/>
      <c r="BO111" s="131"/>
      <c r="BP111" s="133"/>
      <c r="BQ111" s="131"/>
      <c r="BR111" s="131"/>
      <c r="BS111" s="131"/>
      <c r="BT111" s="131"/>
      <c r="BU111" s="131"/>
      <c r="BV111" s="131"/>
      <c r="BW111" s="133"/>
      <c r="BX111" s="131"/>
      <c r="BY111" s="128"/>
      <c r="BZ111" s="131"/>
      <c r="CA111" s="131"/>
      <c r="CB111" s="131"/>
      <c r="CC111" s="131"/>
      <c r="CD111" s="131"/>
      <c r="CE111" s="134"/>
      <c r="CF111" s="128"/>
      <c r="CG111" s="131"/>
      <c r="CH111" s="131"/>
      <c r="CI111" s="131"/>
      <c r="CJ111" s="131"/>
      <c r="CK111" s="131"/>
      <c r="CL111" s="131"/>
      <c r="CM111" s="128"/>
      <c r="CN111" s="131"/>
      <c r="CO111" s="131"/>
      <c r="CP111" s="131"/>
      <c r="CQ111" s="131"/>
      <c r="CR111" s="131"/>
    </row>
    <row r="112" customFormat="false" ht="12.8" hidden="false" customHeight="false" outlineLevel="0" collapsed="false">
      <c r="A112" s="16" t="s">
        <v>258</v>
      </c>
      <c r="B112" s="17" t="s">
        <v>93</v>
      </c>
      <c r="C112" s="140" t="s">
        <v>301</v>
      </c>
      <c r="D112" s="16" t="s">
        <v>305</v>
      </c>
      <c r="E112" s="140" t="s">
        <v>255</v>
      </c>
      <c r="F112" s="16" t="s">
        <v>237</v>
      </c>
      <c r="G112" s="16"/>
      <c r="H112" s="16"/>
      <c r="I112" s="39"/>
      <c r="J112" s="39" t="n">
        <v>7000</v>
      </c>
      <c r="K112" s="42" t="n">
        <v>46260</v>
      </c>
      <c r="L112" s="50" t="n">
        <v>50</v>
      </c>
      <c r="M112" s="48" t="n">
        <v>0.1</v>
      </c>
      <c r="N112" s="37" t="n">
        <v>3</v>
      </c>
      <c r="O112" s="44" t="n">
        <f aca="false">IF(Y112,1,0)+AB112+AI112+AP112+AW112+BD112+BK112+BR112+BY112+CF112+CM112</f>
        <v>0</v>
      </c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128" t="n">
        <v>6</v>
      </c>
      <c r="AB112" s="128" t="n">
        <v>2</v>
      </c>
      <c r="AC112" s="131" t="s">
        <v>390</v>
      </c>
      <c r="AD112" s="131" t="s">
        <v>391</v>
      </c>
      <c r="AE112" s="131" t="s">
        <v>410</v>
      </c>
      <c r="AF112" s="131" t="s">
        <v>411</v>
      </c>
      <c r="AG112" s="131" t="s">
        <v>399</v>
      </c>
      <c r="AH112" s="130" t="s">
        <v>483</v>
      </c>
      <c r="AI112" s="128" t="n">
        <v>1</v>
      </c>
      <c r="AJ112" s="130" t="s">
        <v>484</v>
      </c>
      <c r="AK112" s="130" t="s">
        <v>485</v>
      </c>
      <c r="AL112" s="130" t="s">
        <v>486</v>
      </c>
      <c r="AM112" s="130" t="s">
        <v>487</v>
      </c>
      <c r="AN112" s="130" t="s">
        <v>488</v>
      </c>
      <c r="AO112" s="128" t="n">
        <v>6</v>
      </c>
      <c r="AP112" s="128" t="n">
        <v>1</v>
      </c>
      <c r="AQ112" s="131" t="s">
        <v>390</v>
      </c>
      <c r="AR112" s="131" t="s">
        <v>391</v>
      </c>
      <c r="AS112" s="131" t="s">
        <v>410</v>
      </c>
      <c r="AT112" s="131" t="s">
        <v>411</v>
      </c>
      <c r="AU112" s="131" t="s">
        <v>399</v>
      </c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31"/>
      <c r="BF112" s="131"/>
      <c r="BG112" s="131"/>
      <c r="BH112" s="131"/>
      <c r="BI112" s="131"/>
      <c r="BJ112" s="131"/>
      <c r="BK112" s="128"/>
      <c r="BL112" s="131"/>
      <c r="BM112" s="131"/>
      <c r="BN112" s="131"/>
      <c r="BO112" s="131"/>
      <c r="BP112" s="133"/>
      <c r="BQ112" s="131"/>
      <c r="BR112" s="131"/>
      <c r="BS112" s="131"/>
      <c r="BT112" s="131"/>
      <c r="BU112" s="131"/>
      <c r="BV112" s="131"/>
      <c r="BW112" s="133"/>
      <c r="BX112" s="131"/>
      <c r="BY112" s="128"/>
      <c r="BZ112" s="131"/>
      <c r="CA112" s="131"/>
      <c r="CB112" s="131"/>
      <c r="CC112" s="131"/>
      <c r="CD112" s="131"/>
      <c r="CE112" s="134"/>
      <c r="CF112" s="128"/>
      <c r="CG112" s="131"/>
      <c r="CH112" s="131"/>
      <c r="CI112" s="131"/>
      <c r="CJ112" s="131"/>
      <c r="CK112" s="131"/>
      <c r="CL112" s="131"/>
      <c r="CM112" s="128"/>
      <c r="CN112" s="131"/>
      <c r="CO112" s="131"/>
      <c r="CP112" s="131"/>
      <c r="CQ112" s="131"/>
      <c r="CR112" s="131"/>
    </row>
    <row r="113" customFormat="false" ht="12.8" hidden="false" customHeight="false" outlineLevel="0" collapsed="false">
      <c r="A113" s="16" t="s">
        <v>258</v>
      </c>
      <c r="B113" s="17" t="s">
        <v>113</v>
      </c>
      <c r="C113" s="17" t="s">
        <v>272</v>
      </c>
      <c r="D113" s="17" t="s">
        <v>273</v>
      </c>
      <c r="E113" s="130" t="s">
        <v>89</v>
      </c>
      <c r="F113" s="16" t="s">
        <v>148</v>
      </c>
      <c r="G113" s="16"/>
      <c r="H113" s="16"/>
      <c r="I113" s="39"/>
      <c r="J113" s="39" t="n">
        <v>7000</v>
      </c>
      <c r="K113" s="42" t="n">
        <v>41720</v>
      </c>
      <c r="L113" s="50" t="n">
        <v>50</v>
      </c>
      <c r="M113" s="48" t="n">
        <v>0.1</v>
      </c>
      <c r="N113" s="37" t="n">
        <v>4</v>
      </c>
      <c r="O113" s="44" t="n">
        <f aca="false">IF(Y113,1,0)+AB113+AI113+AP113+AW113+BD113+BK113+BR113+BY113+CF113+CM113</f>
        <v>0</v>
      </c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128" t="n">
        <v>6</v>
      </c>
      <c r="AB113" s="128" t="n">
        <v>2</v>
      </c>
      <c r="AC113" s="131" t="s">
        <v>390</v>
      </c>
      <c r="AD113" s="131" t="s">
        <v>391</v>
      </c>
      <c r="AE113" s="131" t="s">
        <v>410</v>
      </c>
      <c r="AF113" s="131" t="s">
        <v>411</v>
      </c>
      <c r="AG113" s="131" t="s">
        <v>399</v>
      </c>
      <c r="AH113" s="130" t="s">
        <v>483</v>
      </c>
      <c r="AI113" s="128" t="n">
        <v>1</v>
      </c>
      <c r="AJ113" s="130" t="s">
        <v>484</v>
      </c>
      <c r="AK113" s="130" t="s">
        <v>485</v>
      </c>
      <c r="AL113" s="130" t="s">
        <v>486</v>
      </c>
      <c r="AM113" s="130" t="s">
        <v>487</v>
      </c>
      <c r="AN113" s="130" t="s">
        <v>488</v>
      </c>
      <c r="AO113" s="128" t="n">
        <v>6</v>
      </c>
      <c r="AP113" s="128" t="n">
        <v>1</v>
      </c>
      <c r="AQ113" s="131" t="s">
        <v>390</v>
      </c>
      <c r="AR113" s="131" t="s">
        <v>391</v>
      </c>
      <c r="AS113" s="131" t="s">
        <v>410</v>
      </c>
      <c r="AT113" s="131" t="s">
        <v>411</v>
      </c>
      <c r="AU113" s="131" t="s">
        <v>399</v>
      </c>
      <c r="AV113" s="128" t="n">
        <v>6</v>
      </c>
      <c r="AW113" s="128" t="n">
        <v>1</v>
      </c>
      <c r="AX113" s="131" t="s">
        <v>410</v>
      </c>
      <c r="AY113" s="131" t="s">
        <v>453</v>
      </c>
      <c r="AZ113" s="131" t="s">
        <v>489</v>
      </c>
      <c r="BA113" s="131" t="s">
        <v>447</v>
      </c>
      <c r="BB113" s="133" t="s">
        <v>380</v>
      </c>
      <c r="BC113" s="131"/>
      <c r="BD113" s="131"/>
      <c r="BE113" s="131"/>
      <c r="BF113" s="131"/>
      <c r="BG113" s="131"/>
      <c r="BH113" s="131"/>
      <c r="BI113" s="131"/>
      <c r="BJ113" s="131"/>
      <c r="BK113" s="128"/>
      <c r="BL113" s="131"/>
      <c r="BM113" s="131"/>
      <c r="BN113" s="131"/>
      <c r="BO113" s="131"/>
      <c r="BP113" s="133"/>
      <c r="BQ113" s="131"/>
      <c r="BR113" s="131"/>
      <c r="BS113" s="131"/>
      <c r="BT113" s="131"/>
      <c r="BU113" s="131"/>
      <c r="BV113" s="131"/>
      <c r="BW113" s="133"/>
      <c r="BX113" s="131"/>
      <c r="BY113" s="128"/>
      <c r="BZ113" s="131"/>
      <c r="CA113" s="131"/>
      <c r="CB113" s="131"/>
      <c r="CC113" s="131"/>
      <c r="CD113" s="131"/>
      <c r="CE113" s="134"/>
      <c r="CF113" s="128"/>
      <c r="CG113" s="131"/>
      <c r="CH113" s="131"/>
      <c r="CI113" s="131"/>
      <c r="CJ113" s="131"/>
      <c r="CK113" s="131"/>
      <c r="CL113" s="131"/>
      <c r="CM113" s="128"/>
      <c r="CN113" s="131"/>
      <c r="CO113" s="131"/>
      <c r="CP113" s="131"/>
      <c r="CQ113" s="131"/>
      <c r="CR113" s="131"/>
    </row>
    <row r="114" customFormat="false" ht="12.8" hidden="false" customHeight="false" outlineLevel="0" collapsed="false">
      <c r="A114" s="16" t="s">
        <v>258</v>
      </c>
      <c r="B114" s="17" t="s">
        <v>113</v>
      </c>
      <c r="C114" s="17" t="s">
        <v>272</v>
      </c>
      <c r="D114" s="17" t="s">
        <v>274</v>
      </c>
      <c r="E114" s="140" t="s">
        <v>87</v>
      </c>
      <c r="F114" s="16" t="s">
        <v>237</v>
      </c>
      <c r="G114" s="16"/>
      <c r="H114" s="16"/>
      <c r="I114" s="39"/>
      <c r="J114" s="39" t="n">
        <v>7000</v>
      </c>
      <c r="K114" s="42" t="n">
        <v>41720</v>
      </c>
      <c r="L114" s="50" t="n">
        <v>50</v>
      </c>
      <c r="M114" s="48" t="n">
        <v>0.1</v>
      </c>
      <c r="N114" s="37" t="n">
        <v>4</v>
      </c>
      <c r="O114" s="44" t="n">
        <f aca="false">IF(Y114,1,0)+AB114+AI114+AP114+AW114+BD114+BK114+BR114+BY114+CF114+CM114</f>
        <v>0</v>
      </c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128" t="n">
        <v>6</v>
      </c>
      <c r="AB114" s="128" t="n">
        <v>2</v>
      </c>
      <c r="AC114" s="131" t="s">
        <v>390</v>
      </c>
      <c r="AD114" s="131" t="s">
        <v>391</v>
      </c>
      <c r="AE114" s="131" t="s">
        <v>410</v>
      </c>
      <c r="AF114" s="131" t="s">
        <v>411</v>
      </c>
      <c r="AG114" s="131" t="s">
        <v>399</v>
      </c>
      <c r="AH114" s="130" t="s">
        <v>483</v>
      </c>
      <c r="AI114" s="128" t="n">
        <v>1</v>
      </c>
      <c r="AJ114" s="130" t="s">
        <v>484</v>
      </c>
      <c r="AK114" s="130" t="s">
        <v>485</v>
      </c>
      <c r="AL114" s="130" t="s">
        <v>486</v>
      </c>
      <c r="AM114" s="130" t="s">
        <v>487</v>
      </c>
      <c r="AN114" s="130" t="s">
        <v>488</v>
      </c>
      <c r="AO114" s="128" t="n">
        <v>6</v>
      </c>
      <c r="AP114" s="128" t="n">
        <v>1</v>
      </c>
      <c r="AQ114" s="131" t="s">
        <v>390</v>
      </c>
      <c r="AR114" s="131" t="s">
        <v>391</v>
      </c>
      <c r="AS114" s="131" t="s">
        <v>410</v>
      </c>
      <c r="AT114" s="131" t="s">
        <v>411</v>
      </c>
      <c r="AU114" s="131" t="s">
        <v>399</v>
      </c>
      <c r="AV114" s="128" t="n">
        <v>6</v>
      </c>
      <c r="AW114" s="128" t="n">
        <v>1</v>
      </c>
      <c r="AX114" s="131" t="s">
        <v>410</v>
      </c>
      <c r="AY114" s="131" t="s">
        <v>453</v>
      </c>
      <c r="AZ114" s="131" t="s">
        <v>489</v>
      </c>
      <c r="BA114" s="131" t="s">
        <v>447</v>
      </c>
      <c r="BB114" s="133" t="s">
        <v>380</v>
      </c>
      <c r="BC114" s="131"/>
      <c r="BD114" s="131"/>
      <c r="BE114" s="131"/>
      <c r="BF114" s="131"/>
      <c r="BG114" s="131"/>
      <c r="BH114" s="131"/>
      <c r="BI114" s="131"/>
      <c r="BJ114" s="131"/>
      <c r="BK114" s="128"/>
      <c r="BL114" s="131"/>
      <c r="BM114" s="131"/>
      <c r="BN114" s="131"/>
      <c r="BO114" s="131"/>
      <c r="BP114" s="133"/>
      <c r="BQ114" s="131"/>
      <c r="BR114" s="131"/>
      <c r="BS114" s="131"/>
      <c r="BT114" s="131"/>
      <c r="BU114" s="131"/>
      <c r="BV114" s="131"/>
      <c r="BW114" s="133"/>
      <c r="BX114" s="131"/>
      <c r="BY114" s="128"/>
      <c r="BZ114" s="131"/>
      <c r="CA114" s="131"/>
      <c r="CB114" s="131"/>
      <c r="CC114" s="131"/>
      <c r="CD114" s="131"/>
      <c r="CE114" s="134"/>
      <c r="CF114" s="128"/>
      <c r="CG114" s="131"/>
      <c r="CH114" s="131"/>
      <c r="CI114" s="131"/>
      <c r="CJ114" s="131"/>
      <c r="CK114" s="131"/>
      <c r="CL114" s="131"/>
      <c r="CM114" s="128"/>
      <c r="CN114" s="131"/>
      <c r="CO114" s="131"/>
      <c r="CP114" s="131"/>
      <c r="CQ114" s="131"/>
      <c r="CR114" s="131"/>
    </row>
    <row r="115" customFormat="false" ht="12.8" hidden="false" customHeight="false" outlineLevel="0" collapsed="false">
      <c r="A115" s="36" t="s">
        <v>258</v>
      </c>
      <c r="B115" s="35" t="s">
        <v>113</v>
      </c>
      <c r="C115" s="35" t="s">
        <v>272</v>
      </c>
      <c r="D115" s="35" t="s">
        <v>275</v>
      </c>
      <c r="E115" s="34" t="s">
        <v>88</v>
      </c>
      <c r="F115" s="36" t="s">
        <v>237</v>
      </c>
      <c r="G115" s="16"/>
      <c r="H115" s="16"/>
      <c r="I115" s="39"/>
      <c r="J115" s="39" t="n">
        <v>7000</v>
      </c>
      <c r="K115" s="37" t="n">
        <v>41720</v>
      </c>
      <c r="L115" s="40" t="n">
        <v>30</v>
      </c>
      <c r="M115" s="41" t="n">
        <v>0.1</v>
      </c>
      <c r="N115" s="37" t="n">
        <v>0</v>
      </c>
      <c r="O115" s="44" t="n">
        <f aca="false">IF(Y115,1,0)+AB115+AI115+AP115+AW115+BD115+BK115+BR115+BY115+CF115+CM115</f>
        <v>0</v>
      </c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128"/>
      <c r="AB115" s="128"/>
      <c r="AC115" s="131"/>
      <c r="AD115" s="131"/>
      <c r="AE115" s="131"/>
      <c r="AF115" s="131"/>
      <c r="AG115" s="131"/>
      <c r="AH115" s="130"/>
      <c r="AI115" s="128"/>
      <c r="AJ115" s="130"/>
      <c r="AK115" s="130"/>
      <c r="AL115" s="130"/>
      <c r="AM115" s="130"/>
      <c r="AN115" s="130"/>
      <c r="AO115" s="128"/>
      <c r="AP115" s="128"/>
      <c r="AQ115" s="131"/>
      <c r="AR115" s="131"/>
      <c r="AS115" s="131"/>
      <c r="AT115" s="131"/>
      <c r="AU115" s="131"/>
      <c r="AV115" s="131"/>
      <c r="AW115" s="131"/>
      <c r="AX115" s="131"/>
      <c r="AY115" s="131"/>
      <c r="AZ115" s="131"/>
      <c r="BA115" s="131"/>
      <c r="BB115" s="131"/>
      <c r="BC115" s="131"/>
      <c r="BD115" s="131"/>
      <c r="BE115" s="131"/>
      <c r="BF115" s="131"/>
      <c r="BG115" s="131"/>
      <c r="BH115" s="131"/>
      <c r="BI115" s="131"/>
      <c r="BJ115" s="131"/>
      <c r="BK115" s="128"/>
      <c r="BL115" s="131"/>
      <c r="BM115" s="131"/>
      <c r="BN115" s="131"/>
      <c r="BO115" s="131"/>
      <c r="BP115" s="133"/>
      <c r="BQ115" s="131"/>
      <c r="BR115" s="131"/>
      <c r="BS115" s="131"/>
      <c r="BT115" s="131"/>
      <c r="BU115" s="131"/>
      <c r="BV115" s="131"/>
      <c r="BW115" s="133"/>
      <c r="BX115" s="128"/>
      <c r="BY115" s="128"/>
      <c r="BZ115" s="131"/>
      <c r="CA115" s="131"/>
      <c r="CB115" s="131"/>
      <c r="CC115" s="131"/>
      <c r="CD115" s="131"/>
      <c r="CE115" s="134"/>
      <c r="CF115" s="128"/>
      <c r="CG115" s="131"/>
      <c r="CH115" s="131"/>
      <c r="CI115" s="131"/>
      <c r="CJ115" s="131"/>
      <c r="CK115" s="131"/>
      <c r="CL115" s="131"/>
      <c r="CM115" s="128"/>
      <c r="CN115" s="131"/>
      <c r="CO115" s="131"/>
      <c r="CP115" s="131"/>
      <c r="CQ115" s="131"/>
      <c r="CR115" s="131"/>
    </row>
    <row r="116" customFormat="false" ht="12.8" hidden="false" customHeight="false" outlineLevel="0" collapsed="false">
      <c r="A116" s="16" t="s">
        <v>258</v>
      </c>
      <c r="B116" s="17" t="s">
        <v>113</v>
      </c>
      <c r="C116" s="17" t="s">
        <v>266</v>
      </c>
      <c r="D116" s="17" t="s">
        <v>267</v>
      </c>
      <c r="E116" s="130" t="s">
        <v>89</v>
      </c>
      <c r="F116" s="16" t="s">
        <v>178</v>
      </c>
      <c r="G116" s="16"/>
      <c r="H116" s="16"/>
      <c r="I116" s="39"/>
      <c r="J116" s="39" t="n">
        <v>7000</v>
      </c>
      <c r="K116" s="42" t="n">
        <v>48670</v>
      </c>
      <c r="L116" s="50" t="n">
        <v>50</v>
      </c>
      <c r="M116" s="48" t="n">
        <v>0.1</v>
      </c>
      <c r="N116" s="37" t="n">
        <v>3</v>
      </c>
      <c r="O116" s="44" t="n">
        <f aca="false">IF(Y116,1,0)+AB116+AI116+AP116+AW116+BD116+BK116+BR116+BY116+CF116+CM116</f>
        <v>0</v>
      </c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128" t="n">
        <v>6</v>
      </c>
      <c r="AB116" s="128" t="n">
        <v>1</v>
      </c>
      <c r="AC116" s="131" t="s">
        <v>390</v>
      </c>
      <c r="AD116" s="131" t="s">
        <v>391</v>
      </c>
      <c r="AE116" s="131" t="s">
        <v>410</v>
      </c>
      <c r="AF116" s="131" t="s">
        <v>411</v>
      </c>
      <c r="AG116" s="131" t="s">
        <v>399</v>
      </c>
      <c r="AH116" s="130" t="s">
        <v>483</v>
      </c>
      <c r="AI116" s="128" t="n">
        <v>2</v>
      </c>
      <c r="AJ116" s="130" t="s">
        <v>484</v>
      </c>
      <c r="AK116" s="130" t="s">
        <v>485</v>
      </c>
      <c r="AL116" s="130" t="s">
        <v>486</v>
      </c>
      <c r="AM116" s="130" t="s">
        <v>487</v>
      </c>
      <c r="AN116" s="130" t="s">
        <v>488</v>
      </c>
      <c r="AO116" s="128" t="n">
        <v>6</v>
      </c>
      <c r="AP116" s="128" t="n">
        <v>1</v>
      </c>
      <c r="AQ116" s="131" t="s">
        <v>390</v>
      </c>
      <c r="AR116" s="131" t="s">
        <v>391</v>
      </c>
      <c r="AS116" s="131" t="s">
        <v>410</v>
      </c>
      <c r="AT116" s="131" t="s">
        <v>411</v>
      </c>
      <c r="AU116" s="131" t="s">
        <v>399</v>
      </c>
      <c r="AV116" s="131"/>
      <c r="AW116" s="131"/>
      <c r="AX116" s="131"/>
      <c r="AY116" s="131"/>
      <c r="AZ116" s="131"/>
      <c r="BA116" s="131"/>
      <c r="BB116" s="131"/>
      <c r="BC116" s="131"/>
      <c r="BD116" s="131"/>
      <c r="BE116" s="131"/>
      <c r="BF116" s="131"/>
      <c r="BG116" s="131"/>
      <c r="BH116" s="131"/>
      <c r="BI116" s="131"/>
      <c r="BJ116" s="131"/>
      <c r="BK116" s="128"/>
      <c r="BL116" s="131"/>
      <c r="BM116" s="131"/>
      <c r="BN116" s="131"/>
      <c r="BO116" s="131"/>
      <c r="BP116" s="133"/>
      <c r="BQ116" s="131"/>
      <c r="BR116" s="131"/>
      <c r="BS116" s="131"/>
      <c r="BT116" s="131"/>
      <c r="BU116" s="131"/>
      <c r="BV116" s="131"/>
      <c r="BW116" s="133"/>
      <c r="BX116" s="131"/>
      <c r="BY116" s="128"/>
      <c r="BZ116" s="131"/>
      <c r="CA116" s="131"/>
      <c r="CB116" s="131"/>
      <c r="CC116" s="131"/>
      <c r="CD116" s="131"/>
      <c r="CE116" s="134"/>
      <c r="CF116" s="128"/>
      <c r="CG116" s="131"/>
      <c r="CH116" s="131"/>
      <c r="CI116" s="131"/>
      <c r="CJ116" s="131"/>
      <c r="CK116" s="131"/>
      <c r="CL116" s="131"/>
      <c r="CM116" s="128"/>
      <c r="CN116" s="131"/>
      <c r="CO116" s="131"/>
      <c r="CP116" s="131"/>
      <c r="CQ116" s="131"/>
      <c r="CR116" s="131"/>
    </row>
    <row r="117" customFormat="false" ht="12.8" hidden="false" customHeight="false" outlineLevel="0" collapsed="false">
      <c r="A117" s="36" t="s">
        <v>258</v>
      </c>
      <c r="B117" s="35" t="s">
        <v>113</v>
      </c>
      <c r="C117" s="34" t="s">
        <v>268</v>
      </c>
      <c r="D117" s="35" t="s">
        <v>269</v>
      </c>
      <c r="E117" s="130" t="s">
        <v>89</v>
      </c>
      <c r="F117" s="36" t="s">
        <v>270</v>
      </c>
      <c r="G117" s="16"/>
      <c r="H117" s="16"/>
      <c r="I117" s="39"/>
      <c r="J117" s="39" t="n">
        <v>7000</v>
      </c>
      <c r="K117" s="42" t="n">
        <v>51120</v>
      </c>
      <c r="L117" s="50" t="n">
        <v>50</v>
      </c>
      <c r="M117" s="48" t="n">
        <v>0.1</v>
      </c>
      <c r="N117" s="37" t="n">
        <v>4</v>
      </c>
      <c r="O117" s="44" t="n">
        <f aca="false">IF(Y117,1,0)+AB117+AI117+AP117+AW117+BD117+BK117+BR117+BY117+CF117+CM117</f>
        <v>0</v>
      </c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128" t="n">
        <v>6</v>
      </c>
      <c r="AB117" s="128" t="n">
        <v>2</v>
      </c>
      <c r="AC117" s="131" t="s">
        <v>390</v>
      </c>
      <c r="AD117" s="131" t="s">
        <v>391</v>
      </c>
      <c r="AE117" s="131" t="s">
        <v>410</v>
      </c>
      <c r="AF117" s="131" t="s">
        <v>411</v>
      </c>
      <c r="AG117" s="131" t="s">
        <v>399</v>
      </c>
      <c r="AH117" s="130" t="s">
        <v>483</v>
      </c>
      <c r="AI117" s="128" t="n">
        <v>1</v>
      </c>
      <c r="AJ117" s="130" t="s">
        <v>484</v>
      </c>
      <c r="AK117" s="130" t="s">
        <v>485</v>
      </c>
      <c r="AL117" s="130" t="s">
        <v>486</v>
      </c>
      <c r="AM117" s="130" t="s">
        <v>487</v>
      </c>
      <c r="AN117" s="130" t="s">
        <v>488</v>
      </c>
      <c r="AO117" s="128" t="n">
        <v>6</v>
      </c>
      <c r="AP117" s="128" t="n">
        <v>1</v>
      </c>
      <c r="AQ117" s="131" t="s">
        <v>390</v>
      </c>
      <c r="AR117" s="131" t="s">
        <v>391</v>
      </c>
      <c r="AS117" s="131" t="s">
        <v>410</v>
      </c>
      <c r="AT117" s="131" t="s">
        <v>411</v>
      </c>
      <c r="AU117" s="131" t="s">
        <v>399</v>
      </c>
      <c r="AV117" s="128" t="n">
        <v>6</v>
      </c>
      <c r="AW117" s="128" t="n">
        <v>1</v>
      </c>
      <c r="AX117" s="131" t="s">
        <v>410</v>
      </c>
      <c r="AY117" s="131" t="s">
        <v>453</v>
      </c>
      <c r="AZ117" s="131" t="s">
        <v>489</v>
      </c>
      <c r="BA117" s="131" t="s">
        <v>447</v>
      </c>
      <c r="BB117" s="133" t="s">
        <v>380</v>
      </c>
      <c r="BC117" s="131"/>
      <c r="BD117" s="131"/>
      <c r="BE117" s="131"/>
      <c r="BF117" s="131"/>
      <c r="BG117" s="131"/>
      <c r="BH117" s="131"/>
      <c r="BI117" s="131"/>
      <c r="BJ117" s="131"/>
      <c r="BK117" s="128"/>
      <c r="BL117" s="131"/>
      <c r="BM117" s="131"/>
      <c r="BN117" s="131"/>
      <c r="BO117" s="131"/>
      <c r="BP117" s="133"/>
      <c r="BQ117" s="131"/>
      <c r="BR117" s="131"/>
      <c r="BS117" s="131"/>
      <c r="BT117" s="131"/>
      <c r="BU117" s="131"/>
      <c r="BV117" s="131"/>
      <c r="BW117" s="133"/>
      <c r="BX117" s="131"/>
      <c r="BY117" s="128"/>
      <c r="BZ117" s="131"/>
      <c r="CA117" s="131"/>
      <c r="CB117" s="131"/>
      <c r="CC117" s="131"/>
      <c r="CD117" s="131"/>
      <c r="CE117" s="134"/>
      <c r="CF117" s="128"/>
      <c r="CG117" s="131"/>
      <c r="CH117" s="131"/>
      <c r="CI117" s="131"/>
      <c r="CJ117" s="131"/>
      <c r="CK117" s="131"/>
      <c r="CL117" s="131"/>
      <c r="CM117" s="128"/>
      <c r="CN117" s="131"/>
      <c r="CO117" s="131"/>
      <c r="CP117" s="131"/>
      <c r="CQ117" s="131"/>
      <c r="CR117" s="131"/>
    </row>
    <row r="118" customFormat="false" ht="12.8" hidden="false" customHeight="false" outlineLevel="0" collapsed="false">
      <c r="A118" s="36" t="s">
        <v>258</v>
      </c>
      <c r="B118" s="35" t="s">
        <v>113</v>
      </c>
      <c r="C118" s="34" t="s">
        <v>268</v>
      </c>
      <c r="D118" s="35" t="s">
        <v>271</v>
      </c>
      <c r="E118" s="140" t="s">
        <v>87</v>
      </c>
      <c r="F118" s="36" t="s">
        <v>188</v>
      </c>
      <c r="G118" s="16"/>
      <c r="H118" s="16"/>
      <c r="I118" s="39"/>
      <c r="J118" s="39" t="n">
        <v>7000</v>
      </c>
      <c r="K118" s="42"/>
      <c r="L118" s="50"/>
      <c r="M118" s="48"/>
      <c r="N118" s="37"/>
      <c r="O118" s="44" t="n">
        <f aca="false">IF(Y118,1,0)+AB118+AI118+AP118+AW118+BD118+BK118+BR118+BY118+CF118+CM118</f>
        <v>0</v>
      </c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31"/>
      <c r="AP118" s="128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31"/>
      <c r="BF118" s="131"/>
      <c r="BG118" s="131"/>
      <c r="BH118" s="131"/>
      <c r="BI118" s="131"/>
      <c r="BJ118" s="131"/>
      <c r="BK118" s="128"/>
      <c r="BL118" s="131"/>
      <c r="BM118" s="131"/>
      <c r="BN118" s="131"/>
      <c r="BO118" s="131"/>
      <c r="BP118" s="133"/>
      <c r="BQ118" s="131"/>
      <c r="BR118" s="131"/>
      <c r="BS118" s="131"/>
      <c r="BT118" s="131"/>
      <c r="BU118" s="131"/>
      <c r="BV118" s="131"/>
      <c r="BW118" s="133"/>
      <c r="BX118" s="131"/>
      <c r="BY118" s="128"/>
      <c r="BZ118" s="131"/>
      <c r="CA118" s="131"/>
      <c r="CB118" s="131"/>
      <c r="CC118" s="131"/>
      <c r="CD118" s="131"/>
      <c r="CE118" s="134"/>
      <c r="CF118" s="128"/>
      <c r="CG118" s="131"/>
      <c r="CH118" s="131"/>
      <c r="CI118" s="131"/>
      <c r="CJ118" s="131"/>
      <c r="CK118" s="131"/>
      <c r="CL118" s="131"/>
      <c r="CM118" s="128"/>
      <c r="CN118" s="131"/>
      <c r="CO118" s="131"/>
      <c r="CP118" s="131"/>
      <c r="CQ118" s="131"/>
      <c r="CR118" s="131"/>
    </row>
    <row r="119" customFormat="false" ht="12.8" hidden="false" customHeight="false" outlineLevel="0" collapsed="false">
      <c r="A119" s="36" t="s">
        <v>258</v>
      </c>
      <c r="B119" s="35" t="s">
        <v>113</v>
      </c>
      <c r="C119" s="34" t="s">
        <v>268</v>
      </c>
      <c r="D119" s="35" t="s">
        <v>263</v>
      </c>
      <c r="E119" s="34" t="s">
        <v>88</v>
      </c>
      <c r="F119" s="16" t="s">
        <v>237</v>
      </c>
      <c r="G119" s="16"/>
      <c r="H119" s="16"/>
      <c r="I119" s="39"/>
      <c r="J119" s="39" t="n">
        <v>7000</v>
      </c>
      <c r="K119" s="42" t="n">
        <v>51120</v>
      </c>
      <c r="L119" s="50" t="n">
        <v>50</v>
      </c>
      <c r="M119" s="48" t="n">
        <v>0.1</v>
      </c>
      <c r="N119" s="37" t="n">
        <v>4</v>
      </c>
      <c r="O119" s="44" t="n">
        <f aca="false">IF(Y119,1,0)+AB119+AI119+AP119+AW119+BD119+BK119+BR119+BY119+CF119+CM119</f>
        <v>0</v>
      </c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128" t="n">
        <v>6</v>
      </c>
      <c r="AB119" s="128" t="n">
        <v>2</v>
      </c>
      <c r="AC119" s="131" t="s">
        <v>390</v>
      </c>
      <c r="AD119" s="131" t="s">
        <v>391</v>
      </c>
      <c r="AE119" s="131" t="s">
        <v>410</v>
      </c>
      <c r="AF119" s="131" t="s">
        <v>411</v>
      </c>
      <c r="AG119" s="131" t="s">
        <v>399</v>
      </c>
      <c r="AH119" s="130" t="s">
        <v>483</v>
      </c>
      <c r="AI119" s="128" t="n">
        <v>1</v>
      </c>
      <c r="AJ119" s="130" t="s">
        <v>484</v>
      </c>
      <c r="AK119" s="130" t="s">
        <v>485</v>
      </c>
      <c r="AL119" s="130" t="s">
        <v>486</v>
      </c>
      <c r="AM119" s="130" t="s">
        <v>487</v>
      </c>
      <c r="AN119" s="130" t="s">
        <v>488</v>
      </c>
      <c r="AO119" s="128" t="n">
        <v>6</v>
      </c>
      <c r="AP119" s="128" t="n">
        <v>1</v>
      </c>
      <c r="AQ119" s="131" t="s">
        <v>390</v>
      </c>
      <c r="AR119" s="131" t="s">
        <v>391</v>
      </c>
      <c r="AS119" s="131" t="s">
        <v>410</v>
      </c>
      <c r="AT119" s="131" t="s">
        <v>411</v>
      </c>
      <c r="AU119" s="131" t="s">
        <v>399</v>
      </c>
      <c r="AV119" s="128" t="n">
        <v>6</v>
      </c>
      <c r="AW119" s="128" t="n">
        <v>1</v>
      </c>
      <c r="AX119" s="131" t="s">
        <v>410</v>
      </c>
      <c r="AY119" s="131" t="s">
        <v>453</v>
      </c>
      <c r="AZ119" s="131" t="s">
        <v>489</v>
      </c>
      <c r="BA119" s="131" t="s">
        <v>447</v>
      </c>
      <c r="BB119" s="133" t="s">
        <v>380</v>
      </c>
      <c r="BC119" s="131"/>
      <c r="BD119" s="131"/>
      <c r="BE119" s="131"/>
      <c r="BF119" s="131"/>
      <c r="BG119" s="131"/>
      <c r="BH119" s="131"/>
      <c r="BI119" s="131"/>
      <c r="BJ119" s="131"/>
      <c r="BK119" s="128"/>
      <c r="BL119" s="131"/>
      <c r="BM119" s="131"/>
      <c r="BN119" s="131"/>
      <c r="BO119" s="131"/>
      <c r="BP119" s="133"/>
      <c r="BQ119" s="131"/>
      <c r="BR119" s="131"/>
      <c r="BS119" s="131"/>
      <c r="BT119" s="131"/>
      <c r="BU119" s="131"/>
      <c r="BV119" s="131"/>
      <c r="BW119" s="133"/>
      <c r="BX119" s="131"/>
      <c r="BY119" s="128"/>
      <c r="BZ119" s="131"/>
      <c r="CA119" s="131"/>
      <c r="CB119" s="131"/>
      <c r="CC119" s="131"/>
      <c r="CD119" s="131"/>
      <c r="CE119" s="134"/>
      <c r="CF119" s="128"/>
      <c r="CG119" s="131"/>
      <c r="CH119" s="131"/>
      <c r="CI119" s="131"/>
      <c r="CJ119" s="131"/>
      <c r="CK119" s="131"/>
      <c r="CL119" s="131"/>
      <c r="CM119" s="128"/>
      <c r="CN119" s="131"/>
      <c r="CO119" s="131"/>
      <c r="CP119" s="131"/>
      <c r="CQ119" s="131"/>
      <c r="CR119" s="131"/>
    </row>
    <row r="120" customFormat="false" ht="12.8" hidden="false" customHeight="false" outlineLevel="0" collapsed="false">
      <c r="A120" s="36" t="s">
        <v>258</v>
      </c>
      <c r="B120" s="36" t="s">
        <v>98</v>
      </c>
      <c r="C120" s="35" t="s">
        <v>259</v>
      </c>
      <c r="D120" s="35" t="s">
        <v>260</v>
      </c>
      <c r="E120" s="58" t="s">
        <v>89</v>
      </c>
      <c r="F120" s="35" t="s">
        <v>188</v>
      </c>
      <c r="G120" s="16"/>
      <c r="H120" s="16"/>
      <c r="I120" s="39"/>
      <c r="J120" s="39" t="n">
        <v>7000</v>
      </c>
      <c r="K120" s="42" t="n">
        <v>67730</v>
      </c>
      <c r="L120" s="50" t="n">
        <v>50</v>
      </c>
      <c r="M120" s="48" t="n">
        <v>0.1</v>
      </c>
      <c r="N120" s="37" t="n">
        <v>4</v>
      </c>
      <c r="O120" s="44" t="n">
        <f aca="false">IF(Y120,1,0)+AB120+AI120+AP120+AW120+BD120+BK120+BR120+BY120+CF120+CM120</f>
        <v>0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128" t="n">
        <v>6</v>
      </c>
      <c r="AB120" s="128" t="n">
        <v>2</v>
      </c>
      <c r="AC120" s="131" t="s">
        <v>390</v>
      </c>
      <c r="AD120" s="131" t="s">
        <v>391</v>
      </c>
      <c r="AE120" s="131" t="s">
        <v>410</v>
      </c>
      <c r="AF120" s="131" t="s">
        <v>411</v>
      </c>
      <c r="AG120" s="131" t="s">
        <v>399</v>
      </c>
      <c r="AH120" s="130" t="s">
        <v>483</v>
      </c>
      <c r="AI120" s="128" t="n">
        <v>1</v>
      </c>
      <c r="AJ120" s="130" t="s">
        <v>484</v>
      </c>
      <c r="AK120" s="130" t="s">
        <v>485</v>
      </c>
      <c r="AL120" s="130" t="s">
        <v>486</v>
      </c>
      <c r="AM120" s="130" t="s">
        <v>487</v>
      </c>
      <c r="AN120" s="130" t="s">
        <v>488</v>
      </c>
      <c r="AO120" s="128" t="n">
        <v>6</v>
      </c>
      <c r="AP120" s="128" t="n">
        <v>1</v>
      </c>
      <c r="AQ120" s="131" t="s">
        <v>390</v>
      </c>
      <c r="AR120" s="131" t="s">
        <v>391</v>
      </c>
      <c r="AS120" s="131" t="s">
        <v>410</v>
      </c>
      <c r="AT120" s="131" t="s">
        <v>411</v>
      </c>
      <c r="AU120" s="131" t="s">
        <v>399</v>
      </c>
      <c r="AV120" s="128" t="n">
        <v>6</v>
      </c>
      <c r="AW120" s="128" t="n">
        <v>1</v>
      </c>
      <c r="AX120" s="131" t="s">
        <v>410</v>
      </c>
      <c r="AY120" s="131" t="s">
        <v>453</v>
      </c>
      <c r="AZ120" s="131" t="s">
        <v>489</v>
      </c>
      <c r="BA120" s="131" t="s">
        <v>447</v>
      </c>
      <c r="BB120" s="133" t="s">
        <v>380</v>
      </c>
      <c r="BC120" s="131"/>
      <c r="BD120" s="131"/>
      <c r="BE120" s="131"/>
      <c r="BF120" s="131"/>
      <c r="BG120" s="131"/>
      <c r="BH120" s="131"/>
      <c r="BI120" s="131"/>
      <c r="BJ120" s="131"/>
      <c r="BK120" s="128"/>
      <c r="BL120" s="131"/>
      <c r="BM120" s="131"/>
      <c r="BN120" s="131"/>
      <c r="BO120" s="131"/>
      <c r="BP120" s="133"/>
      <c r="BQ120" s="131"/>
      <c r="BR120" s="131"/>
      <c r="BS120" s="131"/>
      <c r="BT120" s="131"/>
      <c r="BU120" s="131"/>
      <c r="BV120" s="131"/>
      <c r="BW120" s="133"/>
      <c r="BX120" s="131"/>
      <c r="BY120" s="128"/>
      <c r="BZ120" s="131"/>
      <c r="CA120" s="131"/>
      <c r="CB120" s="131"/>
      <c r="CC120" s="131"/>
      <c r="CD120" s="131"/>
      <c r="CE120" s="134"/>
      <c r="CF120" s="128"/>
      <c r="CG120" s="131"/>
      <c r="CH120" s="131"/>
      <c r="CI120" s="131"/>
      <c r="CJ120" s="131"/>
      <c r="CK120" s="131"/>
      <c r="CL120" s="131"/>
      <c r="CM120" s="128"/>
      <c r="CN120" s="131"/>
      <c r="CO120" s="131"/>
      <c r="CP120" s="131"/>
      <c r="CQ120" s="131"/>
      <c r="CR120" s="131"/>
    </row>
    <row r="121" customFormat="false" ht="12.8" hidden="false" customHeight="false" outlineLevel="0" collapsed="false">
      <c r="A121" s="36" t="s">
        <v>258</v>
      </c>
      <c r="B121" s="36" t="s">
        <v>98</v>
      </c>
      <c r="C121" s="35" t="s">
        <v>259</v>
      </c>
      <c r="D121" s="35" t="s">
        <v>261</v>
      </c>
      <c r="E121" s="58" t="s">
        <v>87</v>
      </c>
      <c r="F121" s="35" t="s">
        <v>116</v>
      </c>
      <c r="G121" s="16"/>
      <c r="H121" s="16"/>
      <c r="I121" s="39"/>
      <c r="J121" s="39" t="n">
        <v>7000</v>
      </c>
      <c r="K121" s="42" t="n">
        <v>67730</v>
      </c>
      <c r="L121" s="50" t="n">
        <v>50</v>
      </c>
      <c r="M121" s="48" t="n">
        <v>0.1</v>
      </c>
      <c r="N121" s="37"/>
      <c r="O121" s="44" t="n">
        <f aca="false">IF(Y121,1,0)+AB121+AI121+AP121+AW121+BD121+BK121+BR121+BY121+CF121+CM121</f>
        <v>0</v>
      </c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31"/>
      <c r="AP121" s="128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1"/>
      <c r="BE121" s="131"/>
      <c r="BF121" s="131"/>
      <c r="BG121" s="131"/>
      <c r="BH121" s="131"/>
      <c r="BI121" s="131"/>
      <c r="BJ121" s="131"/>
      <c r="BK121" s="128"/>
      <c r="BL121" s="131"/>
      <c r="BM121" s="131"/>
      <c r="BN121" s="131"/>
      <c r="BO121" s="131"/>
      <c r="BP121" s="133"/>
      <c r="BQ121" s="131"/>
      <c r="BR121" s="131"/>
      <c r="BS121" s="131"/>
      <c r="BT121" s="131"/>
      <c r="BU121" s="131"/>
      <c r="BV121" s="131"/>
      <c r="BW121" s="133"/>
      <c r="BX121" s="131"/>
      <c r="BY121" s="128"/>
      <c r="BZ121" s="131"/>
      <c r="CA121" s="131"/>
      <c r="CB121" s="131"/>
      <c r="CC121" s="131"/>
      <c r="CD121" s="131"/>
      <c r="CE121" s="134"/>
      <c r="CF121" s="128"/>
      <c r="CG121" s="131"/>
      <c r="CH121" s="131"/>
      <c r="CI121" s="131"/>
      <c r="CJ121" s="131"/>
      <c r="CK121" s="131"/>
      <c r="CL121" s="131"/>
      <c r="CM121" s="128"/>
      <c r="CN121" s="131"/>
      <c r="CO121" s="131"/>
      <c r="CP121" s="131"/>
      <c r="CQ121" s="131"/>
      <c r="CR121" s="131"/>
    </row>
    <row r="122" customFormat="false" ht="12.8" hidden="false" customHeight="false" outlineLevel="0" collapsed="false">
      <c r="A122" s="36" t="s">
        <v>258</v>
      </c>
      <c r="B122" s="36" t="s">
        <v>158</v>
      </c>
      <c r="C122" s="35" t="s">
        <v>284</v>
      </c>
      <c r="D122" s="35" t="s">
        <v>285</v>
      </c>
      <c r="E122" s="34" t="s">
        <v>89</v>
      </c>
      <c r="F122" s="35" t="s">
        <v>176</v>
      </c>
      <c r="G122" s="16"/>
      <c r="H122" s="16"/>
      <c r="I122" s="39"/>
      <c r="J122" s="39" t="n">
        <v>7000</v>
      </c>
      <c r="K122" s="42" t="n">
        <v>61850</v>
      </c>
      <c r="L122" s="50" t="n">
        <v>30</v>
      </c>
      <c r="M122" s="48" t="n">
        <v>0.1</v>
      </c>
      <c r="N122" s="37" t="n">
        <v>3</v>
      </c>
      <c r="O122" s="44" t="n">
        <f aca="false">IF(Y122,1,0)+AB122+AI122+AP122+AW122+BD122+BK122+BR122+BY122+CF122+CM122</f>
        <v>0</v>
      </c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128" t="n">
        <v>6</v>
      </c>
      <c r="AB122" s="128" t="n">
        <v>2</v>
      </c>
      <c r="AC122" s="131" t="s">
        <v>390</v>
      </c>
      <c r="AD122" s="131" t="s">
        <v>391</v>
      </c>
      <c r="AE122" s="131" t="s">
        <v>410</v>
      </c>
      <c r="AF122" s="131" t="s">
        <v>411</v>
      </c>
      <c r="AG122" s="131" t="s">
        <v>399</v>
      </c>
      <c r="AH122" s="130" t="s">
        <v>483</v>
      </c>
      <c r="AI122" s="128" t="n">
        <v>1</v>
      </c>
      <c r="AJ122" s="130" t="s">
        <v>484</v>
      </c>
      <c r="AK122" s="130" t="s">
        <v>485</v>
      </c>
      <c r="AL122" s="130" t="s">
        <v>486</v>
      </c>
      <c r="AM122" s="130" t="s">
        <v>487</v>
      </c>
      <c r="AN122" s="130" t="s">
        <v>488</v>
      </c>
      <c r="AO122" s="128" t="n">
        <v>6</v>
      </c>
      <c r="AP122" s="128" t="n">
        <v>1</v>
      </c>
      <c r="AQ122" s="131" t="s">
        <v>390</v>
      </c>
      <c r="AR122" s="131" t="s">
        <v>391</v>
      </c>
      <c r="AS122" s="131" t="s">
        <v>410</v>
      </c>
      <c r="AT122" s="131" t="s">
        <v>411</v>
      </c>
      <c r="AU122" s="131" t="s">
        <v>399</v>
      </c>
      <c r="AV122" s="131"/>
      <c r="AW122" s="131"/>
      <c r="AX122" s="131"/>
      <c r="AY122" s="131"/>
      <c r="AZ122" s="131"/>
      <c r="BA122" s="131"/>
      <c r="BB122" s="131"/>
      <c r="BC122" s="131"/>
      <c r="BD122" s="131"/>
      <c r="BE122" s="131"/>
      <c r="BF122" s="131"/>
      <c r="BG122" s="131"/>
      <c r="BH122" s="131"/>
      <c r="BI122" s="131"/>
      <c r="BJ122" s="131"/>
      <c r="BK122" s="128"/>
      <c r="BL122" s="131"/>
      <c r="BM122" s="131"/>
      <c r="BN122" s="131"/>
      <c r="BO122" s="131"/>
      <c r="BP122" s="133"/>
      <c r="BQ122" s="131"/>
      <c r="BR122" s="131"/>
      <c r="BS122" s="131"/>
      <c r="BT122" s="131"/>
      <c r="BU122" s="131"/>
      <c r="BV122" s="131"/>
      <c r="BW122" s="133"/>
      <c r="BX122" s="131"/>
      <c r="BY122" s="128"/>
      <c r="BZ122" s="131"/>
      <c r="CA122" s="131"/>
      <c r="CB122" s="131"/>
      <c r="CC122" s="131"/>
      <c r="CD122" s="131"/>
      <c r="CE122" s="134"/>
      <c r="CF122" s="128"/>
      <c r="CG122" s="131"/>
      <c r="CH122" s="131"/>
      <c r="CI122" s="131"/>
      <c r="CJ122" s="131"/>
      <c r="CK122" s="131"/>
      <c r="CL122" s="131"/>
      <c r="CM122" s="128"/>
      <c r="CN122" s="131"/>
      <c r="CO122" s="131"/>
      <c r="CP122" s="131"/>
      <c r="CQ122" s="131"/>
      <c r="CR122" s="131"/>
    </row>
    <row r="123" customFormat="false" ht="12.8" hidden="false" customHeight="false" outlineLevel="0" collapsed="false">
      <c r="A123" s="16" t="s">
        <v>311</v>
      </c>
      <c r="B123" s="17" t="s">
        <v>81</v>
      </c>
      <c r="C123" s="17" t="s">
        <v>322</v>
      </c>
      <c r="D123" s="17" t="s">
        <v>323</v>
      </c>
      <c r="E123" s="130" t="s">
        <v>84</v>
      </c>
      <c r="F123" s="17" t="s">
        <v>85</v>
      </c>
      <c r="G123" s="16"/>
      <c r="H123" s="16"/>
      <c r="I123" s="39"/>
      <c r="J123" s="39" t="n">
        <v>13000</v>
      </c>
      <c r="K123" s="37" t="n">
        <v>160450</v>
      </c>
      <c r="L123" s="40" t="n">
        <v>240</v>
      </c>
      <c r="M123" s="41" t="n">
        <v>0.05</v>
      </c>
      <c r="N123" s="37" t="n">
        <v>5</v>
      </c>
      <c r="O123" s="44" t="n">
        <f aca="false">IF(Y123,1,0)+AB123+AI123+AP123+AW123+BD123+BK123+BR123+BY123+CF123+CM123</f>
        <v>0</v>
      </c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128" t="n">
        <v>8</v>
      </c>
      <c r="AB123" s="128" t="n">
        <v>2</v>
      </c>
      <c r="AC123" s="131" t="s">
        <v>390</v>
      </c>
      <c r="AD123" s="131" t="s">
        <v>391</v>
      </c>
      <c r="AE123" s="131" t="s">
        <v>383</v>
      </c>
      <c r="AF123" s="131" t="s">
        <v>384</v>
      </c>
      <c r="AG123" s="131" t="s">
        <v>399</v>
      </c>
      <c r="AH123" s="130" t="s">
        <v>490</v>
      </c>
      <c r="AI123" s="128" t="n">
        <v>2</v>
      </c>
      <c r="AJ123" s="130" t="s">
        <v>491</v>
      </c>
      <c r="AK123" s="130" t="s">
        <v>492</v>
      </c>
      <c r="AL123" s="130" t="s">
        <v>493</v>
      </c>
      <c r="AM123" s="130" t="s">
        <v>494</v>
      </c>
      <c r="AN123" s="130" t="s">
        <v>495</v>
      </c>
      <c r="AO123" s="128" t="n">
        <v>8</v>
      </c>
      <c r="AP123" s="128" t="n">
        <v>2</v>
      </c>
      <c r="AQ123" s="131" t="s">
        <v>390</v>
      </c>
      <c r="AR123" s="131" t="s">
        <v>391</v>
      </c>
      <c r="AS123" s="131" t="s">
        <v>383</v>
      </c>
      <c r="AT123" s="131" t="s">
        <v>384</v>
      </c>
      <c r="AU123" s="131" t="s">
        <v>399</v>
      </c>
      <c r="AV123" s="131"/>
      <c r="AW123" s="131"/>
      <c r="AX123" s="131"/>
      <c r="AY123" s="131"/>
      <c r="AZ123" s="131"/>
      <c r="BA123" s="131"/>
      <c r="BB123" s="131"/>
      <c r="BC123" s="131"/>
      <c r="BD123" s="131"/>
      <c r="BE123" s="131"/>
      <c r="BF123" s="131"/>
      <c r="BG123" s="131"/>
      <c r="BH123" s="131"/>
      <c r="BI123" s="131"/>
      <c r="BJ123" s="131"/>
      <c r="BK123" s="128"/>
      <c r="BL123" s="131"/>
      <c r="BM123" s="131"/>
      <c r="BN123" s="131"/>
      <c r="BO123" s="131"/>
      <c r="BP123" s="133"/>
      <c r="BQ123" s="131"/>
      <c r="BR123" s="131"/>
      <c r="BS123" s="131"/>
      <c r="BT123" s="131"/>
      <c r="BU123" s="131"/>
      <c r="BV123" s="131"/>
      <c r="BW123" s="133"/>
      <c r="BX123" s="128" t="n">
        <v>8</v>
      </c>
      <c r="BY123" s="128" t="n">
        <v>1</v>
      </c>
      <c r="BZ123" s="131" t="s">
        <v>441</v>
      </c>
      <c r="CA123" s="131" t="s">
        <v>442</v>
      </c>
      <c r="CB123" s="131" t="s">
        <v>469</v>
      </c>
      <c r="CC123" s="131" t="s">
        <v>470</v>
      </c>
      <c r="CD123" s="131" t="s">
        <v>458</v>
      </c>
      <c r="CE123" s="134"/>
      <c r="CF123" s="128"/>
      <c r="CG123" s="131"/>
      <c r="CH123" s="131"/>
      <c r="CI123" s="131"/>
      <c r="CJ123" s="131"/>
      <c r="CK123" s="131"/>
      <c r="CL123" s="131"/>
      <c r="CM123" s="128"/>
      <c r="CN123" s="131"/>
      <c r="CO123" s="131"/>
      <c r="CP123" s="131"/>
      <c r="CQ123" s="131"/>
      <c r="CR123" s="131"/>
    </row>
    <row r="124" customFormat="false" ht="12.8" hidden="false" customHeight="false" outlineLevel="0" collapsed="false">
      <c r="A124" s="16" t="s">
        <v>311</v>
      </c>
      <c r="B124" s="17" t="s">
        <v>81</v>
      </c>
      <c r="C124" s="17" t="s">
        <v>322</v>
      </c>
      <c r="D124" s="17" t="s">
        <v>323</v>
      </c>
      <c r="E124" s="130" t="s">
        <v>84</v>
      </c>
      <c r="F124" s="17" t="s">
        <v>85</v>
      </c>
      <c r="G124" s="17" t="s">
        <v>496</v>
      </c>
      <c r="H124" s="130" t="s">
        <v>497</v>
      </c>
      <c r="I124" s="105" t="s">
        <v>498</v>
      </c>
      <c r="J124" s="39" t="n">
        <v>13000</v>
      </c>
      <c r="K124" s="37"/>
      <c r="L124" s="40"/>
      <c r="M124" s="41"/>
      <c r="N124" s="37"/>
      <c r="O124" s="44" t="n">
        <f aca="false">IF(Y124,1,0)+AB124+AI124+AP124+AW124+BD124+BK124+BR124+BY124+CF124+CM124</f>
        <v>0</v>
      </c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31"/>
      <c r="AP124" s="128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131"/>
      <c r="BB124" s="131"/>
      <c r="BC124" s="131"/>
      <c r="BD124" s="131"/>
      <c r="BE124" s="131"/>
      <c r="BF124" s="131"/>
      <c r="BG124" s="131"/>
      <c r="BH124" s="131"/>
      <c r="BI124" s="131"/>
      <c r="BJ124" s="131"/>
      <c r="BK124" s="128"/>
      <c r="BL124" s="131"/>
      <c r="BM124" s="131"/>
      <c r="BN124" s="131"/>
      <c r="BO124" s="131"/>
      <c r="BP124" s="133"/>
      <c r="BQ124" s="131"/>
      <c r="BR124" s="131"/>
      <c r="BS124" s="131"/>
      <c r="BT124" s="131"/>
      <c r="BU124" s="131"/>
      <c r="BV124" s="131"/>
      <c r="BW124" s="133"/>
      <c r="BX124" s="131"/>
      <c r="BY124" s="128"/>
      <c r="BZ124" s="131"/>
      <c r="CA124" s="131"/>
      <c r="CB124" s="131"/>
      <c r="CC124" s="131"/>
      <c r="CD124" s="131"/>
      <c r="CE124" s="134"/>
      <c r="CF124" s="128"/>
      <c r="CG124" s="131"/>
      <c r="CH124" s="131"/>
      <c r="CI124" s="131"/>
      <c r="CJ124" s="131"/>
      <c r="CK124" s="131"/>
      <c r="CL124" s="131"/>
      <c r="CM124" s="128"/>
      <c r="CN124" s="131"/>
      <c r="CO124" s="131"/>
      <c r="CP124" s="131"/>
      <c r="CQ124" s="131"/>
      <c r="CR124" s="131"/>
    </row>
    <row r="125" customFormat="false" ht="12.8" hidden="false" customHeight="false" outlineLevel="0" collapsed="false">
      <c r="A125" s="16" t="s">
        <v>311</v>
      </c>
      <c r="B125" s="17" t="s">
        <v>98</v>
      </c>
      <c r="C125" s="17" t="s">
        <v>312</v>
      </c>
      <c r="D125" s="17" t="s">
        <v>313</v>
      </c>
      <c r="E125" s="130" t="s">
        <v>84</v>
      </c>
      <c r="F125" s="17" t="s">
        <v>85</v>
      </c>
      <c r="G125" s="16"/>
      <c r="H125" s="16"/>
      <c r="I125" s="39"/>
      <c r="J125" s="39" t="n">
        <v>13000</v>
      </c>
      <c r="K125" s="37" t="n">
        <v>125840</v>
      </c>
      <c r="L125" s="40" t="n">
        <v>160</v>
      </c>
      <c r="M125" s="41" t="n">
        <v>0.25</v>
      </c>
      <c r="N125" s="37" t="n">
        <v>5</v>
      </c>
      <c r="O125" s="44" t="n">
        <f aca="false">IF(Y125,1,0)+AB125+AI125+AP125+AW125+BD125+BK125+BR125+BY125+CF125+CM125</f>
        <v>0</v>
      </c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128" t="n">
        <v>8</v>
      </c>
      <c r="AB125" s="128" t="n">
        <v>2</v>
      </c>
      <c r="AC125" s="131" t="s">
        <v>390</v>
      </c>
      <c r="AD125" s="131" t="s">
        <v>391</v>
      </c>
      <c r="AE125" s="131" t="s">
        <v>383</v>
      </c>
      <c r="AF125" s="131" t="s">
        <v>384</v>
      </c>
      <c r="AG125" s="131" t="s">
        <v>399</v>
      </c>
      <c r="AH125" s="130" t="s">
        <v>490</v>
      </c>
      <c r="AI125" s="128" t="n">
        <v>2</v>
      </c>
      <c r="AJ125" s="130" t="s">
        <v>491</v>
      </c>
      <c r="AK125" s="130" t="s">
        <v>492</v>
      </c>
      <c r="AL125" s="130" t="s">
        <v>493</v>
      </c>
      <c r="AM125" s="130" t="s">
        <v>494</v>
      </c>
      <c r="AN125" s="130" t="s">
        <v>495</v>
      </c>
      <c r="AO125" s="128" t="n">
        <v>8</v>
      </c>
      <c r="AP125" s="128" t="n">
        <v>2</v>
      </c>
      <c r="AQ125" s="131" t="s">
        <v>390</v>
      </c>
      <c r="AR125" s="131" t="s">
        <v>391</v>
      </c>
      <c r="AS125" s="131" t="s">
        <v>383</v>
      </c>
      <c r="AT125" s="131" t="s">
        <v>384</v>
      </c>
      <c r="AU125" s="131" t="s">
        <v>399</v>
      </c>
      <c r="AV125" s="131"/>
      <c r="AW125" s="131"/>
      <c r="AX125" s="131"/>
      <c r="AY125" s="131"/>
      <c r="AZ125" s="131"/>
      <c r="BA125" s="131"/>
      <c r="BB125" s="131"/>
      <c r="BC125" s="131"/>
      <c r="BD125" s="131"/>
      <c r="BE125" s="131"/>
      <c r="BF125" s="131"/>
      <c r="BG125" s="131"/>
      <c r="BH125" s="131"/>
      <c r="BI125" s="131"/>
      <c r="BJ125" s="131"/>
      <c r="BK125" s="128"/>
      <c r="BL125" s="131"/>
      <c r="BM125" s="131"/>
      <c r="BN125" s="131"/>
      <c r="BO125" s="131"/>
      <c r="BP125" s="133"/>
      <c r="BQ125" s="131"/>
      <c r="BR125" s="131"/>
      <c r="BS125" s="131"/>
      <c r="BT125" s="131"/>
      <c r="BU125" s="131"/>
      <c r="BV125" s="131"/>
      <c r="BW125" s="133"/>
      <c r="BX125" s="128" t="n">
        <v>8</v>
      </c>
      <c r="BY125" s="128" t="n">
        <v>1</v>
      </c>
      <c r="BZ125" s="131" t="s">
        <v>441</v>
      </c>
      <c r="CA125" s="131" t="s">
        <v>442</v>
      </c>
      <c r="CB125" s="131" t="s">
        <v>469</v>
      </c>
      <c r="CC125" s="131" t="s">
        <v>470</v>
      </c>
      <c r="CD125" s="131" t="s">
        <v>458</v>
      </c>
      <c r="CE125" s="134"/>
      <c r="CF125" s="128"/>
      <c r="CG125" s="131"/>
      <c r="CH125" s="131"/>
      <c r="CI125" s="131"/>
      <c r="CJ125" s="131"/>
      <c r="CK125" s="131"/>
      <c r="CL125" s="131"/>
      <c r="CM125" s="128"/>
      <c r="CN125" s="131"/>
      <c r="CO125" s="131"/>
      <c r="CP125" s="131"/>
      <c r="CQ125" s="131"/>
      <c r="CR125" s="131"/>
    </row>
    <row r="126" customFormat="false" ht="12.8" hidden="false" customHeight="false" outlineLevel="0" collapsed="false">
      <c r="A126" s="16" t="s">
        <v>311</v>
      </c>
      <c r="B126" s="17" t="s">
        <v>98</v>
      </c>
      <c r="C126" s="17" t="s">
        <v>312</v>
      </c>
      <c r="D126" s="17" t="s">
        <v>313</v>
      </c>
      <c r="E126" s="130" t="s">
        <v>84</v>
      </c>
      <c r="F126" s="17" t="s">
        <v>85</v>
      </c>
      <c r="G126" s="17" t="s">
        <v>499</v>
      </c>
      <c r="H126" s="130" t="s">
        <v>500</v>
      </c>
      <c r="I126" s="105" t="s">
        <v>498</v>
      </c>
      <c r="J126" s="39" t="n">
        <v>13000</v>
      </c>
      <c r="K126" s="37"/>
      <c r="L126" s="40"/>
      <c r="M126" s="41"/>
      <c r="N126" s="37" t="n">
        <v>2</v>
      </c>
      <c r="O126" s="44" t="n">
        <f aca="false">IF(Y126,1,0)+AB126+AI126+AP126+AW126+BD126+BK126+BR126+BY126+CF126+CM126</f>
        <v>0</v>
      </c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31"/>
      <c r="AP126" s="128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  <c r="BA126" s="131"/>
      <c r="BB126" s="131"/>
      <c r="BC126" s="131"/>
      <c r="BD126" s="131"/>
      <c r="BE126" s="131"/>
      <c r="BF126" s="131"/>
      <c r="BG126" s="131"/>
      <c r="BH126" s="131"/>
      <c r="BI126" s="131"/>
      <c r="BJ126" s="131"/>
      <c r="BK126" s="128"/>
      <c r="BL126" s="131"/>
      <c r="BM126" s="131"/>
      <c r="BN126" s="131"/>
      <c r="BO126" s="131"/>
      <c r="BP126" s="133"/>
      <c r="BQ126" s="131"/>
      <c r="BR126" s="131"/>
      <c r="BS126" s="131"/>
      <c r="BT126" s="131"/>
      <c r="BU126" s="131"/>
      <c r="BV126" s="131"/>
      <c r="BW126" s="133"/>
      <c r="BX126" s="131"/>
      <c r="BY126" s="128"/>
      <c r="BZ126" s="131"/>
      <c r="CA126" s="131"/>
      <c r="CB126" s="131"/>
      <c r="CC126" s="131"/>
      <c r="CD126" s="131"/>
      <c r="CE126" s="134"/>
      <c r="CF126" s="128"/>
      <c r="CG126" s="131"/>
      <c r="CH126" s="131"/>
      <c r="CI126" s="131"/>
      <c r="CJ126" s="131"/>
      <c r="CK126" s="131"/>
      <c r="CL126" s="131"/>
      <c r="CM126" s="128"/>
      <c r="CN126" s="131"/>
      <c r="CO126" s="131"/>
      <c r="CP126" s="131"/>
      <c r="CQ126" s="131"/>
      <c r="CR126" s="131"/>
    </row>
    <row r="127" customFormat="false" ht="12.8" hidden="false" customHeight="false" outlineLevel="0" collapsed="false">
      <c r="A127" s="16" t="s">
        <v>311</v>
      </c>
      <c r="B127" s="17" t="s">
        <v>158</v>
      </c>
      <c r="C127" s="17" t="s">
        <v>317</v>
      </c>
      <c r="D127" s="17" t="s">
        <v>318</v>
      </c>
      <c r="E127" s="130" t="s">
        <v>84</v>
      </c>
      <c r="F127" s="17" t="s">
        <v>85</v>
      </c>
      <c r="G127" s="16"/>
      <c r="H127" s="16"/>
      <c r="I127" s="39"/>
      <c r="J127" s="39" t="n">
        <v>13000</v>
      </c>
      <c r="K127" s="37" t="n">
        <v>130460</v>
      </c>
      <c r="L127" s="40" t="n">
        <v>180</v>
      </c>
      <c r="M127" s="41" t="n">
        <v>0.1</v>
      </c>
      <c r="N127" s="37" t="n">
        <v>5</v>
      </c>
      <c r="O127" s="44" t="n">
        <f aca="false">IF(Y127,1,0)+AB127+AI127+AP127+AW127+BD127+BK127+BR127+BY127+CF127+CM127</f>
        <v>0</v>
      </c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128" t="n">
        <v>8</v>
      </c>
      <c r="AB127" s="128" t="n">
        <v>2</v>
      </c>
      <c r="AC127" s="131" t="s">
        <v>390</v>
      </c>
      <c r="AD127" s="131" t="s">
        <v>391</v>
      </c>
      <c r="AE127" s="131" t="s">
        <v>383</v>
      </c>
      <c r="AF127" s="131" t="s">
        <v>384</v>
      </c>
      <c r="AG127" s="131" t="s">
        <v>399</v>
      </c>
      <c r="AH127" s="130" t="s">
        <v>490</v>
      </c>
      <c r="AI127" s="128" t="n">
        <v>2</v>
      </c>
      <c r="AJ127" s="130" t="s">
        <v>491</v>
      </c>
      <c r="AK127" s="130" t="s">
        <v>492</v>
      </c>
      <c r="AL127" s="130" t="s">
        <v>493</v>
      </c>
      <c r="AM127" s="130" t="s">
        <v>494</v>
      </c>
      <c r="AN127" s="130" t="s">
        <v>495</v>
      </c>
      <c r="AO127" s="128" t="n">
        <v>8</v>
      </c>
      <c r="AP127" s="128" t="n">
        <v>2</v>
      </c>
      <c r="AQ127" s="131" t="s">
        <v>390</v>
      </c>
      <c r="AR127" s="131" t="s">
        <v>391</v>
      </c>
      <c r="AS127" s="131" t="s">
        <v>383</v>
      </c>
      <c r="AT127" s="131" t="s">
        <v>384</v>
      </c>
      <c r="AU127" s="131" t="s">
        <v>399</v>
      </c>
      <c r="AV127" s="131"/>
      <c r="AW127" s="131"/>
      <c r="AX127" s="131"/>
      <c r="AY127" s="131"/>
      <c r="AZ127" s="131"/>
      <c r="BA127" s="131"/>
      <c r="BB127" s="131"/>
      <c r="BC127" s="131"/>
      <c r="BD127" s="131"/>
      <c r="BE127" s="131"/>
      <c r="BF127" s="131"/>
      <c r="BG127" s="131"/>
      <c r="BH127" s="131"/>
      <c r="BI127" s="131"/>
      <c r="BJ127" s="131"/>
      <c r="BK127" s="128"/>
      <c r="BL127" s="131"/>
      <c r="BM127" s="131"/>
      <c r="BN127" s="131"/>
      <c r="BO127" s="131"/>
      <c r="BP127" s="133"/>
      <c r="BQ127" s="131"/>
      <c r="BR127" s="131"/>
      <c r="BS127" s="131"/>
      <c r="BT127" s="131"/>
      <c r="BU127" s="131"/>
      <c r="BV127" s="131"/>
      <c r="BW127" s="133"/>
      <c r="BX127" s="128" t="n">
        <v>8</v>
      </c>
      <c r="BY127" s="128" t="n">
        <v>1</v>
      </c>
      <c r="BZ127" s="131" t="s">
        <v>441</v>
      </c>
      <c r="CA127" s="131" t="s">
        <v>442</v>
      </c>
      <c r="CB127" s="131" t="s">
        <v>469</v>
      </c>
      <c r="CC127" s="131" t="s">
        <v>470</v>
      </c>
      <c r="CD127" s="131" t="s">
        <v>458</v>
      </c>
      <c r="CE127" s="134"/>
      <c r="CF127" s="128"/>
      <c r="CG127" s="131"/>
      <c r="CH127" s="131"/>
      <c r="CI127" s="131"/>
      <c r="CJ127" s="131"/>
      <c r="CK127" s="131"/>
      <c r="CL127" s="131"/>
      <c r="CM127" s="128"/>
      <c r="CN127" s="131"/>
      <c r="CO127" s="131"/>
      <c r="CP127" s="131"/>
      <c r="CQ127" s="131"/>
      <c r="CR127" s="131"/>
    </row>
    <row r="128" customFormat="false" ht="12.8" hidden="false" customHeight="false" outlineLevel="0" collapsed="false">
      <c r="A128" s="16" t="s">
        <v>311</v>
      </c>
      <c r="B128" s="17" t="s">
        <v>158</v>
      </c>
      <c r="C128" s="17" t="s">
        <v>317</v>
      </c>
      <c r="D128" s="17" t="s">
        <v>318</v>
      </c>
      <c r="E128" s="130" t="s">
        <v>84</v>
      </c>
      <c r="F128" s="17" t="s">
        <v>85</v>
      </c>
      <c r="G128" s="17" t="s">
        <v>501</v>
      </c>
      <c r="H128" s="130" t="s">
        <v>502</v>
      </c>
      <c r="I128" s="105" t="s">
        <v>498</v>
      </c>
      <c r="J128" s="39" t="n">
        <v>13000</v>
      </c>
      <c r="K128" s="37"/>
      <c r="L128" s="40"/>
      <c r="M128" s="41"/>
      <c r="N128" s="37"/>
      <c r="O128" s="44" t="n">
        <f aca="false">IF(Y128,1,0)+AB128+AI128+AP128+AW128+BD128+BK128+BR128+BY128+CF128+CM128</f>
        <v>0</v>
      </c>
      <c r="P128" s="37"/>
      <c r="Q128" s="37"/>
      <c r="R128" s="37"/>
      <c r="S128" s="37"/>
      <c r="T128" s="37"/>
      <c r="U128" s="41" t="n">
        <v>-0.15</v>
      </c>
      <c r="V128" s="41" t="n">
        <v>-0.15</v>
      </c>
      <c r="W128" s="41" t="n">
        <v>-0.3</v>
      </c>
      <c r="X128" s="41"/>
      <c r="Y128" s="41"/>
      <c r="Z128" s="41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31"/>
      <c r="AP128" s="128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  <c r="BA128" s="131"/>
      <c r="BB128" s="131"/>
      <c r="BC128" s="131"/>
      <c r="BD128" s="131"/>
      <c r="BE128" s="131"/>
      <c r="BF128" s="131"/>
      <c r="BG128" s="131"/>
      <c r="BH128" s="131"/>
      <c r="BI128" s="131"/>
      <c r="BJ128" s="131"/>
      <c r="BK128" s="128"/>
      <c r="BL128" s="131"/>
      <c r="BM128" s="131"/>
      <c r="BN128" s="131"/>
      <c r="BO128" s="131"/>
      <c r="BP128" s="133"/>
      <c r="BQ128" s="131"/>
      <c r="BR128" s="131"/>
      <c r="BS128" s="131"/>
      <c r="BT128" s="131"/>
      <c r="BU128" s="131"/>
      <c r="BV128" s="131"/>
      <c r="BW128" s="133"/>
      <c r="BX128" s="131"/>
      <c r="BY128" s="128"/>
      <c r="BZ128" s="131"/>
      <c r="CA128" s="131"/>
      <c r="CB128" s="131"/>
      <c r="CC128" s="131"/>
      <c r="CD128" s="131"/>
      <c r="CE128" s="134"/>
      <c r="CF128" s="128"/>
      <c r="CG128" s="131"/>
      <c r="CH128" s="131"/>
      <c r="CI128" s="131"/>
      <c r="CJ128" s="131"/>
      <c r="CK128" s="131"/>
      <c r="CL128" s="131"/>
      <c r="CM128" s="128"/>
      <c r="CN128" s="131"/>
      <c r="CO128" s="131"/>
      <c r="CP128" s="131"/>
      <c r="CQ128" s="131"/>
      <c r="CR128" s="131"/>
    </row>
    <row r="129" customFormat="false" ht="12.8" hidden="false" customHeight="false" outlineLevel="0" collapsed="false">
      <c r="A129" s="16" t="s">
        <v>311</v>
      </c>
      <c r="B129" s="17" t="s">
        <v>93</v>
      </c>
      <c r="C129" s="130" t="s">
        <v>325</v>
      </c>
      <c r="D129" s="17" t="s">
        <v>326</v>
      </c>
      <c r="E129" s="130" t="s">
        <v>84</v>
      </c>
      <c r="F129" s="17" t="s">
        <v>85</v>
      </c>
      <c r="G129" s="16"/>
      <c r="H129" s="16"/>
      <c r="I129" s="39"/>
      <c r="J129" s="39" t="n">
        <v>13000</v>
      </c>
      <c r="K129" s="37" t="n">
        <v>121350</v>
      </c>
      <c r="L129" s="40" t="n">
        <v>180</v>
      </c>
      <c r="M129" s="41" t="n">
        <v>0.1</v>
      </c>
      <c r="N129" s="37" t="n">
        <v>6</v>
      </c>
      <c r="O129" s="44" t="n">
        <f aca="false">IF(Y129,1,0)+AB129+AI129+AP129+AW129+BD129+BK129+BR129+BY129+CF129+CM129</f>
        <v>0</v>
      </c>
      <c r="P129" s="37"/>
      <c r="Q129" s="37"/>
      <c r="R129" s="37"/>
      <c r="S129" s="37"/>
      <c r="T129" s="37"/>
      <c r="U129" s="37"/>
      <c r="V129" s="37"/>
      <c r="W129" s="37"/>
      <c r="X129" s="105" t="s">
        <v>503</v>
      </c>
      <c r="Y129" s="37" t="n">
        <v>8</v>
      </c>
      <c r="Z129" s="105" t="s">
        <v>504</v>
      </c>
      <c r="AA129" s="128" t="n">
        <v>8</v>
      </c>
      <c r="AB129" s="128" t="n">
        <v>2</v>
      </c>
      <c r="AC129" s="131" t="s">
        <v>390</v>
      </c>
      <c r="AD129" s="131" t="s">
        <v>391</v>
      </c>
      <c r="AE129" s="131" t="s">
        <v>383</v>
      </c>
      <c r="AF129" s="131" t="s">
        <v>384</v>
      </c>
      <c r="AG129" s="131" t="s">
        <v>399</v>
      </c>
      <c r="AH129" s="130" t="s">
        <v>490</v>
      </c>
      <c r="AI129" s="128" t="n">
        <v>2</v>
      </c>
      <c r="AJ129" s="130" t="s">
        <v>491</v>
      </c>
      <c r="AK129" s="130" t="s">
        <v>492</v>
      </c>
      <c r="AL129" s="130" t="s">
        <v>493</v>
      </c>
      <c r="AM129" s="130" t="s">
        <v>494</v>
      </c>
      <c r="AN129" s="130" t="s">
        <v>495</v>
      </c>
      <c r="AO129" s="128" t="n">
        <v>8</v>
      </c>
      <c r="AP129" s="128" t="n">
        <v>2</v>
      </c>
      <c r="AQ129" s="131" t="s">
        <v>390</v>
      </c>
      <c r="AR129" s="131" t="s">
        <v>391</v>
      </c>
      <c r="AS129" s="131" t="s">
        <v>383</v>
      </c>
      <c r="AT129" s="131" t="s">
        <v>384</v>
      </c>
      <c r="AU129" s="131" t="s">
        <v>399</v>
      </c>
      <c r="AV129" s="131"/>
      <c r="AW129" s="131"/>
      <c r="AX129" s="131"/>
      <c r="AY129" s="131"/>
      <c r="AZ129" s="131"/>
      <c r="BA129" s="131"/>
      <c r="BB129" s="131"/>
      <c r="BC129" s="131"/>
      <c r="BD129" s="131"/>
      <c r="BE129" s="131"/>
      <c r="BF129" s="131"/>
      <c r="BG129" s="131"/>
      <c r="BH129" s="131"/>
      <c r="BI129" s="131"/>
      <c r="BJ129" s="131"/>
      <c r="BK129" s="128"/>
      <c r="BL129" s="131"/>
      <c r="BM129" s="131"/>
      <c r="BN129" s="131"/>
      <c r="BO129" s="131"/>
      <c r="BP129" s="133"/>
      <c r="BQ129" s="131"/>
      <c r="BR129" s="131"/>
      <c r="BS129" s="131"/>
      <c r="BT129" s="131"/>
      <c r="BU129" s="131"/>
      <c r="BV129" s="131"/>
      <c r="BW129" s="133"/>
      <c r="BX129" s="128" t="n">
        <v>8</v>
      </c>
      <c r="BY129" s="128" t="n">
        <v>1</v>
      </c>
      <c r="BZ129" s="131" t="s">
        <v>441</v>
      </c>
      <c r="CA129" s="131" t="s">
        <v>442</v>
      </c>
      <c r="CB129" s="131" t="s">
        <v>469</v>
      </c>
      <c r="CC129" s="131" t="s">
        <v>470</v>
      </c>
      <c r="CD129" s="131" t="s">
        <v>458</v>
      </c>
      <c r="CE129" s="134"/>
      <c r="CF129" s="128"/>
      <c r="CG129" s="131"/>
      <c r="CH129" s="131"/>
      <c r="CI129" s="131"/>
      <c r="CJ129" s="131"/>
      <c r="CK129" s="131"/>
      <c r="CL129" s="131"/>
      <c r="CM129" s="128"/>
      <c r="CN129" s="131"/>
      <c r="CO129" s="131"/>
      <c r="CP129" s="131"/>
      <c r="CQ129" s="131"/>
      <c r="CR129" s="131"/>
    </row>
    <row r="130" customFormat="false" ht="12.8" hidden="false" customHeight="false" outlineLevel="0" collapsed="false">
      <c r="A130" s="16" t="s">
        <v>311</v>
      </c>
      <c r="B130" s="17" t="s">
        <v>93</v>
      </c>
      <c r="C130" s="130" t="s">
        <v>325</v>
      </c>
      <c r="D130" s="17" t="s">
        <v>326</v>
      </c>
      <c r="E130" s="130" t="s">
        <v>84</v>
      </c>
      <c r="F130" s="17" t="s">
        <v>85</v>
      </c>
      <c r="G130" s="17" t="s">
        <v>496</v>
      </c>
      <c r="H130" s="130" t="s">
        <v>505</v>
      </c>
      <c r="I130" s="105" t="s">
        <v>498</v>
      </c>
      <c r="J130" s="39" t="n">
        <v>13000</v>
      </c>
      <c r="K130" s="37"/>
      <c r="L130" s="40"/>
      <c r="M130" s="41"/>
      <c r="N130" s="37"/>
      <c r="O130" s="44" t="n">
        <f aca="false">IF(Y130,1,0)+AB130+AI130+AP130+AW130+BD130+BK130+BR130+BY130+CF130+CM130</f>
        <v>0</v>
      </c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31"/>
      <c r="AP130" s="128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  <c r="BA130" s="131"/>
      <c r="BB130" s="131"/>
      <c r="BC130" s="131"/>
      <c r="BD130" s="131"/>
      <c r="BE130" s="131"/>
      <c r="BF130" s="131"/>
      <c r="BG130" s="131"/>
      <c r="BH130" s="131"/>
      <c r="BI130" s="131"/>
      <c r="BJ130" s="131"/>
      <c r="BK130" s="128"/>
      <c r="BL130" s="131"/>
      <c r="BM130" s="131"/>
      <c r="BN130" s="131"/>
      <c r="BO130" s="131"/>
      <c r="BP130" s="133"/>
      <c r="BQ130" s="131"/>
      <c r="BR130" s="131"/>
      <c r="BS130" s="131"/>
      <c r="BT130" s="131"/>
      <c r="BU130" s="131"/>
      <c r="BV130" s="131"/>
      <c r="BW130" s="133"/>
      <c r="BX130" s="131"/>
      <c r="BY130" s="128"/>
      <c r="BZ130" s="131"/>
      <c r="CA130" s="131"/>
      <c r="CB130" s="131"/>
      <c r="CC130" s="131"/>
      <c r="CD130" s="131"/>
      <c r="CE130" s="134"/>
      <c r="CF130" s="128"/>
      <c r="CG130" s="131"/>
      <c r="CH130" s="131"/>
      <c r="CI130" s="131"/>
      <c r="CJ130" s="131"/>
      <c r="CK130" s="131"/>
      <c r="CL130" s="131"/>
      <c r="CM130" s="128"/>
      <c r="CN130" s="131"/>
      <c r="CO130" s="131"/>
      <c r="CP130" s="131"/>
      <c r="CQ130" s="131"/>
      <c r="CR130" s="131"/>
    </row>
    <row r="131" customFormat="false" ht="12.8" hidden="false" customHeight="false" outlineLevel="0" collapsed="false">
      <c r="A131" s="16" t="s">
        <v>311</v>
      </c>
      <c r="B131" s="17" t="s">
        <v>93</v>
      </c>
      <c r="C131" s="130" t="s">
        <v>325</v>
      </c>
      <c r="D131" s="17" t="s">
        <v>326</v>
      </c>
      <c r="E131" s="130" t="s">
        <v>84</v>
      </c>
      <c r="F131" s="17" t="s">
        <v>85</v>
      </c>
      <c r="G131" s="17" t="s">
        <v>506</v>
      </c>
      <c r="H131" s="130" t="s">
        <v>497</v>
      </c>
      <c r="I131" s="105" t="s">
        <v>498</v>
      </c>
      <c r="J131" s="39" t="n">
        <v>13000</v>
      </c>
      <c r="K131" s="37"/>
      <c r="L131" s="40"/>
      <c r="M131" s="41" t="n">
        <v>0.35</v>
      </c>
      <c r="N131" s="37" t="n">
        <v>2</v>
      </c>
      <c r="O131" s="44" t="n">
        <f aca="false">IF(Y131,1,0)+AB131+AI131+AP131+AW131+BD131+BK131+BR131+BY131+CF131+CM131</f>
        <v>0</v>
      </c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31"/>
      <c r="AP131" s="128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  <c r="BA131" s="131"/>
      <c r="BB131" s="131"/>
      <c r="BC131" s="131"/>
      <c r="BD131" s="131"/>
      <c r="BE131" s="131"/>
      <c r="BF131" s="131"/>
      <c r="BG131" s="131"/>
      <c r="BH131" s="131"/>
      <c r="BI131" s="131"/>
      <c r="BJ131" s="131"/>
      <c r="BK131" s="128"/>
      <c r="BL131" s="131"/>
      <c r="BM131" s="131"/>
      <c r="BN131" s="131"/>
      <c r="BO131" s="131"/>
      <c r="BP131" s="133"/>
      <c r="BQ131" s="131"/>
      <c r="BR131" s="131"/>
      <c r="BS131" s="131"/>
      <c r="BT131" s="131"/>
      <c r="BU131" s="131"/>
      <c r="BV131" s="131"/>
      <c r="BW131" s="133"/>
      <c r="BX131" s="131"/>
      <c r="BY131" s="128"/>
      <c r="BZ131" s="131"/>
      <c r="CA131" s="131"/>
      <c r="CB131" s="131"/>
      <c r="CC131" s="131"/>
      <c r="CD131" s="131"/>
      <c r="CE131" s="134"/>
      <c r="CF131" s="128"/>
      <c r="CG131" s="131"/>
      <c r="CH131" s="131"/>
      <c r="CI131" s="131"/>
      <c r="CJ131" s="131"/>
      <c r="CK131" s="131"/>
      <c r="CL131" s="131"/>
      <c r="CM131" s="128"/>
      <c r="CN131" s="131"/>
      <c r="CO131" s="131"/>
      <c r="CP131" s="131"/>
      <c r="CQ131" s="131"/>
      <c r="CR131" s="131"/>
    </row>
    <row r="132" customFormat="false" ht="12.8" hidden="false" customHeight="false" outlineLevel="0" collapsed="false">
      <c r="A132" s="16" t="s">
        <v>311</v>
      </c>
      <c r="B132" s="17" t="s">
        <v>93</v>
      </c>
      <c r="C132" s="130" t="s">
        <v>325</v>
      </c>
      <c r="D132" s="17" t="s">
        <v>326</v>
      </c>
      <c r="E132" s="130" t="s">
        <v>84</v>
      </c>
      <c r="F132" s="17" t="s">
        <v>85</v>
      </c>
      <c r="G132" s="17" t="s">
        <v>507</v>
      </c>
      <c r="H132" s="130" t="s">
        <v>502</v>
      </c>
      <c r="I132" s="105" t="s">
        <v>498</v>
      </c>
      <c r="J132" s="39" t="n">
        <v>13000</v>
      </c>
      <c r="K132" s="37"/>
      <c r="L132" s="40" t="n">
        <v>250</v>
      </c>
      <c r="M132" s="41"/>
      <c r="N132" s="37"/>
      <c r="O132" s="44" t="n">
        <f aca="false">IF(Y132,1,0)+AB132+AI132+AP132+AW132+BD132+BK132+BR132+BY132+CF132+CM132</f>
        <v>0</v>
      </c>
      <c r="P132" s="41" t="n">
        <v>-0.1</v>
      </c>
      <c r="Q132" s="37"/>
      <c r="R132" s="37"/>
      <c r="S132" s="37"/>
      <c r="T132" s="41" t="n">
        <v>-0.05</v>
      </c>
      <c r="U132" s="41"/>
      <c r="V132" s="41"/>
      <c r="W132" s="41"/>
      <c r="X132" s="41"/>
      <c r="Y132" s="41"/>
      <c r="Z132" s="41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31"/>
      <c r="AP132" s="128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  <c r="BA132" s="131"/>
      <c r="BB132" s="131"/>
      <c r="BC132" s="131"/>
      <c r="BD132" s="131"/>
      <c r="BE132" s="131"/>
      <c r="BF132" s="131"/>
      <c r="BG132" s="131"/>
      <c r="BH132" s="131"/>
      <c r="BI132" s="131"/>
      <c r="BJ132" s="131"/>
      <c r="BK132" s="128"/>
      <c r="BL132" s="131"/>
      <c r="BM132" s="131"/>
      <c r="BN132" s="131"/>
      <c r="BO132" s="131"/>
      <c r="BP132" s="133"/>
      <c r="BQ132" s="131"/>
      <c r="BR132" s="131"/>
      <c r="BS132" s="131"/>
      <c r="BT132" s="131"/>
      <c r="BU132" s="131"/>
      <c r="BV132" s="131"/>
      <c r="BW132" s="133"/>
      <c r="BX132" s="131"/>
      <c r="BY132" s="128"/>
      <c r="BZ132" s="131"/>
      <c r="CA132" s="131"/>
      <c r="CB132" s="131"/>
      <c r="CC132" s="131"/>
      <c r="CD132" s="131"/>
      <c r="CE132" s="134"/>
      <c r="CF132" s="128"/>
      <c r="CG132" s="131"/>
      <c r="CH132" s="131"/>
      <c r="CI132" s="131"/>
      <c r="CJ132" s="131"/>
      <c r="CK132" s="131"/>
      <c r="CL132" s="131"/>
      <c r="CM132" s="128"/>
      <c r="CN132" s="131"/>
      <c r="CO132" s="131"/>
      <c r="CP132" s="131"/>
      <c r="CQ132" s="131"/>
      <c r="CR132" s="131"/>
    </row>
    <row r="133" customFormat="false" ht="12.8" hidden="false" customHeight="false" outlineLevel="0" collapsed="false">
      <c r="A133" s="32" t="s">
        <v>311</v>
      </c>
      <c r="B133" s="33" t="s">
        <v>113</v>
      </c>
      <c r="C133" s="33" t="s">
        <v>315</v>
      </c>
      <c r="D133" s="33" t="s">
        <v>316</v>
      </c>
      <c r="E133" s="34" t="s">
        <v>84</v>
      </c>
      <c r="F133" s="35" t="s">
        <v>85</v>
      </c>
      <c r="G133" s="130"/>
      <c r="H133" s="130"/>
      <c r="I133" s="39"/>
      <c r="J133" s="39" t="n">
        <v>13000</v>
      </c>
      <c r="K133" s="37" t="n">
        <v>121350</v>
      </c>
      <c r="L133" s="40" t="n">
        <v>120</v>
      </c>
      <c r="M133" s="41" t="n">
        <v>0.15</v>
      </c>
      <c r="N133" s="37" t="n">
        <v>6</v>
      </c>
      <c r="O133" s="44" t="n">
        <f aca="false">IF(Y133,1,0)+AB133+AI133+AP133+AW133+BD133+BK133+BR133+BY133+CF133+CM133</f>
        <v>0</v>
      </c>
      <c r="P133" s="41"/>
      <c r="Q133" s="37"/>
      <c r="R133" s="37"/>
      <c r="S133" s="37"/>
      <c r="T133" s="41"/>
      <c r="U133" s="41"/>
      <c r="V133" s="41"/>
      <c r="W133" s="41"/>
      <c r="X133" s="105" t="s">
        <v>503</v>
      </c>
      <c r="Y133" s="37" t="n">
        <v>6</v>
      </c>
      <c r="Z133" s="105" t="s">
        <v>504</v>
      </c>
      <c r="AA133" s="128" t="n">
        <v>8</v>
      </c>
      <c r="AB133" s="128" t="n">
        <v>2</v>
      </c>
      <c r="AC133" s="131" t="s">
        <v>390</v>
      </c>
      <c r="AD133" s="131" t="s">
        <v>391</v>
      </c>
      <c r="AE133" s="131" t="s">
        <v>383</v>
      </c>
      <c r="AF133" s="131" t="s">
        <v>384</v>
      </c>
      <c r="AG133" s="131" t="s">
        <v>399</v>
      </c>
      <c r="AH133" s="130" t="s">
        <v>490</v>
      </c>
      <c r="AI133" s="128" t="n">
        <v>2</v>
      </c>
      <c r="AJ133" s="130" t="s">
        <v>491</v>
      </c>
      <c r="AK133" s="130" t="s">
        <v>492</v>
      </c>
      <c r="AL133" s="130" t="s">
        <v>493</v>
      </c>
      <c r="AM133" s="130" t="s">
        <v>494</v>
      </c>
      <c r="AN133" s="130" t="s">
        <v>495</v>
      </c>
      <c r="AO133" s="128" t="n">
        <v>8</v>
      </c>
      <c r="AP133" s="128" t="n">
        <v>2</v>
      </c>
      <c r="AQ133" s="131" t="s">
        <v>390</v>
      </c>
      <c r="AR133" s="131" t="s">
        <v>391</v>
      </c>
      <c r="AS133" s="131" t="s">
        <v>383</v>
      </c>
      <c r="AT133" s="131" t="s">
        <v>384</v>
      </c>
      <c r="AU133" s="131" t="s">
        <v>399</v>
      </c>
      <c r="AV133" s="131"/>
      <c r="AW133" s="100"/>
      <c r="AX133" s="131"/>
      <c r="AY133" s="131"/>
      <c r="AZ133" s="131"/>
      <c r="BA133" s="131"/>
      <c r="BB133" s="131"/>
      <c r="BC133" s="131"/>
      <c r="BD133" s="131"/>
      <c r="BE133" s="131"/>
      <c r="BF133" s="131"/>
      <c r="BG133" s="131"/>
      <c r="BH133" s="131"/>
      <c r="BI133" s="131"/>
      <c r="BJ133" s="131"/>
      <c r="BK133" s="128"/>
      <c r="BL133" s="131"/>
      <c r="BM133" s="131"/>
      <c r="BN133" s="131"/>
      <c r="BO133" s="131"/>
      <c r="BP133" s="133"/>
      <c r="BQ133" s="131"/>
      <c r="BR133" s="131"/>
      <c r="BS133" s="131"/>
      <c r="BT133" s="131"/>
      <c r="BU133" s="131"/>
      <c r="BV133" s="131"/>
      <c r="BW133" s="133"/>
      <c r="BX133" s="128" t="n">
        <v>8</v>
      </c>
      <c r="BY133" s="128" t="n">
        <v>1</v>
      </c>
      <c r="BZ133" s="131" t="s">
        <v>441</v>
      </c>
      <c r="CA133" s="131" t="s">
        <v>442</v>
      </c>
      <c r="CB133" s="131" t="s">
        <v>469</v>
      </c>
      <c r="CC133" s="131" t="s">
        <v>470</v>
      </c>
      <c r="CD133" s="131" t="s">
        <v>458</v>
      </c>
      <c r="CE133" s="134"/>
      <c r="CF133" s="128"/>
      <c r="CG133" s="131"/>
      <c r="CH133" s="131"/>
      <c r="CI133" s="131"/>
      <c r="CJ133" s="131"/>
      <c r="CK133" s="131"/>
      <c r="CL133" s="131"/>
      <c r="CM133" s="128"/>
      <c r="CN133" s="131"/>
      <c r="CO133" s="131"/>
      <c r="CP133" s="131"/>
      <c r="CQ133" s="131"/>
      <c r="CR133" s="131"/>
    </row>
    <row r="134" customFormat="false" ht="12.8" hidden="false" customHeight="false" outlineLevel="0" collapsed="false">
      <c r="A134" s="16" t="s">
        <v>80</v>
      </c>
      <c r="B134" s="17" t="s">
        <v>81</v>
      </c>
      <c r="C134" s="17" t="s">
        <v>82</v>
      </c>
      <c r="D134" s="17" t="s">
        <v>83</v>
      </c>
      <c r="E134" s="130" t="s">
        <v>84</v>
      </c>
      <c r="F134" s="17" t="s">
        <v>85</v>
      </c>
      <c r="G134" s="16"/>
      <c r="H134" s="16"/>
      <c r="I134" s="39"/>
      <c r="J134" s="39" t="n">
        <v>15000</v>
      </c>
      <c r="K134" s="37" t="n">
        <v>292890</v>
      </c>
      <c r="L134" s="40" t="n">
        <v>120</v>
      </c>
      <c r="M134" s="41" t="n">
        <v>0.15</v>
      </c>
      <c r="N134" s="37" t="n">
        <v>4</v>
      </c>
      <c r="O134" s="44" t="n">
        <f aca="false">IF(Y134,1,0)+AB134+AI134+AP134+AW134+BD134+BK134+BR134+BY134+CF134+CM134</f>
        <v>0</v>
      </c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128" t="n">
        <v>8</v>
      </c>
      <c r="AB134" s="128" t="n">
        <v>2</v>
      </c>
      <c r="AC134" s="131" t="s">
        <v>390</v>
      </c>
      <c r="AD134" s="131" t="s">
        <v>391</v>
      </c>
      <c r="AE134" s="131" t="s">
        <v>383</v>
      </c>
      <c r="AF134" s="131" t="s">
        <v>384</v>
      </c>
      <c r="AG134" s="131" t="s">
        <v>399</v>
      </c>
      <c r="AH134" s="130" t="s">
        <v>490</v>
      </c>
      <c r="AI134" s="128" t="n">
        <v>2</v>
      </c>
      <c r="AJ134" s="130" t="s">
        <v>491</v>
      </c>
      <c r="AK134" s="130" t="s">
        <v>492</v>
      </c>
      <c r="AL134" s="130" t="s">
        <v>493</v>
      </c>
      <c r="AM134" s="130" t="s">
        <v>494</v>
      </c>
      <c r="AN134" s="130" t="s">
        <v>495</v>
      </c>
      <c r="AO134" s="128" t="n">
        <v>8</v>
      </c>
      <c r="AP134" s="128" t="n">
        <v>1</v>
      </c>
      <c r="AQ134" s="131" t="s">
        <v>390</v>
      </c>
      <c r="AR134" s="131" t="s">
        <v>391</v>
      </c>
      <c r="AS134" s="131" t="s">
        <v>383</v>
      </c>
      <c r="AT134" s="131" t="s">
        <v>384</v>
      </c>
      <c r="AU134" s="131" t="s">
        <v>399</v>
      </c>
      <c r="AV134" s="128" t="n">
        <v>8</v>
      </c>
      <c r="AW134" s="128" t="n">
        <v>1</v>
      </c>
      <c r="AX134" s="131" t="s">
        <v>410</v>
      </c>
      <c r="AY134" s="131" t="s">
        <v>453</v>
      </c>
      <c r="AZ134" s="131" t="s">
        <v>467</v>
      </c>
      <c r="BA134" s="131" t="s">
        <v>468</v>
      </c>
      <c r="BB134" s="133" t="s">
        <v>380</v>
      </c>
      <c r="BC134" s="131"/>
      <c r="BD134" s="131"/>
      <c r="BE134" s="131"/>
      <c r="BF134" s="131"/>
      <c r="BG134" s="131"/>
      <c r="BH134" s="131"/>
      <c r="BI134" s="131"/>
      <c r="BJ134" s="131"/>
      <c r="BK134" s="128"/>
      <c r="BL134" s="131"/>
      <c r="BM134" s="131"/>
      <c r="BN134" s="131"/>
      <c r="BO134" s="131"/>
      <c r="BP134" s="133"/>
      <c r="BQ134" s="131"/>
      <c r="BR134" s="131"/>
      <c r="BS134" s="131"/>
      <c r="BT134" s="131"/>
      <c r="BU134" s="131"/>
      <c r="BV134" s="131"/>
      <c r="BW134" s="133"/>
      <c r="BX134" s="131"/>
      <c r="BY134" s="128"/>
      <c r="BZ134" s="131"/>
      <c r="CA134" s="131"/>
      <c r="CB134" s="131"/>
      <c r="CC134" s="131"/>
      <c r="CD134" s="131"/>
      <c r="CE134" s="134"/>
      <c r="CF134" s="128"/>
      <c r="CG134" s="131"/>
      <c r="CH134" s="131"/>
      <c r="CI134" s="131"/>
      <c r="CJ134" s="131"/>
      <c r="CK134" s="131"/>
      <c r="CL134" s="131"/>
      <c r="CM134" s="128"/>
      <c r="CN134" s="131"/>
      <c r="CO134" s="131"/>
      <c r="CP134" s="131"/>
      <c r="CQ134" s="131"/>
      <c r="CR134" s="131"/>
    </row>
    <row r="135" customFormat="false" ht="12.8" hidden="false" customHeight="false" outlineLevel="0" collapsed="false">
      <c r="A135" s="16" t="s">
        <v>80</v>
      </c>
      <c r="B135" s="17" t="s">
        <v>93</v>
      </c>
      <c r="C135" s="130" t="s">
        <v>94</v>
      </c>
      <c r="D135" s="17" t="s">
        <v>95</v>
      </c>
      <c r="E135" s="130" t="s">
        <v>84</v>
      </c>
      <c r="F135" s="17" t="s">
        <v>85</v>
      </c>
      <c r="G135" s="16"/>
      <c r="H135" s="16"/>
      <c r="I135" s="39"/>
      <c r="J135" s="39" t="n">
        <v>15000</v>
      </c>
      <c r="K135" s="37" t="n">
        <v>254740</v>
      </c>
      <c r="L135" s="40" t="n">
        <v>120</v>
      </c>
      <c r="M135" s="41" t="n">
        <v>0.15</v>
      </c>
      <c r="N135" s="37" t="n">
        <v>4</v>
      </c>
      <c r="O135" s="44" t="n">
        <f aca="false">IF(Y135,1,0)+AB135+AI135+AP135+AW135+BD135+BK135+BR135+BY135+CF135+CM135</f>
        <v>0</v>
      </c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128" t="n">
        <v>8</v>
      </c>
      <c r="AB135" s="128" t="n">
        <v>2</v>
      </c>
      <c r="AC135" s="131" t="s">
        <v>390</v>
      </c>
      <c r="AD135" s="131" t="s">
        <v>391</v>
      </c>
      <c r="AE135" s="131" t="s">
        <v>383</v>
      </c>
      <c r="AF135" s="131" t="s">
        <v>384</v>
      </c>
      <c r="AG135" s="131" t="s">
        <v>399</v>
      </c>
      <c r="AH135" s="130" t="s">
        <v>490</v>
      </c>
      <c r="AI135" s="128" t="n">
        <v>2</v>
      </c>
      <c r="AJ135" s="130" t="s">
        <v>491</v>
      </c>
      <c r="AK135" s="130" t="s">
        <v>492</v>
      </c>
      <c r="AL135" s="130" t="s">
        <v>493</v>
      </c>
      <c r="AM135" s="130" t="s">
        <v>494</v>
      </c>
      <c r="AN135" s="130" t="s">
        <v>495</v>
      </c>
      <c r="AO135" s="128" t="n">
        <v>8</v>
      </c>
      <c r="AP135" s="128" t="n">
        <v>1</v>
      </c>
      <c r="AQ135" s="131" t="s">
        <v>390</v>
      </c>
      <c r="AR135" s="131" t="s">
        <v>391</v>
      </c>
      <c r="AS135" s="131" t="s">
        <v>383</v>
      </c>
      <c r="AT135" s="131" t="s">
        <v>384</v>
      </c>
      <c r="AU135" s="131" t="s">
        <v>399</v>
      </c>
      <c r="AV135" s="128" t="n">
        <v>8</v>
      </c>
      <c r="AW135" s="128" t="n">
        <v>1</v>
      </c>
      <c r="AX135" s="131" t="s">
        <v>410</v>
      </c>
      <c r="AY135" s="131" t="s">
        <v>453</v>
      </c>
      <c r="AZ135" s="131" t="s">
        <v>467</v>
      </c>
      <c r="BA135" s="131" t="s">
        <v>468</v>
      </c>
      <c r="BB135" s="133" t="s">
        <v>380</v>
      </c>
      <c r="BC135" s="131"/>
      <c r="BD135" s="131"/>
      <c r="BE135" s="131"/>
      <c r="BF135" s="131"/>
      <c r="BG135" s="131"/>
      <c r="BH135" s="131"/>
      <c r="BI135" s="131"/>
      <c r="BJ135" s="131"/>
      <c r="BK135" s="128"/>
      <c r="BL135" s="131"/>
      <c r="BM135" s="131"/>
      <c r="BN135" s="131"/>
      <c r="BO135" s="131"/>
      <c r="BP135" s="133"/>
      <c r="BQ135" s="131"/>
      <c r="BR135" s="131"/>
      <c r="BS135" s="131"/>
      <c r="BT135" s="131"/>
      <c r="BU135" s="131"/>
      <c r="BV135" s="131"/>
      <c r="BW135" s="133"/>
      <c r="BX135" s="131"/>
      <c r="BY135" s="128"/>
      <c r="BZ135" s="131"/>
      <c r="CA135" s="131"/>
      <c r="CB135" s="131"/>
      <c r="CC135" s="131"/>
      <c r="CD135" s="131"/>
      <c r="CE135" s="134"/>
      <c r="CF135" s="128"/>
      <c r="CG135" s="131"/>
      <c r="CH135" s="131"/>
      <c r="CI135" s="131"/>
      <c r="CJ135" s="131"/>
      <c r="CK135" s="131"/>
      <c r="CL135" s="131"/>
      <c r="CM135" s="128"/>
      <c r="CN135" s="131"/>
      <c r="CO135" s="131"/>
      <c r="CP135" s="131"/>
      <c r="CQ135" s="131"/>
      <c r="CR135" s="131"/>
    </row>
    <row r="136" customFormat="false" ht="12.8" hidden="false" customHeight="false" outlineLevel="0" collapsed="false">
      <c r="A136" s="32" t="s">
        <v>308</v>
      </c>
      <c r="B136" s="33" t="s">
        <v>113</v>
      </c>
      <c r="C136" s="33" t="s">
        <v>309</v>
      </c>
      <c r="D136" s="33" t="s">
        <v>310</v>
      </c>
      <c r="E136" s="34" t="s">
        <v>84</v>
      </c>
      <c r="F136" s="35" t="s">
        <v>85</v>
      </c>
      <c r="G136" s="16"/>
      <c r="H136" s="16"/>
      <c r="I136" s="39"/>
      <c r="J136" s="39"/>
      <c r="K136" s="37"/>
      <c r="L136" s="40"/>
      <c r="M136" s="41"/>
      <c r="N136" s="37"/>
      <c r="O136" s="44" t="n">
        <f aca="false">IF(Y136,1,0)+AB136+AI136+AP136+AW136+BD136+BK136+BR136+BY136+CF136+CM136</f>
        <v>0</v>
      </c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31"/>
      <c r="AP136" s="128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  <c r="BA136" s="131"/>
      <c r="BB136" s="131"/>
      <c r="BC136" s="131"/>
      <c r="BD136" s="131"/>
      <c r="BE136" s="131"/>
      <c r="BF136" s="131"/>
      <c r="BG136" s="131"/>
      <c r="BH136" s="131"/>
      <c r="BI136" s="131"/>
      <c r="BJ136" s="131"/>
      <c r="BK136" s="128"/>
      <c r="BL136" s="131"/>
      <c r="BM136" s="131"/>
      <c r="BN136" s="131"/>
      <c r="BO136" s="131"/>
      <c r="BP136" s="133"/>
      <c r="BQ136" s="131"/>
      <c r="BR136" s="131"/>
      <c r="BS136" s="131"/>
      <c r="BT136" s="131"/>
      <c r="BU136" s="131"/>
      <c r="BV136" s="131"/>
      <c r="BW136" s="133"/>
      <c r="BX136" s="131"/>
      <c r="BY136" s="128"/>
      <c r="BZ136" s="131"/>
      <c r="CA136" s="131"/>
      <c r="CB136" s="131"/>
      <c r="CC136" s="131"/>
      <c r="CD136" s="131"/>
      <c r="CE136" s="134"/>
      <c r="CF136" s="128"/>
      <c r="CG136" s="131"/>
      <c r="CH136" s="131"/>
      <c r="CI136" s="131"/>
      <c r="CJ136" s="131"/>
      <c r="CK136" s="131"/>
      <c r="CL136" s="131"/>
      <c r="CM136" s="128"/>
      <c r="CN136" s="131"/>
      <c r="CO136" s="131"/>
      <c r="CP136" s="131"/>
      <c r="CQ136" s="131"/>
      <c r="CR136" s="131"/>
    </row>
    <row r="137" customFormat="false" ht="12.8" hidden="false" customHeight="false" outlineLevel="0" collapsed="false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1"/>
      <c r="M137" s="102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0"/>
      <c r="BA137" s="100"/>
      <c r="BB137" s="100"/>
      <c r="BC137" s="100"/>
      <c r="BD137" s="100"/>
      <c r="BE137" s="100"/>
      <c r="BF137" s="100"/>
      <c r="BG137" s="100"/>
      <c r="BH137" s="100"/>
      <c r="BI137" s="100"/>
      <c r="BJ137" s="100"/>
      <c r="BK137" s="100"/>
      <c r="BL137" s="100"/>
      <c r="BM137" s="100"/>
      <c r="BN137" s="100"/>
      <c r="BO137" s="100"/>
      <c r="BP137" s="100"/>
      <c r="BQ137" s="100"/>
      <c r="BR137" s="100"/>
      <c r="BS137" s="100"/>
      <c r="BT137" s="100"/>
      <c r="BU137" s="100"/>
      <c r="BV137" s="100"/>
      <c r="BW137" s="100"/>
      <c r="BX137" s="100"/>
      <c r="BY137" s="100"/>
      <c r="BZ137" s="100"/>
      <c r="CA137" s="100"/>
      <c r="CB137" s="100"/>
      <c r="CC137" s="100"/>
      <c r="CD137" s="100"/>
      <c r="CE137" s="100"/>
      <c r="CF137" s="100"/>
      <c r="CG137" s="100"/>
      <c r="CH137" s="100"/>
      <c r="CI137" s="100"/>
      <c r="CJ137" s="100"/>
      <c r="CK137" s="100"/>
      <c r="CL137" s="100"/>
      <c r="CM137" s="100"/>
      <c r="CN137" s="100"/>
      <c r="CO137" s="100"/>
      <c r="CP137" s="100"/>
      <c r="CQ137" s="100"/>
      <c r="CR137" s="100"/>
    </row>
    <row r="138" customFormat="false" ht="12.8" hidden="false" customHeight="false" outlineLevel="0" collapsed="false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1"/>
      <c r="M138" s="102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100"/>
      <c r="AW138" s="100"/>
      <c r="AX138" s="100"/>
      <c r="AY138" s="100"/>
      <c r="AZ138" s="100"/>
      <c r="BA138" s="100"/>
      <c r="BB138" s="100"/>
      <c r="BC138" s="100"/>
      <c r="BD138" s="100"/>
      <c r="BE138" s="100"/>
      <c r="BF138" s="100"/>
      <c r="BG138" s="100"/>
      <c r="BH138" s="100"/>
      <c r="BI138" s="100"/>
      <c r="BJ138" s="100"/>
      <c r="BK138" s="100"/>
      <c r="BL138" s="100"/>
      <c r="BM138" s="100"/>
      <c r="BN138" s="100"/>
      <c r="BO138" s="100"/>
      <c r="BP138" s="100"/>
      <c r="BQ138" s="100"/>
      <c r="BR138" s="100"/>
      <c r="BS138" s="100"/>
      <c r="BT138" s="100"/>
      <c r="BU138" s="100"/>
      <c r="BV138" s="100"/>
      <c r="BW138" s="100"/>
      <c r="BX138" s="100"/>
      <c r="BY138" s="100"/>
      <c r="BZ138" s="100"/>
      <c r="CA138" s="100"/>
      <c r="CB138" s="100"/>
      <c r="CC138" s="100"/>
      <c r="CD138" s="100"/>
      <c r="CE138" s="100"/>
      <c r="CF138" s="100"/>
      <c r="CG138" s="100"/>
      <c r="CH138" s="100"/>
      <c r="CI138" s="100"/>
      <c r="CJ138" s="100"/>
      <c r="CK138" s="100"/>
      <c r="CL138" s="100"/>
      <c r="CM138" s="100"/>
      <c r="CN138" s="100"/>
      <c r="CO138" s="100"/>
      <c r="CP138" s="100"/>
      <c r="CQ138" s="100"/>
      <c r="CR138" s="100"/>
    </row>
    <row r="139" customFormat="false" ht="12.8" hidden="false" customHeight="false" outlineLevel="0" collapsed="false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1"/>
      <c r="M139" s="102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  <c r="AW139" s="100"/>
      <c r="AX139" s="100"/>
      <c r="AY139" s="100"/>
      <c r="AZ139" s="100"/>
      <c r="BA139" s="100"/>
      <c r="BB139" s="100"/>
      <c r="BC139" s="100"/>
      <c r="BD139" s="100"/>
      <c r="BE139" s="100"/>
      <c r="BF139" s="100"/>
      <c r="BG139" s="100"/>
      <c r="BH139" s="100"/>
      <c r="BI139" s="100"/>
      <c r="BJ139" s="100"/>
      <c r="BK139" s="100"/>
      <c r="BL139" s="100"/>
      <c r="BM139" s="100"/>
      <c r="BN139" s="100"/>
      <c r="BO139" s="100"/>
      <c r="BP139" s="100"/>
      <c r="BQ139" s="100"/>
      <c r="BR139" s="100"/>
      <c r="BS139" s="100"/>
      <c r="BT139" s="100"/>
      <c r="BU139" s="100"/>
      <c r="BV139" s="100"/>
      <c r="BW139" s="100"/>
      <c r="BX139" s="100"/>
      <c r="BY139" s="100"/>
      <c r="BZ139" s="100"/>
      <c r="CA139" s="100"/>
      <c r="CB139" s="100"/>
      <c r="CC139" s="100"/>
      <c r="CD139" s="100"/>
      <c r="CE139" s="100"/>
      <c r="CF139" s="100"/>
      <c r="CG139" s="100"/>
      <c r="CH139" s="100"/>
      <c r="CI139" s="100"/>
      <c r="CJ139" s="100"/>
      <c r="CK139" s="100"/>
      <c r="CL139" s="100"/>
      <c r="CM139" s="100"/>
      <c r="CN139" s="100"/>
      <c r="CO139" s="100"/>
      <c r="CP139" s="100"/>
      <c r="CQ139" s="100"/>
      <c r="CR139" s="100"/>
    </row>
    <row r="140" customFormat="false" ht="12.8" hidden="false" customHeight="false" outlineLevel="0" collapsed="false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1"/>
      <c r="M140" s="102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  <c r="AW140" s="100"/>
      <c r="AX140" s="100"/>
      <c r="AY140" s="100"/>
      <c r="AZ140" s="100"/>
      <c r="BA140" s="100"/>
      <c r="BB140" s="100"/>
      <c r="BC140" s="100"/>
      <c r="BD140" s="100"/>
      <c r="BE140" s="100"/>
      <c r="BF140" s="100"/>
      <c r="BG140" s="100"/>
      <c r="BH140" s="100"/>
      <c r="BI140" s="100"/>
      <c r="BJ140" s="100"/>
      <c r="BK140" s="100"/>
      <c r="BL140" s="100"/>
      <c r="BM140" s="100"/>
      <c r="BN140" s="100"/>
      <c r="BO140" s="100"/>
      <c r="BP140" s="100"/>
      <c r="BQ140" s="100"/>
      <c r="BR140" s="100"/>
      <c r="BS140" s="100"/>
      <c r="BT140" s="100"/>
      <c r="BU140" s="100"/>
      <c r="BV140" s="100"/>
      <c r="BW140" s="100"/>
      <c r="BX140" s="100"/>
      <c r="BY140" s="100"/>
      <c r="BZ140" s="100"/>
      <c r="CA140" s="100"/>
      <c r="CB140" s="100"/>
      <c r="CC140" s="100"/>
      <c r="CD140" s="100"/>
      <c r="CE140" s="100"/>
      <c r="CF140" s="100"/>
      <c r="CG140" s="100"/>
      <c r="CH140" s="100"/>
      <c r="CI140" s="100"/>
      <c r="CJ140" s="100"/>
      <c r="CK140" s="100"/>
      <c r="CL140" s="100"/>
      <c r="CM140" s="100"/>
      <c r="CN140" s="100"/>
      <c r="CO140" s="100"/>
      <c r="CP140" s="100"/>
      <c r="CQ140" s="100"/>
      <c r="CR140" s="100"/>
    </row>
    <row r="141" customFormat="false" ht="12.8" hidden="false" customHeight="false" outlineLevel="0" collapsed="false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1"/>
      <c r="M141" s="102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  <c r="BF141" s="100"/>
      <c r="BG141" s="100"/>
      <c r="BH141" s="100"/>
      <c r="BI141" s="100"/>
      <c r="BJ141" s="100"/>
      <c r="BK141" s="100"/>
      <c r="BL141" s="100"/>
      <c r="BM141" s="100"/>
      <c r="BN141" s="100"/>
      <c r="BO141" s="100"/>
      <c r="BP141" s="100"/>
      <c r="BQ141" s="100"/>
      <c r="BR141" s="100"/>
      <c r="BS141" s="100"/>
      <c r="BT141" s="100"/>
      <c r="BU141" s="100"/>
      <c r="BV141" s="100"/>
      <c r="BW141" s="100"/>
      <c r="BX141" s="100"/>
      <c r="BY141" s="100"/>
      <c r="BZ141" s="100"/>
      <c r="CA141" s="100"/>
      <c r="CB141" s="100"/>
      <c r="CC141" s="100"/>
      <c r="CD141" s="100"/>
      <c r="CE141" s="100"/>
      <c r="CF141" s="100"/>
      <c r="CG141" s="100"/>
      <c r="CH141" s="100"/>
      <c r="CI141" s="100"/>
      <c r="CJ141" s="100"/>
      <c r="CK141" s="100"/>
      <c r="CL141" s="100"/>
      <c r="CM141" s="100"/>
      <c r="CN141" s="100"/>
      <c r="CO141" s="100"/>
      <c r="CP141" s="100"/>
      <c r="CQ141" s="100"/>
      <c r="CR141" s="100"/>
    </row>
    <row r="142" customFormat="false" ht="12.8" hidden="false" customHeight="false" outlineLevel="0" collapsed="false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1"/>
      <c r="M142" s="102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  <c r="BD142" s="100"/>
      <c r="BE142" s="100"/>
      <c r="BF142" s="100"/>
      <c r="BG142" s="100"/>
      <c r="BH142" s="100"/>
      <c r="BI142" s="100"/>
      <c r="BJ142" s="100"/>
      <c r="BK142" s="100"/>
      <c r="BL142" s="100"/>
      <c r="BM142" s="100"/>
      <c r="BN142" s="100"/>
      <c r="BO142" s="100"/>
      <c r="BP142" s="100"/>
      <c r="BQ142" s="100"/>
      <c r="BR142" s="100"/>
      <c r="BS142" s="100"/>
      <c r="BT142" s="100"/>
      <c r="BU142" s="100"/>
      <c r="BV142" s="100"/>
      <c r="BW142" s="100"/>
      <c r="BX142" s="100"/>
      <c r="BY142" s="100"/>
      <c r="BZ142" s="100"/>
      <c r="CA142" s="100"/>
      <c r="CB142" s="100"/>
      <c r="CC142" s="100"/>
      <c r="CD142" s="100"/>
      <c r="CE142" s="100"/>
      <c r="CF142" s="100"/>
      <c r="CG142" s="100"/>
      <c r="CH142" s="100"/>
      <c r="CI142" s="100"/>
      <c r="CJ142" s="100"/>
      <c r="CK142" s="100"/>
      <c r="CL142" s="100"/>
      <c r="CM142" s="100"/>
      <c r="CN142" s="100"/>
      <c r="CO142" s="100"/>
      <c r="CP142" s="100"/>
      <c r="CQ142" s="100"/>
      <c r="CR142" s="100"/>
    </row>
    <row r="143" customFormat="false" ht="12.8" hidden="false" customHeight="false" outlineLevel="0" collapsed="false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1"/>
      <c r="M143" s="102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  <c r="AW143" s="100"/>
      <c r="AX143" s="100"/>
      <c r="AY143" s="100"/>
      <c r="AZ143" s="100"/>
      <c r="BA143" s="100"/>
      <c r="BB143" s="100"/>
      <c r="BC143" s="100"/>
      <c r="BD143" s="100"/>
      <c r="BE143" s="100"/>
      <c r="BF143" s="100"/>
      <c r="BG143" s="100"/>
      <c r="BH143" s="100"/>
      <c r="BI143" s="100"/>
      <c r="BJ143" s="100"/>
      <c r="BK143" s="100"/>
      <c r="BL143" s="100"/>
      <c r="BM143" s="100"/>
      <c r="BN143" s="100"/>
      <c r="BO143" s="100"/>
      <c r="BP143" s="100"/>
      <c r="BQ143" s="100"/>
      <c r="BR143" s="100"/>
      <c r="BS143" s="100"/>
      <c r="BT143" s="100"/>
      <c r="BU143" s="100"/>
      <c r="BV143" s="100"/>
      <c r="BW143" s="100"/>
      <c r="BX143" s="100"/>
      <c r="BY143" s="100"/>
      <c r="BZ143" s="100"/>
      <c r="CA143" s="100"/>
      <c r="CB143" s="100"/>
      <c r="CC143" s="100"/>
      <c r="CD143" s="100"/>
      <c r="CE143" s="100"/>
      <c r="CF143" s="100"/>
      <c r="CG143" s="100"/>
      <c r="CH143" s="100"/>
      <c r="CI143" s="100"/>
      <c r="CJ143" s="100"/>
      <c r="CK143" s="100"/>
      <c r="CL143" s="100"/>
      <c r="CM143" s="100"/>
      <c r="CN143" s="100"/>
      <c r="CO143" s="100"/>
      <c r="CP143" s="100"/>
      <c r="CQ143" s="100"/>
      <c r="CR143" s="100"/>
    </row>
    <row r="144" customFormat="false" ht="12.8" hidden="false" customHeight="false" outlineLevel="0" collapsed="false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1"/>
      <c r="M144" s="102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  <c r="AW144" s="100"/>
      <c r="AX144" s="100"/>
      <c r="AY144" s="100"/>
      <c r="AZ144" s="100"/>
      <c r="BA144" s="100"/>
      <c r="BB144" s="100"/>
      <c r="BC144" s="100"/>
      <c r="BD144" s="100"/>
      <c r="BE144" s="100"/>
      <c r="BF144" s="100"/>
      <c r="BG144" s="100"/>
      <c r="BH144" s="100"/>
      <c r="BI144" s="100"/>
      <c r="BJ144" s="100"/>
      <c r="BK144" s="100"/>
      <c r="BL144" s="100"/>
      <c r="BM144" s="100"/>
      <c r="BN144" s="100"/>
      <c r="BO144" s="100"/>
      <c r="BP144" s="100"/>
      <c r="BQ144" s="100"/>
      <c r="BR144" s="100"/>
      <c r="BS144" s="100"/>
      <c r="BT144" s="100"/>
      <c r="BU144" s="100"/>
      <c r="BV144" s="100"/>
      <c r="BW144" s="100"/>
      <c r="BX144" s="100"/>
      <c r="BY144" s="100"/>
      <c r="BZ144" s="100"/>
      <c r="CA144" s="100"/>
      <c r="CB144" s="100"/>
      <c r="CC144" s="100"/>
      <c r="CD144" s="100"/>
      <c r="CE144" s="100"/>
      <c r="CF144" s="100"/>
      <c r="CG144" s="100"/>
      <c r="CH144" s="100"/>
      <c r="CI144" s="100"/>
      <c r="CJ144" s="100"/>
      <c r="CK144" s="100"/>
      <c r="CL144" s="100"/>
      <c r="CM144" s="100"/>
      <c r="CN144" s="100"/>
      <c r="CO144" s="100"/>
      <c r="CP144" s="100"/>
      <c r="CQ144" s="100"/>
      <c r="CR144" s="100"/>
    </row>
    <row r="145" customFormat="false" ht="12.8" hidden="false" customHeight="false" outlineLevel="0" collapsed="false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1"/>
      <c r="M145" s="102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  <c r="AW145" s="100"/>
      <c r="AX145" s="100"/>
      <c r="AY145" s="100"/>
      <c r="AZ145" s="100"/>
      <c r="BA145" s="100"/>
      <c r="BB145" s="100"/>
      <c r="BC145" s="100"/>
      <c r="BD145" s="100"/>
      <c r="BE145" s="100"/>
      <c r="BF145" s="100"/>
      <c r="BG145" s="100"/>
      <c r="BH145" s="100"/>
      <c r="BI145" s="100"/>
      <c r="BJ145" s="100"/>
      <c r="BK145" s="100"/>
      <c r="BL145" s="100"/>
      <c r="BM145" s="100"/>
      <c r="BN145" s="100"/>
      <c r="BO145" s="100"/>
      <c r="BP145" s="100"/>
      <c r="BQ145" s="100"/>
      <c r="BR145" s="100"/>
      <c r="BS145" s="100"/>
      <c r="BT145" s="100"/>
      <c r="BU145" s="100"/>
      <c r="BV145" s="100"/>
      <c r="BW145" s="100"/>
      <c r="BX145" s="100"/>
      <c r="BY145" s="100"/>
      <c r="BZ145" s="100"/>
      <c r="CA145" s="100"/>
      <c r="CB145" s="100"/>
      <c r="CC145" s="100"/>
      <c r="CD145" s="100"/>
      <c r="CE145" s="100"/>
      <c r="CF145" s="100"/>
      <c r="CG145" s="100"/>
      <c r="CH145" s="100"/>
      <c r="CI145" s="100"/>
      <c r="CJ145" s="100"/>
      <c r="CK145" s="100"/>
      <c r="CL145" s="100"/>
      <c r="CM145" s="100"/>
      <c r="CN145" s="100"/>
      <c r="CO145" s="100"/>
      <c r="CP145" s="100"/>
      <c r="CQ145" s="100"/>
      <c r="CR145" s="100"/>
    </row>
    <row r="146" customFormat="false" ht="12.8" hidden="false" customHeight="false" outlineLevel="0" collapsed="false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1"/>
      <c r="M146" s="102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100"/>
      <c r="AW146" s="100"/>
      <c r="AX146" s="100"/>
      <c r="AY146" s="100"/>
      <c r="AZ146" s="100"/>
      <c r="BA146" s="100"/>
      <c r="BB146" s="100"/>
      <c r="BC146" s="100"/>
      <c r="BD146" s="100"/>
      <c r="BE146" s="100"/>
      <c r="BF146" s="100"/>
      <c r="BG146" s="100"/>
      <c r="BH146" s="100"/>
      <c r="BI146" s="100"/>
      <c r="BJ146" s="100"/>
      <c r="BK146" s="100"/>
      <c r="BL146" s="100"/>
      <c r="BM146" s="100"/>
      <c r="BN146" s="100"/>
      <c r="BO146" s="100"/>
      <c r="BP146" s="100"/>
      <c r="BQ146" s="100"/>
      <c r="BR146" s="100"/>
      <c r="BS146" s="100"/>
      <c r="BT146" s="100"/>
      <c r="BU146" s="100"/>
      <c r="BV146" s="100"/>
      <c r="BW146" s="100"/>
      <c r="BX146" s="100"/>
      <c r="BY146" s="100"/>
      <c r="BZ146" s="100"/>
      <c r="CA146" s="100"/>
      <c r="CB146" s="100"/>
      <c r="CC146" s="100"/>
      <c r="CD146" s="100"/>
      <c r="CE146" s="100"/>
      <c r="CF146" s="100"/>
      <c r="CG146" s="100"/>
      <c r="CH146" s="100"/>
      <c r="CI146" s="100"/>
      <c r="CJ146" s="100"/>
      <c r="CK146" s="100"/>
      <c r="CL146" s="100"/>
      <c r="CM146" s="100"/>
      <c r="CN146" s="100"/>
      <c r="CO146" s="100"/>
      <c r="CP146" s="100"/>
      <c r="CQ146" s="100"/>
      <c r="CR146" s="100"/>
    </row>
    <row r="147" customFormat="false" ht="12.8" hidden="false" customHeight="false" outlineLevel="0" collapsed="false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1"/>
      <c r="M147" s="102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  <c r="BB147" s="100"/>
      <c r="BC147" s="100"/>
      <c r="BD147" s="100"/>
      <c r="BE147" s="100"/>
      <c r="BF147" s="100"/>
      <c r="BG147" s="100"/>
      <c r="BH147" s="100"/>
      <c r="BI147" s="100"/>
      <c r="BJ147" s="100"/>
      <c r="BK147" s="100"/>
      <c r="BL147" s="100"/>
      <c r="BM147" s="100"/>
      <c r="BN147" s="100"/>
      <c r="BO147" s="100"/>
      <c r="BP147" s="100"/>
      <c r="BQ147" s="100"/>
      <c r="BR147" s="100"/>
      <c r="BS147" s="100"/>
      <c r="BT147" s="100"/>
      <c r="BU147" s="100"/>
      <c r="BV147" s="100"/>
      <c r="BW147" s="100"/>
      <c r="BX147" s="100"/>
      <c r="BY147" s="100"/>
      <c r="BZ147" s="100"/>
      <c r="CA147" s="100"/>
      <c r="CB147" s="100"/>
      <c r="CC147" s="100"/>
      <c r="CD147" s="100"/>
      <c r="CE147" s="100"/>
      <c r="CF147" s="100"/>
      <c r="CG147" s="100"/>
      <c r="CH147" s="100"/>
      <c r="CI147" s="100"/>
      <c r="CJ147" s="100"/>
      <c r="CK147" s="100"/>
      <c r="CL147" s="100"/>
      <c r="CM147" s="100"/>
      <c r="CN147" s="100"/>
      <c r="CO147" s="100"/>
      <c r="CP147" s="100"/>
      <c r="CQ147" s="100"/>
      <c r="CR147" s="100"/>
    </row>
    <row r="148" customFormat="false" ht="12.8" hidden="false" customHeight="false" outlineLevel="0" collapsed="false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1"/>
      <c r="M148" s="102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  <c r="AW148" s="100"/>
      <c r="AX148" s="100"/>
      <c r="AY148" s="100"/>
      <c r="AZ148" s="100"/>
      <c r="BA148" s="100"/>
      <c r="BB148" s="100"/>
      <c r="BC148" s="100"/>
      <c r="BD148" s="100"/>
      <c r="BE148" s="100"/>
      <c r="BF148" s="100"/>
      <c r="BG148" s="100"/>
      <c r="BH148" s="100"/>
      <c r="BI148" s="100"/>
      <c r="BJ148" s="100"/>
      <c r="BK148" s="100"/>
      <c r="BL148" s="100"/>
      <c r="BM148" s="100"/>
      <c r="BN148" s="100"/>
      <c r="BO148" s="100"/>
      <c r="BP148" s="100"/>
      <c r="BQ148" s="100"/>
      <c r="BR148" s="100"/>
      <c r="BS148" s="100"/>
      <c r="BT148" s="100"/>
      <c r="BU148" s="100"/>
      <c r="BV148" s="100"/>
      <c r="BW148" s="100"/>
      <c r="BX148" s="100"/>
      <c r="BY148" s="100"/>
      <c r="BZ148" s="100"/>
      <c r="CA148" s="100"/>
      <c r="CB148" s="100"/>
      <c r="CC148" s="100"/>
      <c r="CD148" s="100"/>
      <c r="CE148" s="100"/>
      <c r="CF148" s="100"/>
      <c r="CG148" s="100"/>
      <c r="CH148" s="100"/>
      <c r="CI148" s="100"/>
      <c r="CJ148" s="100"/>
      <c r="CK148" s="100"/>
      <c r="CL148" s="100"/>
      <c r="CM148" s="100"/>
      <c r="CN148" s="100"/>
      <c r="CO148" s="100"/>
      <c r="CP148" s="100"/>
      <c r="CQ148" s="100"/>
      <c r="CR148" s="100"/>
    </row>
    <row r="149" customFormat="false" ht="12.8" hidden="false" customHeight="false" outlineLevel="0" collapsed="false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1"/>
      <c r="M149" s="102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  <c r="AW149" s="100"/>
      <c r="AX149" s="100"/>
      <c r="AY149" s="100"/>
      <c r="AZ149" s="100"/>
      <c r="BA149" s="100"/>
      <c r="BB149" s="100"/>
      <c r="BC149" s="100"/>
      <c r="BD149" s="100"/>
      <c r="BE149" s="100"/>
      <c r="BF149" s="100"/>
      <c r="BG149" s="100"/>
      <c r="BH149" s="100"/>
      <c r="BI149" s="100"/>
      <c r="BJ149" s="100"/>
      <c r="BK149" s="100"/>
      <c r="BL149" s="100"/>
      <c r="BM149" s="100"/>
      <c r="BN149" s="100"/>
      <c r="BO149" s="100"/>
      <c r="BP149" s="100"/>
      <c r="BQ149" s="100"/>
      <c r="BR149" s="100"/>
      <c r="BS149" s="100"/>
      <c r="BT149" s="100"/>
      <c r="BU149" s="100"/>
      <c r="BV149" s="100"/>
      <c r="BW149" s="100"/>
      <c r="BX149" s="100"/>
      <c r="BY149" s="100"/>
      <c r="BZ149" s="100"/>
      <c r="CA149" s="100"/>
      <c r="CB149" s="100"/>
      <c r="CC149" s="100"/>
      <c r="CD149" s="100"/>
      <c r="CE149" s="100"/>
      <c r="CF149" s="100"/>
      <c r="CG149" s="100"/>
      <c r="CH149" s="100"/>
      <c r="CI149" s="100"/>
      <c r="CJ149" s="100"/>
      <c r="CK149" s="100"/>
      <c r="CL149" s="100"/>
      <c r="CM149" s="100"/>
      <c r="CN149" s="100"/>
      <c r="CO149" s="100"/>
      <c r="CP149" s="100"/>
      <c r="CQ149" s="100"/>
      <c r="CR149" s="100"/>
    </row>
    <row r="150" customFormat="false" ht="12.8" hidden="false" customHeight="false" outlineLevel="0" collapsed="false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1"/>
      <c r="M150" s="102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  <c r="AW150" s="100"/>
      <c r="AX150" s="100"/>
      <c r="AY150" s="100"/>
      <c r="AZ150" s="100"/>
      <c r="BA150" s="100"/>
      <c r="BB150" s="100"/>
      <c r="BC150" s="100"/>
      <c r="BD150" s="100"/>
      <c r="BE150" s="100"/>
      <c r="BF150" s="100"/>
      <c r="BG150" s="100"/>
      <c r="BH150" s="100"/>
      <c r="BI150" s="100"/>
      <c r="BJ150" s="100"/>
      <c r="BK150" s="100"/>
      <c r="BL150" s="100"/>
      <c r="BM150" s="100"/>
      <c r="BN150" s="100"/>
      <c r="BO150" s="100"/>
      <c r="BP150" s="100"/>
      <c r="BQ150" s="100"/>
      <c r="BR150" s="100"/>
      <c r="BS150" s="100"/>
      <c r="BT150" s="100"/>
      <c r="BU150" s="100"/>
      <c r="BV150" s="100"/>
      <c r="BW150" s="100"/>
      <c r="BX150" s="100"/>
      <c r="BY150" s="100"/>
      <c r="BZ150" s="100"/>
      <c r="CA150" s="100"/>
      <c r="CB150" s="100"/>
      <c r="CC150" s="100"/>
      <c r="CD150" s="100"/>
      <c r="CE150" s="100"/>
      <c r="CF150" s="100"/>
      <c r="CG150" s="100"/>
      <c r="CH150" s="100"/>
      <c r="CI150" s="100"/>
      <c r="CJ150" s="100"/>
      <c r="CK150" s="100"/>
      <c r="CL150" s="100"/>
      <c r="CM150" s="100"/>
      <c r="CN150" s="100"/>
      <c r="CO150" s="100"/>
      <c r="CP150" s="100"/>
      <c r="CQ150" s="100"/>
      <c r="CR150" s="100"/>
    </row>
    <row r="151" customFormat="false" ht="12.8" hidden="false" customHeight="false" outlineLevel="0" collapsed="false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1"/>
      <c r="M151" s="102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  <c r="AW151" s="100"/>
      <c r="AX151" s="100"/>
      <c r="AY151" s="100"/>
      <c r="AZ151" s="100"/>
      <c r="BA151" s="100"/>
      <c r="BB151" s="100"/>
      <c r="BC151" s="100"/>
      <c r="BD151" s="100"/>
      <c r="BE151" s="100"/>
      <c r="BF151" s="100"/>
      <c r="BG151" s="100"/>
      <c r="BH151" s="100"/>
      <c r="BI151" s="100"/>
      <c r="BJ151" s="100"/>
      <c r="BK151" s="100"/>
      <c r="BL151" s="100"/>
      <c r="BM151" s="100"/>
      <c r="BN151" s="100"/>
      <c r="BO151" s="100"/>
      <c r="BP151" s="100"/>
      <c r="BQ151" s="100"/>
      <c r="BR151" s="100"/>
      <c r="BS151" s="100"/>
      <c r="BT151" s="100"/>
      <c r="BU151" s="100"/>
      <c r="BV151" s="100"/>
      <c r="BW151" s="100"/>
      <c r="BX151" s="100"/>
      <c r="BY151" s="100"/>
      <c r="BZ151" s="100"/>
      <c r="CA151" s="100"/>
      <c r="CB151" s="100"/>
      <c r="CC151" s="100"/>
      <c r="CD151" s="100"/>
      <c r="CE151" s="100"/>
      <c r="CF151" s="100"/>
      <c r="CG151" s="100"/>
      <c r="CH151" s="100"/>
      <c r="CI151" s="100"/>
      <c r="CJ151" s="100"/>
      <c r="CK151" s="100"/>
      <c r="CL151" s="100"/>
      <c r="CM151" s="100"/>
      <c r="CN151" s="100"/>
      <c r="CO151" s="100"/>
      <c r="CP151" s="100"/>
      <c r="CQ151" s="100"/>
      <c r="CR151" s="100"/>
    </row>
    <row r="152" customFormat="false" ht="12.8" hidden="false" customHeight="false" outlineLevel="0" collapsed="false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1"/>
      <c r="M152" s="102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  <c r="AW152" s="100"/>
      <c r="AX152" s="100"/>
      <c r="AY152" s="100"/>
      <c r="AZ152" s="100"/>
      <c r="BA152" s="100"/>
      <c r="BB152" s="100"/>
      <c r="BC152" s="100"/>
      <c r="BD152" s="100"/>
      <c r="BE152" s="100"/>
      <c r="BF152" s="100"/>
      <c r="BG152" s="100"/>
      <c r="BH152" s="100"/>
      <c r="BI152" s="100"/>
      <c r="BJ152" s="100"/>
      <c r="BK152" s="100"/>
      <c r="BL152" s="100"/>
      <c r="BM152" s="100"/>
      <c r="BN152" s="100"/>
      <c r="BO152" s="100"/>
      <c r="BP152" s="100"/>
      <c r="BQ152" s="100"/>
      <c r="BR152" s="100"/>
      <c r="BS152" s="100"/>
      <c r="BT152" s="100"/>
      <c r="BU152" s="100"/>
      <c r="BV152" s="100"/>
      <c r="BW152" s="100"/>
      <c r="BX152" s="100"/>
      <c r="BY152" s="100"/>
      <c r="BZ152" s="100"/>
      <c r="CA152" s="100"/>
      <c r="CB152" s="100"/>
      <c r="CC152" s="100"/>
      <c r="CD152" s="100"/>
      <c r="CE152" s="100"/>
      <c r="CF152" s="100"/>
      <c r="CG152" s="100"/>
      <c r="CH152" s="100"/>
      <c r="CI152" s="100"/>
      <c r="CJ152" s="100"/>
      <c r="CK152" s="100"/>
      <c r="CL152" s="100"/>
      <c r="CM152" s="100"/>
      <c r="CN152" s="100"/>
      <c r="CO152" s="100"/>
      <c r="CP152" s="100"/>
      <c r="CQ152" s="100"/>
      <c r="CR152" s="100"/>
    </row>
    <row r="153" customFormat="false" ht="12.8" hidden="false" customHeight="false" outlineLevel="0" collapsed="false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1"/>
      <c r="M153" s="102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0"/>
      <c r="BA153" s="100"/>
      <c r="BB153" s="100"/>
      <c r="BC153" s="100"/>
      <c r="BD153" s="100"/>
      <c r="BE153" s="100"/>
      <c r="BF153" s="100"/>
      <c r="BG153" s="100"/>
      <c r="BH153" s="100"/>
      <c r="BI153" s="100"/>
      <c r="BJ153" s="100"/>
      <c r="BK153" s="100"/>
      <c r="BL153" s="100"/>
      <c r="BM153" s="100"/>
      <c r="BN153" s="100"/>
      <c r="BO153" s="100"/>
      <c r="BP153" s="100"/>
      <c r="BQ153" s="100"/>
      <c r="BR153" s="100"/>
      <c r="BS153" s="100"/>
      <c r="BT153" s="100"/>
      <c r="BU153" s="100"/>
      <c r="BV153" s="100"/>
      <c r="BW153" s="100"/>
      <c r="BX153" s="100"/>
      <c r="BY153" s="100"/>
      <c r="BZ153" s="100"/>
      <c r="CA153" s="100"/>
      <c r="CB153" s="100"/>
      <c r="CC153" s="100"/>
      <c r="CD153" s="100"/>
      <c r="CE153" s="100"/>
      <c r="CF153" s="100"/>
      <c r="CG153" s="100"/>
      <c r="CH153" s="100"/>
      <c r="CI153" s="100"/>
      <c r="CJ153" s="100"/>
      <c r="CK153" s="100"/>
      <c r="CL153" s="100"/>
      <c r="CM153" s="100"/>
      <c r="CN153" s="100"/>
      <c r="CO153" s="100"/>
      <c r="CP153" s="100"/>
      <c r="CQ153" s="100"/>
      <c r="CR153" s="100"/>
    </row>
    <row r="154" customFormat="false" ht="12.8" hidden="false" customHeight="false" outlineLevel="0" collapsed="false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1"/>
      <c r="M154" s="102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  <c r="AW154" s="100"/>
      <c r="AX154" s="100"/>
      <c r="AY154" s="100"/>
      <c r="AZ154" s="100"/>
      <c r="BA154" s="100"/>
      <c r="BB154" s="100"/>
      <c r="BC154" s="100"/>
      <c r="BD154" s="100"/>
      <c r="BE154" s="100"/>
      <c r="BF154" s="100"/>
      <c r="BG154" s="100"/>
      <c r="BH154" s="100"/>
      <c r="BI154" s="100"/>
      <c r="BJ154" s="100"/>
      <c r="BK154" s="100"/>
      <c r="BL154" s="100"/>
      <c r="BM154" s="100"/>
      <c r="BN154" s="100"/>
      <c r="BO154" s="100"/>
      <c r="BP154" s="100"/>
      <c r="BQ154" s="100"/>
      <c r="BR154" s="100"/>
      <c r="BS154" s="100"/>
      <c r="BT154" s="100"/>
      <c r="BU154" s="100"/>
      <c r="BV154" s="100"/>
      <c r="BW154" s="100"/>
      <c r="BX154" s="100"/>
      <c r="BY154" s="100"/>
      <c r="BZ154" s="100"/>
      <c r="CA154" s="100"/>
      <c r="CB154" s="100"/>
      <c r="CC154" s="100"/>
      <c r="CD154" s="100"/>
      <c r="CE154" s="100"/>
      <c r="CF154" s="100"/>
      <c r="CG154" s="100"/>
      <c r="CH154" s="100"/>
      <c r="CI154" s="100"/>
      <c r="CJ154" s="100"/>
      <c r="CK154" s="100"/>
      <c r="CL154" s="100"/>
      <c r="CM154" s="100"/>
      <c r="CN154" s="100"/>
      <c r="CO154" s="100"/>
      <c r="CP154" s="100"/>
      <c r="CQ154" s="100"/>
      <c r="CR154" s="100"/>
    </row>
    <row r="155" customFormat="false" ht="12.8" hidden="false" customHeight="false" outlineLevel="0" collapsed="false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1"/>
      <c r="M155" s="102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0"/>
      <c r="BK155" s="100"/>
      <c r="BL155" s="100"/>
      <c r="BM155" s="100"/>
      <c r="BN155" s="100"/>
      <c r="BO155" s="100"/>
      <c r="BP155" s="100"/>
      <c r="BQ155" s="100"/>
      <c r="BR155" s="100"/>
      <c r="BS155" s="100"/>
      <c r="BT155" s="100"/>
      <c r="BU155" s="100"/>
      <c r="BV155" s="100"/>
      <c r="BW155" s="100"/>
      <c r="BX155" s="100"/>
      <c r="BY155" s="100"/>
      <c r="BZ155" s="100"/>
      <c r="CA155" s="100"/>
      <c r="CB155" s="100"/>
      <c r="CC155" s="100"/>
      <c r="CD155" s="100"/>
      <c r="CE155" s="100"/>
      <c r="CF155" s="100"/>
      <c r="CG155" s="100"/>
      <c r="CH155" s="100"/>
      <c r="CI155" s="100"/>
      <c r="CJ155" s="100"/>
      <c r="CK155" s="100"/>
      <c r="CL155" s="100"/>
      <c r="CM155" s="100"/>
      <c r="CN155" s="100"/>
      <c r="CO155" s="100"/>
      <c r="CP155" s="100"/>
      <c r="CQ155" s="100"/>
      <c r="CR155" s="100"/>
    </row>
    <row r="156" customFormat="false" ht="12.8" hidden="false" customHeight="false" outlineLevel="0" collapsed="false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1"/>
      <c r="M156" s="102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  <c r="AW156" s="100"/>
      <c r="AX156" s="100"/>
      <c r="AY156" s="100"/>
      <c r="AZ156" s="100"/>
      <c r="BA156" s="100"/>
      <c r="BB156" s="100"/>
      <c r="BC156" s="100"/>
      <c r="BD156" s="100"/>
      <c r="BE156" s="100"/>
      <c r="BF156" s="100"/>
      <c r="BG156" s="100"/>
      <c r="BH156" s="100"/>
      <c r="BI156" s="100"/>
      <c r="BJ156" s="100"/>
      <c r="BK156" s="100"/>
      <c r="BL156" s="100"/>
      <c r="BM156" s="100"/>
      <c r="BN156" s="100"/>
      <c r="BO156" s="100"/>
      <c r="BP156" s="100"/>
      <c r="BQ156" s="100"/>
      <c r="BR156" s="100"/>
      <c r="BS156" s="100"/>
      <c r="BT156" s="100"/>
      <c r="BU156" s="100"/>
      <c r="BV156" s="100"/>
      <c r="BW156" s="100"/>
      <c r="BX156" s="100"/>
      <c r="BY156" s="100"/>
      <c r="BZ156" s="100"/>
      <c r="CA156" s="100"/>
      <c r="CB156" s="100"/>
      <c r="CC156" s="100"/>
      <c r="CD156" s="100"/>
      <c r="CE156" s="100"/>
      <c r="CF156" s="100"/>
      <c r="CG156" s="100"/>
      <c r="CH156" s="100"/>
      <c r="CI156" s="100"/>
      <c r="CJ156" s="100"/>
      <c r="CK156" s="100"/>
      <c r="CL156" s="100"/>
      <c r="CM156" s="100"/>
      <c r="CN156" s="100"/>
      <c r="CO156" s="100"/>
      <c r="CP156" s="100"/>
      <c r="CQ156" s="100"/>
      <c r="CR156" s="100"/>
    </row>
    <row r="157" customFormat="false" ht="12.8" hidden="false" customHeight="false" outlineLevel="0" collapsed="false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1"/>
      <c r="M157" s="102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0"/>
      <c r="AZ157" s="100"/>
      <c r="BA157" s="100"/>
      <c r="BB157" s="100"/>
      <c r="BC157" s="100"/>
      <c r="BD157" s="100"/>
      <c r="BE157" s="100"/>
      <c r="BF157" s="100"/>
      <c r="BG157" s="100"/>
      <c r="BH157" s="100"/>
      <c r="BI157" s="100"/>
      <c r="BJ157" s="100"/>
      <c r="BK157" s="100"/>
      <c r="BL157" s="100"/>
      <c r="BM157" s="100"/>
      <c r="BN157" s="100"/>
      <c r="BO157" s="100"/>
      <c r="BP157" s="100"/>
      <c r="BQ157" s="100"/>
      <c r="BR157" s="100"/>
      <c r="BS157" s="100"/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</row>
    <row r="158" customFormat="false" ht="12.8" hidden="false" customHeight="false" outlineLevel="0" collapsed="false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1"/>
      <c r="M158" s="102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  <c r="AW158" s="100"/>
      <c r="AX158" s="100"/>
      <c r="AY158" s="100"/>
      <c r="AZ158" s="100"/>
      <c r="BA158" s="100"/>
      <c r="BB158" s="100"/>
      <c r="BC158" s="100"/>
      <c r="BD158" s="100"/>
      <c r="BE158" s="100"/>
      <c r="BF158" s="100"/>
      <c r="BG158" s="100"/>
      <c r="BH158" s="100"/>
      <c r="BI158" s="100"/>
      <c r="BJ158" s="100"/>
      <c r="BK158" s="100"/>
      <c r="BL158" s="100"/>
      <c r="BM158" s="100"/>
      <c r="BN158" s="100"/>
      <c r="BO158" s="100"/>
      <c r="BP158" s="100"/>
      <c r="BQ158" s="100"/>
      <c r="BR158" s="100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</row>
    <row r="159" customFormat="false" ht="12.8" hidden="false" customHeight="false" outlineLevel="0" collapsed="false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1"/>
      <c r="M159" s="102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0"/>
      <c r="AZ159" s="100"/>
      <c r="BA159" s="100"/>
      <c r="BB159" s="100"/>
      <c r="BC159" s="100"/>
      <c r="BD159" s="100"/>
      <c r="BE159" s="100"/>
      <c r="BF159" s="100"/>
      <c r="BG159" s="100"/>
      <c r="BH159" s="100"/>
      <c r="BI159" s="100"/>
      <c r="BJ159" s="100"/>
      <c r="BK159" s="100"/>
      <c r="BL159" s="100"/>
      <c r="BM159" s="100"/>
      <c r="BN159" s="100"/>
      <c r="BO159" s="100"/>
      <c r="BP159" s="100"/>
      <c r="BQ159" s="100"/>
      <c r="BR159" s="100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</row>
    <row r="160" customFormat="false" ht="12.8" hidden="false" customHeight="false" outlineLevel="0" collapsed="false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1"/>
      <c r="M160" s="102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  <c r="AW160" s="100"/>
      <c r="AX160" s="100"/>
      <c r="AY160" s="100"/>
      <c r="AZ160" s="100"/>
      <c r="BA160" s="100"/>
      <c r="BB160" s="100"/>
      <c r="BC160" s="100"/>
      <c r="BD160" s="100"/>
      <c r="BE160" s="100"/>
      <c r="BF160" s="100"/>
      <c r="BG160" s="100"/>
      <c r="BH160" s="100"/>
      <c r="BI160" s="100"/>
      <c r="BJ160" s="100"/>
      <c r="BK160" s="100"/>
      <c r="BL160" s="100"/>
      <c r="BM160" s="100"/>
      <c r="BN160" s="100"/>
      <c r="BO160" s="100"/>
      <c r="BP160" s="100"/>
      <c r="BQ160" s="100"/>
      <c r="BR160" s="100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  <c r="CD160" s="100"/>
      <c r="CE160" s="10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</row>
    <row r="161" customFormat="false" ht="12.8" hidden="false" customHeight="false" outlineLevel="0" collapsed="false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1"/>
      <c r="M161" s="102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0"/>
      <c r="BA161" s="100"/>
      <c r="BB161" s="100"/>
      <c r="BC161" s="100"/>
      <c r="BD161" s="100"/>
      <c r="BE161" s="100"/>
      <c r="BF161" s="100"/>
      <c r="BG161" s="100"/>
      <c r="BH161" s="100"/>
      <c r="BI161" s="100"/>
      <c r="BJ161" s="100"/>
      <c r="BK161" s="100"/>
      <c r="BL161" s="100"/>
      <c r="BM161" s="100"/>
      <c r="BN161" s="100"/>
      <c r="BO161" s="100"/>
      <c r="BP161" s="100"/>
      <c r="BQ161" s="100"/>
      <c r="BR161" s="100"/>
      <c r="BS161" s="100"/>
      <c r="BT161" s="100"/>
      <c r="BU161" s="100"/>
      <c r="BV161" s="100"/>
      <c r="BW161" s="100"/>
      <c r="BX161" s="100"/>
      <c r="BY161" s="100"/>
      <c r="BZ161" s="100"/>
      <c r="CA161" s="100"/>
      <c r="CB161" s="100"/>
      <c r="CC161" s="100"/>
      <c r="CD161" s="100"/>
      <c r="CE161" s="100"/>
      <c r="CF161" s="100"/>
      <c r="CG161" s="100"/>
      <c r="CH161" s="100"/>
      <c r="CI161" s="100"/>
      <c r="CJ161" s="100"/>
      <c r="CK161" s="100"/>
      <c r="CL161" s="100"/>
      <c r="CM161" s="100"/>
      <c r="CN161" s="100"/>
      <c r="CO161" s="100"/>
      <c r="CP161" s="100"/>
      <c r="CQ161" s="100"/>
      <c r="CR161" s="100"/>
    </row>
    <row r="162" customFormat="false" ht="12.8" hidden="false" customHeight="false" outlineLevel="0" collapsed="false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1"/>
      <c r="M162" s="102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  <c r="BB162" s="100"/>
      <c r="BC162" s="100"/>
      <c r="BD162" s="100"/>
      <c r="BE162" s="100"/>
      <c r="BF162" s="100"/>
      <c r="BG162" s="100"/>
      <c r="BH162" s="100"/>
      <c r="BI162" s="100"/>
      <c r="BJ162" s="100"/>
      <c r="BK162" s="100"/>
      <c r="BL162" s="100"/>
      <c r="BM162" s="100"/>
      <c r="BN162" s="100"/>
      <c r="BO162" s="100"/>
      <c r="BP162" s="100"/>
      <c r="BQ162" s="100"/>
      <c r="BR162" s="100"/>
      <c r="BS162" s="100"/>
      <c r="BT162" s="100"/>
      <c r="BU162" s="100"/>
      <c r="BV162" s="100"/>
      <c r="BW162" s="100"/>
      <c r="BX162" s="100"/>
      <c r="BY162" s="100"/>
      <c r="BZ162" s="100"/>
      <c r="CA162" s="100"/>
      <c r="CB162" s="100"/>
      <c r="CC162" s="100"/>
      <c r="CD162" s="100"/>
      <c r="CE162" s="100"/>
      <c r="CF162" s="100"/>
      <c r="CG162" s="100"/>
      <c r="CH162" s="100"/>
      <c r="CI162" s="100"/>
      <c r="CJ162" s="100"/>
      <c r="CK162" s="100"/>
      <c r="CL162" s="100"/>
      <c r="CM162" s="100"/>
      <c r="CN162" s="100"/>
      <c r="CO162" s="100"/>
      <c r="CP162" s="100"/>
      <c r="CQ162" s="100"/>
      <c r="CR162" s="100"/>
    </row>
    <row r="163" customFormat="false" ht="12.8" hidden="false" customHeight="false" outlineLevel="0" collapsed="false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1"/>
      <c r="M163" s="102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0"/>
      <c r="BA163" s="100"/>
      <c r="BB163" s="100"/>
      <c r="BC163" s="100"/>
      <c r="BD163" s="100"/>
      <c r="BE163" s="100"/>
      <c r="BF163" s="100"/>
      <c r="BG163" s="100"/>
      <c r="BH163" s="100"/>
      <c r="BI163" s="100"/>
      <c r="BJ163" s="100"/>
      <c r="BK163" s="100"/>
      <c r="BL163" s="100"/>
      <c r="BM163" s="100"/>
      <c r="BN163" s="100"/>
      <c r="BO163" s="100"/>
      <c r="BP163" s="100"/>
      <c r="BQ163" s="100"/>
      <c r="BR163" s="100"/>
      <c r="BS163" s="100"/>
      <c r="BT163" s="100"/>
      <c r="BU163" s="100"/>
      <c r="BV163" s="100"/>
      <c r="BW163" s="100"/>
      <c r="BX163" s="100"/>
      <c r="BY163" s="100"/>
      <c r="BZ163" s="100"/>
      <c r="CA163" s="100"/>
      <c r="CB163" s="100"/>
      <c r="CC163" s="100"/>
      <c r="CD163" s="100"/>
      <c r="CE163" s="100"/>
      <c r="CF163" s="100"/>
      <c r="CG163" s="100"/>
      <c r="CH163" s="100"/>
      <c r="CI163" s="100"/>
      <c r="CJ163" s="100"/>
      <c r="CK163" s="100"/>
      <c r="CL163" s="100"/>
      <c r="CM163" s="100"/>
      <c r="CN163" s="100"/>
      <c r="CO163" s="100"/>
      <c r="CP163" s="100"/>
      <c r="CQ163" s="100"/>
      <c r="CR163" s="100"/>
    </row>
    <row r="164" customFormat="false" ht="12.8" hidden="false" customHeight="false" outlineLevel="0" collapsed="false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1"/>
      <c r="M164" s="102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  <c r="BB164" s="100"/>
      <c r="BC164" s="100"/>
      <c r="BD164" s="100"/>
      <c r="BE164" s="100"/>
      <c r="BF164" s="100"/>
      <c r="BG164" s="100"/>
      <c r="BH164" s="100"/>
      <c r="BI164" s="100"/>
      <c r="BJ164" s="100"/>
      <c r="BK164" s="100"/>
      <c r="BL164" s="100"/>
      <c r="BM164" s="100"/>
      <c r="BN164" s="100"/>
      <c r="BO164" s="100"/>
      <c r="BP164" s="100"/>
      <c r="BQ164" s="100"/>
      <c r="BR164" s="100"/>
      <c r="BS164" s="100"/>
      <c r="BT164" s="100"/>
      <c r="BU164" s="100"/>
      <c r="BV164" s="100"/>
      <c r="BW164" s="100"/>
      <c r="BX164" s="100"/>
      <c r="BY164" s="100"/>
      <c r="BZ164" s="100"/>
      <c r="CA164" s="100"/>
      <c r="CB164" s="100"/>
      <c r="CC164" s="100"/>
      <c r="CD164" s="100"/>
      <c r="CE164" s="100"/>
      <c r="CF164" s="100"/>
      <c r="CG164" s="100"/>
      <c r="CH164" s="100"/>
      <c r="CI164" s="100"/>
      <c r="CJ164" s="100"/>
      <c r="CK164" s="100"/>
      <c r="CL164" s="100"/>
      <c r="CM164" s="100"/>
      <c r="CN164" s="100"/>
      <c r="CO164" s="100"/>
      <c r="CP164" s="100"/>
      <c r="CQ164" s="100"/>
      <c r="CR164" s="100"/>
    </row>
    <row r="165" customFormat="false" ht="12.8" hidden="false" customHeight="false" outlineLevel="0" collapsed="false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1"/>
      <c r="M165" s="102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0"/>
      <c r="BA165" s="100"/>
      <c r="BB165" s="100"/>
      <c r="BC165" s="100"/>
      <c r="BD165" s="100"/>
      <c r="BE165" s="100"/>
      <c r="BF165" s="100"/>
      <c r="BG165" s="100"/>
      <c r="BH165" s="100"/>
      <c r="BI165" s="100"/>
      <c r="BJ165" s="100"/>
      <c r="BK165" s="100"/>
      <c r="BL165" s="100"/>
      <c r="BM165" s="100"/>
      <c r="BN165" s="100"/>
      <c r="BO165" s="100"/>
      <c r="BP165" s="100"/>
      <c r="BQ165" s="100"/>
      <c r="BR165" s="100"/>
      <c r="BS165" s="100"/>
      <c r="BT165" s="100"/>
      <c r="BU165" s="100"/>
      <c r="BV165" s="100"/>
      <c r="BW165" s="100"/>
      <c r="BX165" s="100"/>
      <c r="BY165" s="100"/>
      <c r="BZ165" s="100"/>
      <c r="CA165" s="100"/>
      <c r="CB165" s="100"/>
      <c r="CC165" s="100"/>
      <c r="CD165" s="100"/>
      <c r="CE165" s="100"/>
      <c r="CF165" s="100"/>
      <c r="CG165" s="100"/>
      <c r="CH165" s="100"/>
      <c r="CI165" s="100"/>
      <c r="CJ165" s="100"/>
      <c r="CK165" s="100"/>
      <c r="CL165" s="100"/>
      <c r="CM165" s="100"/>
      <c r="CN165" s="100"/>
      <c r="CO165" s="100"/>
      <c r="CP165" s="100"/>
      <c r="CQ165" s="100"/>
      <c r="CR165" s="100"/>
    </row>
    <row r="166" customFormat="false" ht="12.8" hidden="false" customHeight="false" outlineLevel="0" collapsed="false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1"/>
      <c r="M166" s="102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0"/>
      <c r="AZ166" s="100"/>
      <c r="BA166" s="100"/>
      <c r="BB166" s="100"/>
      <c r="BC166" s="100"/>
      <c r="BD166" s="100"/>
      <c r="BE166" s="100"/>
      <c r="BF166" s="100"/>
      <c r="BG166" s="100"/>
      <c r="BH166" s="100"/>
      <c r="BI166" s="100"/>
      <c r="BJ166" s="100"/>
      <c r="BK166" s="100"/>
      <c r="BL166" s="100"/>
      <c r="BM166" s="100"/>
      <c r="BN166" s="100"/>
      <c r="BO166" s="100"/>
      <c r="BP166" s="100"/>
      <c r="BQ166" s="100"/>
      <c r="BR166" s="100"/>
      <c r="BS166" s="100"/>
      <c r="BT166" s="100"/>
      <c r="BU166" s="100"/>
      <c r="BV166" s="100"/>
      <c r="BW166" s="100"/>
      <c r="BX166" s="100"/>
      <c r="BY166" s="100"/>
      <c r="BZ166" s="100"/>
      <c r="CA166" s="100"/>
      <c r="CB166" s="100"/>
      <c r="CC166" s="100"/>
      <c r="CD166" s="100"/>
      <c r="CE166" s="100"/>
      <c r="CF166" s="100"/>
      <c r="CG166" s="100"/>
      <c r="CH166" s="100"/>
      <c r="CI166" s="100"/>
      <c r="CJ166" s="100"/>
      <c r="CK166" s="100"/>
      <c r="CL166" s="100"/>
      <c r="CM166" s="100"/>
      <c r="CN166" s="100"/>
      <c r="CO166" s="100"/>
      <c r="CP166" s="100"/>
      <c r="CQ166" s="100"/>
      <c r="CR166" s="100"/>
    </row>
    <row r="167" customFormat="false" ht="12.8" hidden="false" customHeight="false" outlineLevel="0" collapsed="false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1"/>
      <c r="M167" s="102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0"/>
      <c r="BA167" s="100"/>
      <c r="BB167" s="100"/>
      <c r="BC167" s="100"/>
      <c r="BD167" s="100"/>
      <c r="BE167" s="100"/>
      <c r="BF167" s="100"/>
      <c r="BG167" s="100"/>
      <c r="BH167" s="100"/>
      <c r="BI167" s="100"/>
      <c r="BJ167" s="100"/>
      <c r="BK167" s="100"/>
      <c r="BL167" s="100"/>
      <c r="BM167" s="100"/>
      <c r="BN167" s="100"/>
      <c r="BO167" s="100"/>
      <c r="BP167" s="100"/>
      <c r="BQ167" s="100"/>
      <c r="BR167" s="100"/>
      <c r="BS167" s="100"/>
      <c r="BT167" s="100"/>
      <c r="BU167" s="100"/>
      <c r="BV167" s="100"/>
      <c r="BW167" s="100"/>
      <c r="BX167" s="100"/>
      <c r="BY167" s="100"/>
      <c r="BZ167" s="100"/>
      <c r="CA167" s="100"/>
      <c r="CB167" s="100"/>
      <c r="CC167" s="100"/>
      <c r="CD167" s="100"/>
      <c r="CE167" s="100"/>
      <c r="CF167" s="100"/>
      <c r="CG167" s="100"/>
      <c r="CH167" s="100"/>
      <c r="CI167" s="100"/>
      <c r="CJ167" s="100"/>
      <c r="CK167" s="100"/>
      <c r="CL167" s="100"/>
      <c r="CM167" s="100"/>
      <c r="CN167" s="100"/>
      <c r="CO167" s="100"/>
      <c r="CP167" s="100"/>
      <c r="CQ167" s="100"/>
      <c r="CR167" s="100"/>
    </row>
    <row r="168" customFormat="false" ht="12.8" hidden="false" customHeight="false" outlineLevel="0" collapsed="false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1"/>
      <c r="M168" s="102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  <c r="AW168" s="100"/>
      <c r="AX168" s="100"/>
      <c r="AY168" s="100"/>
      <c r="AZ168" s="100"/>
      <c r="BA168" s="100"/>
      <c r="BB168" s="100"/>
      <c r="BC168" s="100"/>
      <c r="BD168" s="100"/>
      <c r="BE168" s="100"/>
      <c r="BF168" s="100"/>
      <c r="BG168" s="100"/>
      <c r="BH168" s="100"/>
      <c r="BI168" s="100"/>
      <c r="BJ168" s="100"/>
      <c r="BK168" s="100"/>
      <c r="BL168" s="100"/>
      <c r="BM168" s="100"/>
      <c r="BN168" s="100"/>
      <c r="BO168" s="100"/>
      <c r="BP168" s="100"/>
      <c r="BQ168" s="100"/>
      <c r="BR168" s="100"/>
      <c r="BS168" s="100"/>
      <c r="BT168" s="100"/>
      <c r="BU168" s="100"/>
      <c r="BV168" s="100"/>
      <c r="BW168" s="100"/>
      <c r="BX168" s="100"/>
      <c r="BY168" s="100"/>
      <c r="BZ168" s="100"/>
      <c r="CA168" s="100"/>
      <c r="CB168" s="100"/>
      <c r="CC168" s="100"/>
      <c r="CD168" s="100"/>
      <c r="CE168" s="100"/>
      <c r="CF168" s="100"/>
      <c r="CG168" s="100"/>
      <c r="CH168" s="100"/>
      <c r="CI168" s="100"/>
      <c r="CJ168" s="100"/>
      <c r="CK168" s="100"/>
      <c r="CL168" s="100"/>
      <c r="CM168" s="100"/>
      <c r="CN168" s="100"/>
      <c r="CO168" s="100"/>
      <c r="CP168" s="100"/>
      <c r="CQ168" s="100"/>
      <c r="CR168" s="100"/>
    </row>
    <row r="169" customFormat="false" ht="12.8" hidden="false" customHeight="false" outlineLevel="0" collapsed="false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1"/>
      <c r="M169" s="102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0"/>
      <c r="AZ169" s="100"/>
      <c r="BA169" s="100"/>
      <c r="BB169" s="100"/>
      <c r="BC169" s="100"/>
      <c r="BD169" s="100"/>
      <c r="BE169" s="100"/>
      <c r="BF169" s="100"/>
      <c r="BG169" s="100"/>
      <c r="BH169" s="100"/>
      <c r="BI169" s="100"/>
      <c r="BJ169" s="100"/>
      <c r="BK169" s="100"/>
      <c r="BL169" s="100"/>
      <c r="BM169" s="100"/>
      <c r="BN169" s="100"/>
      <c r="BO169" s="100"/>
      <c r="BP169" s="100"/>
      <c r="BQ169" s="100"/>
      <c r="BR169" s="100"/>
      <c r="BS169" s="100"/>
      <c r="BT169" s="100"/>
      <c r="BU169" s="100"/>
      <c r="BV169" s="100"/>
      <c r="BW169" s="100"/>
      <c r="BX169" s="100"/>
      <c r="BY169" s="100"/>
      <c r="BZ169" s="100"/>
      <c r="CA169" s="100"/>
      <c r="CB169" s="100"/>
      <c r="CC169" s="100"/>
      <c r="CD169" s="100"/>
      <c r="CE169" s="100"/>
      <c r="CF169" s="100"/>
      <c r="CG169" s="100"/>
      <c r="CH169" s="100"/>
      <c r="CI169" s="100"/>
      <c r="CJ169" s="100"/>
      <c r="CK169" s="100"/>
      <c r="CL169" s="100"/>
      <c r="CM169" s="100"/>
      <c r="CN169" s="100"/>
      <c r="CO169" s="100"/>
      <c r="CP169" s="100"/>
      <c r="CQ169" s="100"/>
      <c r="CR169" s="100"/>
    </row>
    <row r="170" customFormat="false" ht="12.8" hidden="false" customHeight="false" outlineLevel="0" collapsed="false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1"/>
      <c r="M170" s="102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  <c r="AW170" s="100"/>
      <c r="AX170" s="100"/>
      <c r="AY170" s="100"/>
      <c r="AZ170" s="100"/>
      <c r="BA170" s="100"/>
      <c r="BB170" s="100"/>
      <c r="BC170" s="100"/>
      <c r="BD170" s="100"/>
      <c r="BE170" s="100"/>
      <c r="BF170" s="100"/>
      <c r="BG170" s="100"/>
      <c r="BH170" s="100"/>
      <c r="BI170" s="100"/>
      <c r="BJ170" s="100"/>
      <c r="BK170" s="100"/>
      <c r="BL170" s="100"/>
      <c r="BM170" s="100"/>
      <c r="BN170" s="100"/>
      <c r="BO170" s="100"/>
      <c r="BP170" s="100"/>
      <c r="BQ170" s="100"/>
      <c r="BR170" s="100"/>
      <c r="BS170" s="100"/>
      <c r="BT170" s="100"/>
      <c r="BU170" s="100"/>
      <c r="BV170" s="100"/>
      <c r="BW170" s="100"/>
      <c r="BX170" s="100"/>
      <c r="BY170" s="100"/>
      <c r="BZ170" s="100"/>
      <c r="CA170" s="100"/>
      <c r="CB170" s="100"/>
      <c r="CC170" s="100"/>
      <c r="CD170" s="100"/>
      <c r="CE170" s="100"/>
      <c r="CF170" s="100"/>
      <c r="CG170" s="100"/>
      <c r="CH170" s="100"/>
      <c r="CI170" s="100"/>
      <c r="CJ170" s="100"/>
      <c r="CK170" s="100"/>
      <c r="CL170" s="100"/>
      <c r="CM170" s="100"/>
      <c r="CN170" s="100"/>
      <c r="CO170" s="100"/>
      <c r="CP170" s="100"/>
      <c r="CQ170" s="100"/>
      <c r="CR170" s="100"/>
    </row>
    <row r="171" customFormat="false" ht="12.8" hidden="false" customHeight="false" outlineLevel="0" collapsed="false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1"/>
      <c r="M171" s="102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0"/>
      <c r="AZ171" s="100"/>
      <c r="BA171" s="100"/>
      <c r="BB171" s="100"/>
      <c r="BC171" s="100"/>
      <c r="BD171" s="100"/>
      <c r="BE171" s="100"/>
      <c r="BF171" s="100"/>
      <c r="BG171" s="100"/>
      <c r="BH171" s="100"/>
      <c r="BI171" s="100"/>
      <c r="BJ171" s="100"/>
      <c r="BK171" s="100"/>
      <c r="BL171" s="100"/>
      <c r="BM171" s="100"/>
      <c r="BN171" s="100"/>
      <c r="BO171" s="100"/>
      <c r="BP171" s="100"/>
      <c r="BQ171" s="100"/>
      <c r="BR171" s="100"/>
      <c r="BS171" s="100"/>
      <c r="BT171" s="100"/>
      <c r="BU171" s="100"/>
      <c r="BV171" s="100"/>
      <c r="BW171" s="100"/>
      <c r="BX171" s="100"/>
      <c r="BY171" s="100"/>
      <c r="BZ171" s="100"/>
      <c r="CA171" s="100"/>
      <c r="CB171" s="100"/>
      <c r="CC171" s="100"/>
      <c r="CD171" s="100"/>
      <c r="CE171" s="100"/>
      <c r="CF171" s="100"/>
      <c r="CG171" s="100"/>
      <c r="CH171" s="100"/>
      <c r="CI171" s="100"/>
      <c r="CJ171" s="100"/>
      <c r="CK171" s="100"/>
      <c r="CL171" s="100"/>
      <c r="CM171" s="100"/>
      <c r="CN171" s="100"/>
      <c r="CO171" s="100"/>
      <c r="CP171" s="100"/>
      <c r="CQ171" s="100"/>
      <c r="CR171" s="100"/>
    </row>
    <row r="172" customFormat="false" ht="12.8" hidden="false" customHeight="false" outlineLevel="0" collapsed="false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1"/>
      <c r="M172" s="102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0"/>
      <c r="BK172" s="100"/>
      <c r="BL172" s="100"/>
      <c r="BM172" s="100"/>
      <c r="BN172" s="100"/>
      <c r="BO172" s="100"/>
      <c r="BP172" s="100"/>
      <c r="BQ172" s="100"/>
      <c r="BR172" s="100"/>
      <c r="BS172" s="100"/>
      <c r="BT172" s="100"/>
      <c r="BU172" s="100"/>
      <c r="BV172" s="100"/>
      <c r="BW172" s="100"/>
      <c r="BX172" s="100"/>
      <c r="BY172" s="100"/>
      <c r="BZ172" s="100"/>
      <c r="CA172" s="100"/>
      <c r="CB172" s="100"/>
      <c r="CC172" s="100"/>
      <c r="CD172" s="100"/>
      <c r="CE172" s="100"/>
      <c r="CF172" s="100"/>
      <c r="CG172" s="100"/>
      <c r="CH172" s="100"/>
      <c r="CI172" s="100"/>
      <c r="CJ172" s="100"/>
      <c r="CK172" s="100"/>
      <c r="CL172" s="100"/>
      <c r="CM172" s="100"/>
      <c r="CN172" s="100"/>
      <c r="CO172" s="100"/>
      <c r="CP172" s="100"/>
      <c r="CQ172" s="100"/>
      <c r="CR172" s="100"/>
    </row>
    <row r="173" customFormat="false" ht="12.8" hidden="false" customHeight="false" outlineLevel="0" collapsed="false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1"/>
      <c r="M173" s="102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0"/>
      <c r="BA173" s="100"/>
      <c r="BB173" s="100"/>
      <c r="BC173" s="100"/>
      <c r="BD173" s="100"/>
      <c r="BE173" s="100"/>
      <c r="BF173" s="100"/>
      <c r="BG173" s="100"/>
      <c r="BH173" s="100"/>
      <c r="BI173" s="100"/>
      <c r="BJ173" s="100"/>
      <c r="BK173" s="100"/>
      <c r="BL173" s="100"/>
      <c r="BM173" s="100"/>
      <c r="BN173" s="100"/>
      <c r="BO173" s="100"/>
      <c r="BP173" s="100"/>
      <c r="BQ173" s="100"/>
      <c r="BR173" s="100"/>
      <c r="BS173" s="100"/>
      <c r="BT173" s="100"/>
      <c r="BU173" s="100"/>
      <c r="BV173" s="100"/>
      <c r="BW173" s="100"/>
      <c r="BX173" s="100"/>
      <c r="BY173" s="100"/>
      <c r="BZ173" s="100"/>
      <c r="CA173" s="100"/>
      <c r="CB173" s="100"/>
      <c r="CC173" s="100"/>
      <c r="CD173" s="100"/>
      <c r="CE173" s="100"/>
      <c r="CF173" s="100"/>
      <c r="CG173" s="100"/>
      <c r="CH173" s="100"/>
      <c r="CI173" s="100"/>
      <c r="CJ173" s="100"/>
      <c r="CK173" s="100"/>
      <c r="CL173" s="100"/>
      <c r="CM173" s="100"/>
      <c r="CN173" s="100"/>
      <c r="CO173" s="100"/>
      <c r="CP173" s="100"/>
      <c r="CQ173" s="100"/>
      <c r="CR173" s="100"/>
    </row>
    <row r="174" customFormat="false" ht="12.8" hidden="false" customHeight="false" outlineLevel="0" collapsed="false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1"/>
      <c r="M174" s="102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0"/>
      <c r="BK174" s="100"/>
      <c r="BL174" s="100"/>
      <c r="BM174" s="100"/>
      <c r="BN174" s="100"/>
      <c r="BO174" s="100"/>
      <c r="BP174" s="100"/>
      <c r="BQ174" s="100"/>
      <c r="BR174" s="100"/>
      <c r="BS174" s="100"/>
      <c r="BT174" s="100"/>
      <c r="BU174" s="100"/>
      <c r="BV174" s="100"/>
      <c r="BW174" s="100"/>
      <c r="BX174" s="100"/>
      <c r="BY174" s="100"/>
      <c r="BZ174" s="100"/>
      <c r="CA174" s="100"/>
      <c r="CB174" s="100"/>
      <c r="CC174" s="100"/>
      <c r="CD174" s="100"/>
      <c r="CE174" s="100"/>
      <c r="CF174" s="100"/>
      <c r="CG174" s="100"/>
      <c r="CH174" s="100"/>
      <c r="CI174" s="100"/>
      <c r="CJ174" s="100"/>
      <c r="CK174" s="100"/>
      <c r="CL174" s="100"/>
      <c r="CM174" s="100"/>
      <c r="CN174" s="100"/>
      <c r="CO174" s="100"/>
      <c r="CP174" s="100"/>
      <c r="CQ174" s="100"/>
      <c r="CR174" s="100"/>
    </row>
    <row r="175" customFormat="false" ht="12.8" hidden="false" customHeight="false" outlineLevel="0" collapsed="false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1"/>
      <c r="M175" s="102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  <c r="AW175" s="100"/>
      <c r="AX175" s="100"/>
      <c r="AY175" s="100"/>
      <c r="AZ175" s="100"/>
      <c r="BA175" s="100"/>
      <c r="BB175" s="100"/>
      <c r="BC175" s="100"/>
      <c r="BD175" s="100"/>
      <c r="BE175" s="100"/>
      <c r="BF175" s="100"/>
      <c r="BG175" s="100"/>
      <c r="BH175" s="100"/>
      <c r="BI175" s="100"/>
      <c r="BJ175" s="100"/>
      <c r="BK175" s="100"/>
      <c r="BL175" s="100"/>
      <c r="BM175" s="100"/>
      <c r="BN175" s="100"/>
      <c r="BO175" s="100"/>
      <c r="BP175" s="100"/>
      <c r="BQ175" s="100"/>
      <c r="BR175" s="100"/>
      <c r="BS175" s="100"/>
      <c r="BT175" s="100"/>
      <c r="BU175" s="100"/>
      <c r="BV175" s="100"/>
      <c r="BW175" s="100"/>
      <c r="BX175" s="100"/>
      <c r="BY175" s="100"/>
      <c r="BZ175" s="100"/>
      <c r="CA175" s="100"/>
      <c r="CB175" s="100"/>
      <c r="CC175" s="100"/>
      <c r="CD175" s="100"/>
      <c r="CE175" s="100"/>
      <c r="CF175" s="100"/>
      <c r="CG175" s="100"/>
      <c r="CH175" s="100"/>
      <c r="CI175" s="100"/>
      <c r="CJ175" s="100"/>
      <c r="CK175" s="100"/>
      <c r="CL175" s="100"/>
      <c r="CM175" s="100"/>
      <c r="CN175" s="100"/>
      <c r="CO175" s="100"/>
      <c r="CP175" s="100"/>
      <c r="CQ175" s="100"/>
      <c r="CR175" s="100"/>
    </row>
    <row r="176" customFormat="false" ht="12.8" hidden="false" customHeight="false" outlineLevel="0" collapsed="false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1"/>
      <c r="M176" s="102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  <c r="AW176" s="100"/>
      <c r="AX176" s="100"/>
      <c r="AY176" s="100"/>
      <c r="AZ176" s="100"/>
      <c r="BA176" s="100"/>
      <c r="BB176" s="100"/>
      <c r="BC176" s="100"/>
      <c r="BD176" s="100"/>
      <c r="BE176" s="100"/>
      <c r="BF176" s="100"/>
      <c r="BG176" s="100"/>
      <c r="BH176" s="100"/>
      <c r="BI176" s="100"/>
      <c r="BJ176" s="100"/>
      <c r="BK176" s="100"/>
      <c r="BL176" s="100"/>
      <c r="BM176" s="100"/>
      <c r="BN176" s="100"/>
      <c r="BO176" s="100"/>
      <c r="BP176" s="100"/>
      <c r="BQ176" s="100"/>
      <c r="BR176" s="100"/>
      <c r="BS176" s="100"/>
      <c r="BT176" s="100"/>
      <c r="BU176" s="100"/>
      <c r="BV176" s="100"/>
      <c r="BW176" s="100"/>
      <c r="BX176" s="100"/>
      <c r="BY176" s="100"/>
      <c r="BZ176" s="100"/>
      <c r="CA176" s="100"/>
      <c r="CB176" s="100"/>
      <c r="CC176" s="100"/>
      <c r="CD176" s="100"/>
      <c r="CE176" s="100"/>
      <c r="CF176" s="100"/>
      <c r="CG176" s="100"/>
      <c r="CH176" s="100"/>
      <c r="CI176" s="100"/>
      <c r="CJ176" s="100"/>
      <c r="CK176" s="100"/>
      <c r="CL176" s="100"/>
      <c r="CM176" s="100"/>
      <c r="CN176" s="100"/>
      <c r="CO176" s="100"/>
      <c r="CP176" s="100"/>
      <c r="CQ176" s="100"/>
      <c r="CR176" s="100"/>
    </row>
    <row r="177" customFormat="false" ht="12.8" hidden="false" customHeight="false" outlineLevel="0" collapsed="false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1"/>
      <c r="M177" s="102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  <c r="AW177" s="100"/>
      <c r="AX177" s="100"/>
      <c r="AY177" s="100"/>
      <c r="AZ177" s="100"/>
      <c r="BA177" s="100"/>
      <c r="BB177" s="100"/>
      <c r="BC177" s="100"/>
      <c r="BD177" s="100"/>
      <c r="BE177" s="100"/>
      <c r="BF177" s="100"/>
      <c r="BG177" s="100"/>
      <c r="BH177" s="100"/>
      <c r="BI177" s="100"/>
      <c r="BJ177" s="100"/>
      <c r="BK177" s="100"/>
      <c r="BL177" s="100"/>
      <c r="BM177" s="100"/>
      <c r="BN177" s="100"/>
      <c r="BO177" s="100"/>
      <c r="BP177" s="100"/>
      <c r="BQ177" s="100"/>
      <c r="BR177" s="100"/>
      <c r="BS177" s="100"/>
      <c r="BT177" s="100"/>
      <c r="BU177" s="100"/>
      <c r="BV177" s="100"/>
      <c r="BW177" s="100"/>
      <c r="BX177" s="100"/>
      <c r="BY177" s="100"/>
      <c r="BZ177" s="100"/>
      <c r="CA177" s="100"/>
      <c r="CB177" s="100"/>
      <c r="CC177" s="100"/>
      <c r="CD177" s="100"/>
      <c r="CE177" s="100"/>
      <c r="CF177" s="100"/>
      <c r="CG177" s="100"/>
      <c r="CH177" s="100"/>
      <c r="CI177" s="100"/>
      <c r="CJ177" s="100"/>
      <c r="CK177" s="100"/>
      <c r="CL177" s="100"/>
      <c r="CM177" s="100"/>
      <c r="CN177" s="100"/>
      <c r="CO177" s="100"/>
      <c r="CP177" s="100"/>
      <c r="CQ177" s="100"/>
      <c r="CR177" s="100"/>
    </row>
    <row r="178" customFormat="false" ht="12.8" hidden="false" customHeight="false" outlineLevel="0" collapsed="false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1"/>
      <c r="M178" s="102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  <c r="AW178" s="100"/>
      <c r="AX178" s="100"/>
      <c r="AY178" s="100"/>
      <c r="AZ178" s="100"/>
      <c r="BA178" s="100"/>
      <c r="BB178" s="100"/>
      <c r="BC178" s="100"/>
      <c r="BD178" s="100"/>
      <c r="BE178" s="100"/>
      <c r="BF178" s="100"/>
      <c r="BG178" s="100"/>
      <c r="BH178" s="100"/>
      <c r="BI178" s="100"/>
      <c r="BJ178" s="100"/>
      <c r="BK178" s="100"/>
      <c r="BL178" s="100"/>
      <c r="BM178" s="100"/>
      <c r="BN178" s="100"/>
      <c r="BO178" s="100"/>
      <c r="BP178" s="100"/>
      <c r="BQ178" s="100"/>
      <c r="BR178" s="100"/>
      <c r="BS178" s="100"/>
      <c r="BT178" s="100"/>
      <c r="BU178" s="100"/>
      <c r="BV178" s="100"/>
      <c r="BW178" s="100"/>
      <c r="BX178" s="100"/>
      <c r="BY178" s="100"/>
      <c r="BZ178" s="100"/>
      <c r="CA178" s="100"/>
      <c r="CB178" s="100"/>
      <c r="CC178" s="100"/>
      <c r="CD178" s="100"/>
      <c r="CE178" s="100"/>
      <c r="CF178" s="100"/>
      <c r="CG178" s="100"/>
      <c r="CH178" s="100"/>
      <c r="CI178" s="100"/>
      <c r="CJ178" s="100"/>
      <c r="CK178" s="100"/>
      <c r="CL178" s="100"/>
      <c r="CM178" s="100"/>
      <c r="CN178" s="100"/>
      <c r="CO178" s="100"/>
      <c r="CP178" s="100"/>
      <c r="CQ178" s="100"/>
      <c r="CR178" s="100"/>
    </row>
    <row r="179" customFormat="false" ht="12.8" hidden="false" customHeight="false" outlineLevel="0" collapsed="false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1"/>
      <c r="M179" s="102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  <c r="AW179" s="100"/>
      <c r="AX179" s="100"/>
      <c r="AY179" s="100"/>
      <c r="AZ179" s="100"/>
      <c r="BA179" s="100"/>
      <c r="BB179" s="100"/>
      <c r="BC179" s="100"/>
      <c r="BD179" s="100"/>
      <c r="BE179" s="100"/>
      <c r="BF179" s="100"/>
      <c r="BG179" s="100"/>
      <c r="BH179" s="100"/>
      <c r="BI179" s="100"/>
      <c r="BJ179" s="100"/>
      <c r="BK179" s="100"/>
      <c r="BL179" s="100"/>
      <c r="BM179" s="100"/>
      <c r="BN179" s="100"/>
      <c r="BO179" s="100"/>
      <c r="BP179" s="100"/>
      <c r="BQ179" s="100"/>
      <c r="BR179" s="100"/>
      <c r="BS179" s="100"/>
      <c r="BT179" s="100"/>
      <c r="BU179" s="100"/>
      <c r="BV179" s="100"/>
      <c r="BW179" s="100"/>
      <c r="BX179" s="100"/>
      <c r="BY179" s="100"/>
      <c r="BZ179" s="100"/>
      <c r="CA179" s="100"/>
      <c r="CB179" s="100"/>
      <c r="CC179" s="100"/>
      <c r="CD179" s="100"/>
      <c r="CE179" s="100"/>
      <c r="CF179" s="100"/>
      <c r="CG179" s="100"/>
      <c r="CH179" s="100"/>
      <c r="CI179" s="100"/>
      <c r="CJ179" s="100"/>
      <c r="CK179" s="100"/>
      <c r="CL179" s="100"/>
      <c r="CM179" s="100"/>
      <c r="CN179" s="100"/>
      <c r="CO179" s="100"/>
      <c r="CP179" s="100"/>
      <c r="CQ179" s="100"/>
      <c r="CR179" s="100"/>
    </row>
    <row r="180" customFormat="false" ht="12.8" hidden="false" customHeight="false" outlineLevel="0" collapsed="false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1"/>
      <c r="M180" s="102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  <c r="AW180" s="100"/>
      <c r="AX180" s="100"/>
      <c r="AY180" s="100"/>
      <c r="AZ180" s="100"/>
      <c r="BA180" s="100"/>
      <c r="BB180" s="100"/>
      <c r="BC180" s="100"/>
      <c r="BD180" s="100"/>
      <c r="BE180" s="100"/>
      <c r="BF180" s="100"/>
      <c r="BG180" s="100"/>
      <c r="BH180" s="100"/>
      <c r="BI180" s="100"/>
      <c r="BJ180" s="100"/>
      <c r="BK180" s="100"/>
      <c r="BL180" s="100"/>
      <c r="BM180" s="100"/>
      <c r="BN180" s="100"/>
      <c r="BO180" s="100"/>
      <c r="BP180" s="100"/>
      <c r="BQ180" s="100"/>
      <c r="BR180" s="100"/>
      <c r="BS180" s="100"/>
      <c r="BT180" s="100"/>
      <c r="BU180" s="100"/>
      <c r="BV180" s="100"/>
      <c r="BW180" s="100"/>
      <c r="BX180" s="100"/>
      <c r="BY180" s="100"/>
      <c r="BZ180" s="100"/>
      <c r="CA180" s="100"/>
      <c r="CB180" s="100"/>
      <c r="CC180" s="100"/>
      <c r="CD180" s="100"/>
      <c r="CE180" s="100"/>
      <c r="CF180" s="100"/>
      <c r="CG180" s="100"/>
      <c r="CH180" s="100"/>
      <c r="CI180" s="100"/>
      <c r="CJ180" s="100"/>
      <c r="CK180" s="100"/>
      <c r="CL180" s="100"/>
      <c r="CM180" s="100"/>
      <c r="CN180" s="100"/>
      <c r="CO180" s="100"/>
      <c r="CP180" s="100"/>
      <c r="CQ180" s="100"/>
      <c r="CR180" s="100"/>
    </row>
    <row r="181" customFormat="false" ht="12.8" hidden="false" customHeight="false" outlineLevel="0" collapsed="false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1"/>
      <c r="M181" s="102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0"/>
      <c r="BK181" s="100"/>
      <c r="BL181" s="100"/>
      <c r="BM181" s="100"/>
      <c r="BN181" s="100"/>
      <c r="BO181" s="100"/>
      <c r="BP181" s="100"/>
      <c r="BQ181" s="100"/>
      <c r="BR181" s="100"/>
      <c r="BS181" s="100"/>
      <c r="BT181" s="100"/>
      <c r="BU181" s="100"/>
      <c r="BV181" s="100"/>
      <c r="BW181" s="100"/>
      <c r="BX181" s="100"/>
      <c r="BY181" s="100"/>
      <c r="BZ181" s="100"/>
      <c r="CA181" s="100"/>
      <c r="CB181" s="100"/>
      <c r="CC181" s="100"/>
      <c r="CD181" s="100"/>
      <c r="CE181" s="100"/>
      <c r="CF181" s="100"/>
      <c r="CG181" s="100"/>
      <c r="CH181" s="100"/>
      <c r="CI181" s="100"/>
      <c r="CJ181" s="100"/>
      <c r="CK181" s="100"/>
      <c r="CL181" s="100"/>
      <c r="CM181" s="100"/>
      <c r="CN181" s="100"/>
      <c r="CO181" s="100"/>
      <c r="CP181" s="100"/>
      <c r="CQ181" s="100"/>
      <c r="CR181" s="100"/>
    </row>
    <row r="182" customFormat="false" ht="12.8" hidden="false" customHeight="false" outlineLevel="0" collapsed="false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1"/>
      <c r="M182" s="102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  <c r="AW182" s="100"/>
      <c r="AX182" s="100"/>
      <c r="AY182" s="100"/>
      <c r="AZ182" s="100"/>
      <c r="BA182" s="100"/>
      <c r="BB182" s="100"/>
      <c r="BC182" s="100"/>
      <c r="BD182" s="100"/>
      <c r="BE182" s="100"/>
      <c r="BF182" s="100"/>
      <c r="BG182" s="100"/>
      <c r="BH182" s="100"/>
      <c r="BI182" s="100"/>
      <c r="BJ182" s="100"/>
      <c r="BK182" s="100"/>
      <c r="BL182" s="100"/>
      <c r="BM182" s="100"/>
      <c r="BN182" s="100"/>
      <c r="BO182" s="100"/>
      <c r="BP182" s="100"/>
      <c r="BQ182" s="100"/>
      <c r="BR182" s="100"/>
      <c r="BS182" s="100"/>
      <c r="BT182" s="100"/>
      <c r="BU182" s="100"/>
      <c r="BV182" s="100"/>
      <c r="BW182" s="100"/>
      <c r="BX182" s="100"/>
      <c r="BY182" s="100"/>
      <c r="BZ182" s="100"/>
      <c r="CA182" s="100"/>
      <c r="CB182" s="100"/>
      <c r="CC182" s="100"/>
      <c r="CD182" s="100"/>
      <c r="CE182" s="100"/>
      <c r="CF182" s="100"/>
      <c r="CG182" s="100"/>
      <c r="CH182" s="100"/>
      <c r="CI182" s="100"/>
      <c r="CJ182" s="100"/>
      <c r="CK182" s="100"/>
      <c r="CL182" s="100"/>
      <c r="CM182" s="100"/>
      <c r="CN182" s="100"/>
      <c r="CO182" s="100"/>
      <c r="CP182" s="100"/>
      <c r="CQ182" s="100"/>
      <c r="CR182" s="100"/>
    </row>
    <row r="183" customFormat="false" ht="12.8" hidden="false" customHeight="false" outlineLevel="0" collapsed="false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1"/>
      <c r="M183" s="102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0"/>
      <c r="BK183" s="100"/>
      <c r="BL183" s="100"/>
      <c r="BM183" s="100"/>
      <c r="BN183" s="100"/>
      <c r="BO183" s="100"/>
      <c r="BP183" s="100"/>
      <c r="BQ183" s="100"/>
      <c r="BR183" s="100"/>
      <c r="BS183" s="100"/>
      <c r="BT183" s="100"/>
      <c r="BU183" s="100"/>
      <c r="BV183" s="100"/>
      <c r="BW183" s="100"/>
      <c r="BX183" s="100"/>
      <c r="BY183" s="100"/>
      <c r="BZ183" s="100"/>
      <c r="CA183" s="100"/>
      <c r="CB183" s="100"/>
      <c r="CC183" s="100"/>
      <c r="CD183" s="100"/>
      <c r="CE183" s="100"/>
      <c r="CF183" s="100"/>
      <c r="CG183" s="100"/>
      <c r="CH183" s="100"/>
      <c r="CI183" s="100"/>
      <c r="CJ183" s="100"/>
      <c r="CK183" s="100"/>
      <c r="CL183" s="100"/>
      <c r="CM183" s="100"/>
      <c r="CN183" s="100"/>
      <c r="CO183" s="100"/>
      <c r="CP183" s="100"/>
      <c r="CQ183" s="100"/>
      <c r="CR183" s="100"/>
    </row>
    <row r="184" customFormat="false" ht="12.8" hidden="false" customHeight="false" outlineLevel="0" collapsed="false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1"/>
      <c r="M184" s="102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  <c r="AW184" s="100"/>
      <c r="AX184" s="100"/>
      <c r="AY184" s="100"/>
      <c r="AZ184" s="100"/>
      <c r="BA184" s="100"/>
      <c r="BB184" s="100"/>
      <c r="BC184" s="100"/>
      <c r="BD184" s="100"/>
      <c r="BE184" s="100"/>
      <c r="BF184" s="100"/>
      <c r="BG184" s="100"/>
      <c r="BH184" s="100"/>
      <c r="BI184" s="100"/>
      <c r="BJ184" s="100"/>
      <c r="BK184" s="100"/>
      <c r="BL184" s="100"/>
      <c r="BM184" s="100"/>
      <c r="BN184" s="100"/>
      <c r="BO184" s="100"/>
      <c r="BP184" s="100"/>
      <c r="BQ184" s="100"/>
      <c r="BR184" s="100"/>
      <c r="BS184" s="100"/>
      <c r="BT184" s="100"/>
      <c r="BU184" s="100"/>
      <c r="BV184" s="100"/>
      <c r="BW184" s="100"/>
      <c r="BX184" s="100"/>
      <c r="BY184" s="100"/>
      <c r="BZ184" s="100"/>
      <c r="CA184" s="100"/>
      <c r="CB184" s="100"/>
      <c r="CC184" s="100"/>
      <c r="CD184" s="100"/>
      <c r="CE184" s="100"/>
      <c r="CF184" s="100"/>
      <c r="CG184" s="100"/>
      <c r="CH184" s="100"/>
      <c r="CI184" s="100"/>
      <c r="CJ184" s="100"/>
      <c r="CK184" s="100"/>
      <c r="CL184" s="100"/>
      <c r="CM184" s="100"/>
      <c r="CN184" s="100"/>
      <c r="CO184" s="100"/>
      <c r="CP184" s="100"/>
      <c r="CQ184" s="100"/>
      <c r="CR184" s="100"/>
    </row>
    <row r="185" customFormat="false" ht="12.8" hidden="false" customHeight="false" outlineLevel="0" collapsed="false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1"/>
      <c r="M185" s="102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  <c r="AW185" s="100"/>
      <c r="AX185" s="100"/>
      <c r="AY185" s="100"/>
      <c r="AZ185" s="100"/>
      <c r="BA185" s="100"/>
      <c r="BB185" s="100"/>
      <c r="BC185" s="100"/>
      <c r="BD185" s="100"/>
      <c r="BE185" s="100"/>
      <c r="BF185" s="100"/>
      <c r="BG185" s="100"/>
      <c r="BH185" s="100"/>
      <c r="BI185" s="100"/>
      <c r="BJ185" s="100"/>
      <c r="BK185" s="100"/>
      <c r="BL185" s="100"/>
      <c r="BM185" s="100"/>
      <c r="BN185" s="100"/>
      <c r="BO185" s="100"/>
      <c r="BP185" s="100"/>
      <c r="BQ185" s="100"/>
      <c r="BR185" s="100"/>
      <c r="BS185" s="100"/>
      <c r="BT185" s="100"/>
      <c r="BU185" s="100"/>
      <c r="BV185" s="100"/>
      <c r="BW185" s="100"/>
      <c r="BX185" s="100"/>
      <c r="BY185" s="100"/>
      <c r="BZ185" s="100"/>
      <c r="CA185" s="100"/>
      <c r="CB185" s="100"/>
      <c r="CC185" s="100"/>
      <c r="CD185" s="100"/>
      <c r="CE185" s="100"/>
      <c r="CF185" s="100"/>
      <c r="CG185" s="100"/>
      <c r="CH185" s="100"/>
      <c r="CI185" s="100"/>
      <c r="CJ185" s="100"/>
      <c r="CK185" s="100"/>
      <c r="CL185" s="100"/>
      <c r="CM185" s="100"/>
      <c r="CN185" s="100"/>
      <c r="CO185" s="100"/>
      <c r="CP185" s="100"/>
      <c r="CQ185" s="100"/>
      <c r="CR185" s="100"/>
    </row>
    <row r="186" customFormat="false" ht="12.8" hidden="false" customHeight="false" outlineLevel="0" collapsed="false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1"/>
      <c r="M186" s="102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  <c r="AW186" s="100"/>
      <c r="AX186" s="100"/>
      <c r="AY186" s="100"/>
      <c r="AZ186" s="100"/>
      <c r="BA186" s="100"/>
      <c r="BB186" s="100"/>
      <c r="BC186" s="100"/>
      <c r="BD186" s="100"/>
      <c r="BE186" s="100"/>
      <c r="BF186" s="100"/>
      <c r="BG186" s="100"/>
      <c r="BH186" s="100"/>
      <c r="BI186" s="100"/>
      <c r="BJ186" s="100"/>
      <c r="BK186" s="100"/>
      <c r="BL186" s="100"/>
      <c r="BM186" s="100"/>
      <c r="BN186" s="100"/>
      <c r="BO186" s="100"/>
      <c r="BP186" s="100"/>
      <c r="BQ186" s="100"/>
      <c r="BR186" s="100"/>
      <c r="BS186" s="100"/>
      <c r="BT186" s="100"/>
      <c r="BU186" s="100"/>
      <c r="BV186" s="100"/>
      <c r="BW186" s="100"/>
      <c r="BX186" s="100"/>
      <c r="BY186" s="100"/>
      <c r="BZ186" s="100"/>
      <c r="CA186" s="100"/>
      <c r="CB186" s="100"/>
      <c r="CC186" s="100"/>
      <c r="CD186" s="100"/>
      <c r="CE186" s="100"/>
      <c r="CF186" s="100"/>
      <c r="CG186" s="100"/>
      <c r="CH186" s="100"/>
      <c r="CI186" s="100"/>
      <c r="CJ186" s="100"/>
      <c r="CK186" s="100"/>
      <c r="CL186" s="100"/>
      <c r="CM186" s="100"/>
      <c r="CN186" s="100"/>
      <c r="CO186" s="100"/>
      <c r="CP186" s="100"/>
      <c r="CQ186" s="100"/>
      <c r="CR186" s="100"/>
    </row>
    <row r="187" customFormat="false" ht="12.8" hidden="false" customHeight="false" outlineLevel="0" collapsed="false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1"/>
      <c r="M187" s="102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0"/>
      <c r="AZ187" s="100"/>
      <c r="BA187" s="100"/>
      <c r="BB187" s="100"/>
      <c r="BC187" s="100"/>
      <c r="BD187" s="100"/>
      <c r="BE187" s="100"/>
      <c r="BF187" s="100"/>
      <c r="BG187" s="100"/>
      <c r="BH187" s="100"/>
      <c r="BI187" s="100"/>
      <c r="BJ187" s="100"/>
      <c r="BK187" s="100"/>
      <c r="BL187" s="100"/>
      <c r="BM187" s="100"/>
      <c r="BN187" s="100"/>
      <c r="BO187" s="100"/>
      <c r="BP187" s="100"/>
      <c r="BQ187" s="100"/>
      <c r="BR187" s="100"/>
      <c r="BS187" s="100"/>
      <c r="BT187" s="100"/>
      <c r="BU187" s="100"/>
      <c r="BV187" s="100"/>
      <c r="BW187" s="100"/>
      <c r="BX187" s="100"/>
      <c r="BY187" s="100"/>
      <c r="BZ187" s="100"/>
      <c r="CA187" s="100"/>
      <c r="CB187" s="100"/>
      <c r="CC187" s="100"/>
      <c r="CD187" s="100"/>
      <c r="CE187" s="100"/>
      <c r="CF187" s="100"/>
      <c r="CG187" s="100"/>
      <c r="CH187" s="100"/>
      <c r="CI187" s="100"/>
      <c r="CJ187" s="100"/>
      <c r="CK187" s="100"/>
      <c r="CL187" s="100"/>
      <c r="CM187" s="100"/>
      <c r="CN187" s="100"/>
      <c r="CO187" s="100"/>
      <c r="CP187" s="100"/>
      <c r="CQ187" s="100"/>
      <c r="CR187" s="100"/>
    </row>
    <row r="188" customFormat="false" ht="12.8" hidden="false" customHeight="false" outlineLevel="0" collapsed="false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1"/>
      <c r="M188" s="102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  <c r="BE188" s="100"/>
      <c r="BF188" s="100"/>
      <c r="BG188" s="100"/>
      <c r="BH188" s="100"/>
      <c r="BI188" s="100"/>
      <c r="BJ188" s="100"/>
      <c r="BK188" s="100"/>
      <c r="BL188" s="100"/>
      <c r="BM188" s="100"/>
      <c r="BN188" s="100"/>
      <c r="BO188" s="100"/>
      <c r="BP188" s="100"/>
      <c r="BQ188" s="100"/>
      <c r="BR188" s="100"/>
      <c r="BS188" s="100"/>
      <c r="BT188" s="100"/>
      <c r="BU188" s="100"/>
      <c r="BV188" s="100"/>
      <c r="BW188" s="100"/>
      <c r="BX188" s="100"/>
      <c r="BY188" s="100"/>
      <c r="BZ188" s="100"/>
      <c r="CA188" s="100"/>
      <c r="CB188" s="100"/>
      <c r="CC188" s="100"/>
      <c r="CD188" s="100"/>
      <c r="CE188" s="100"/>
      <c r="CF188" s="100"/>
      <c r="CG188" s="100"/>
      <c r="CH188" s="100"/>
      <c r="CI188" s="100"/>
      <c r="CJ188" s="100"/>
      <c r="CK188" s="100"/>
      <c r="CL188" s="100"/>
      <c r="CM188" s="100"/>
      <c r="CN188" s="100"/>
      <c r="CO188" s="100"/>
      <c r="CP188" s="100"/>
      <c r="CQ188" s="100"/>
      <c r="CR188" s="100"/>
    </row>
    <row r="189" customFormat="false" ht="12.8" hidden="false" customHeight="false" outlineLevel="0" collapsed="false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1"/>
      <c r="M189" s="102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0"/>
      <c r="BK189" s="100"/>
      <c r="BL189" s="100"/>
      <c r="BM189" s="100"/>
      <c r="BN189" s="100"/>
      <c r="BO189" s="100"/>
      <c r="BP189" s="100"/>
      <c r="BQ189" s="100"/>
      <c r="BR189" s="100"/>
      <c r="BS189" s="100"/>
      <c r="BT189" s="100"/>
      <c r="BU189" s="100"/>
      <c r="BV189" s="100"/>
      <c r="BW189" s="100"/>
      <c r="BX189" s="100"/>
      <c r="BY189" s="100"/>
      <c r="BZ189" s="100"/>
      <c r="CA189" s="100"/>
      <c r="CB189" s="100"/>
      <c r="CC189" s="100"/>
      <c r="CD189" s="100"/>
      <c r="CE189" s="100"/>
      <c r="CF189" s="100"/>
      <c r="CG189" s="100"/>
      <c r="CH189" s="100"/>
      <c r="CI189" s="100"/>
      <c r="CJ189" s="100"/>
      <c r="CK189" s="100"/>
      <c r="CL189" s="100"/>
      <c r="CM189" s="100"/>
      <c r="CN189" s="100"/>
      <c r="CO189" s="100"/>
      <c r="CP189" s="100"/>
      <c r="CQ189" s="100"/>
      <c r="CR189" s="100"/>
    </row>
    <row r="190" customFormat="false" ht="12.8" hidden="false" customHeight="false" outlineLevel="0" collapsed="false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1"/>
      <c r="M190" s="102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  <c r="BB190" s="100"/>
      <c r="BC190" s="100"/>
      <c r="BD190" s="100"/>
      <c r="BE190" s="100"/>
      <c r="BF190" s="100"/>
      <c r="BG190" s="100"/>
      <c r="BH190" s="100"/>
      <c r="BI190" s="100"/>
      <c r="BJ190" s="100"/>
      <c r="BK190" s="100"/>
      <c r="BL190" s="100"/>
      <c r="BM190" s="100"/>
      <c r="BN190" s="100"/>
      <c r="BO190" s="100"/>
      <c r="BP190" s="100"/>
      <c r="BQ190" s="100"/>
      <c r="BR190" s="100"/>
      <c r="BS190" s="100"/>
      <c r="BT190" s="100"/>
      <c r="BU190" s="100"/>
      <c r="BV190" s="100"/>
      <c r="BW190" s="100"/>
      <c r="BX190" s="100"/>
      <c r="BY190" s="100"/>
      <c r="BZ190" s="100"/>
      <c r="CA190" s="100"/>
      <c r="CB190" s="100"/>
      <c r="CC190" s="100"/>
      <c r="CD190" s="100"/>
      <c r="CE190" s="100"/>
      <c r="CF190" s="100"/>
      <c r="CG190" s="100"/>
      <c r="CH190" s="100"/>
      <c r="CI190" s="100"/>
      <c r="CJ190" s="100"/>
      <c r="CK190" s="100"/>
      <c r="CL190" s="100"/>
      <c r="CM190" s="100"/>
      <c r="CN190" s="100"/>
      <c r="CO190" s="100"/>
      <c r="CP190" s="100"/>
      <c r="CQ190" s="100"/>
      <c r="CR190" s="100"/>
    </row>
    <row r="191" customFormat="false" ht="12.8" hidden="false" customHeight="false" outlineLevel="0" collapsed="false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1"/>
      <c r="M191" s="102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0"/>
      <c r="AZ191" s="100"/>
      <c r="BA191" s="100"/>
      <c r="BB191" s="100"/>
      <c r="BC191" s="100"/>
      <c r="BD191" s="100"/>
      <c r="BE191" s="100"/>
      <c r="BF191" s="100"/>
      <c r="BG191" s="100"/>
      <c r="BH191" s="100"/>
      <c r="BI191" s="100"/>
      <c r="BJ191" s="100"/>
      <c r="BK191" s="100"/>
      <c r="BL191" s="100"/>
      <c r="BM191" s="100"/>
      <c r="BN191" s="100"/>
      <c r="BO191" s="100"/>
      <c r="BP191" s="100"/>
      <c r="BQ191" s="100"/>
      <c r="BR191" s="100"/>
      <c r="BS191" s="100"/>
      <c r="BT191" s="100"/>
      <c r="BU191" s="100"/>
      <c r="BV191" s="100"/>
      <c r="BW191" s="100"/>
      <c r="BX191" s="100"/>
      <c r="BY191" s="100"/>
      <c r="BZ191" s="100"/>
      <c r="CA191" s="100"/>
      <c r="CB191" s="100"/>
      <c r="CC191" s="100"/>
      <c r="CD191" s="100"/>
      <c r="CE191" s="100"/>
      <c r="CF191" s="100"/>
      <c r="CG191" s="100"/>
      <c r="CH191" s="100"/>
      <c r="CI191" s="100"/>
      <c r="CJ191" s="100"/>
      <c r="CK191" s="100"/>
      <c r="CL191" s="100"/>
      <c r="CM191" s="100"/>
      <c r="CN191" s="100"/>
      <c r="CO191" s="100"/>
      <c r="CP191" s="100"/>
      <c r="CQ191" s="100"/>
      <c r="CR191" s="100"/>
    </row>
    <row r="192" customFormat="false" ht="12.8" hidden="false" customHeight="false" outlineLevel="0" collapsed="false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1"/>
      <c r="M192" s="102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  <c r="AW192" s="100"/>
      <c r="AX192" s="100"/>
      <c r="AY192" s="100"/>
      <c r="AZ192" s="100"/>
      <c r="BA192" s="100"/>
      <c r="BB192" s="100"/>
      <c r="BC192" s="100"/>
      <c r="BD192" s="100"/>
      <c r="BE192" s="100"/>
      <c r="BF192" s="100"/>
      <c r="BG192" s="100"/>
      <c r="BH192" s="100"/>
      <c r="BI192" s="100"/>
      <c r="BJ192" s="100"/>
      <c r="BK192" s="100"/>
      <c r="BL192" s="100"/>
      <c r="BM192" s="100"/>
      <c r="BN192" s="100"/>
      <c r="BO192" s="100"/>
      <c r="BP192" s="100"/>
      <c r="BQ192" s="100"/>
      <c r="BR192" s="100"/>
      <c r="BS192" s="100"/>
      <c r="BT192" s="100"/>
      <c r="BU192" s="100"/>
      <c r="BV192" s="100"/>
      <c r="BW192" s="100"/>
      <c r="BX192" s="100"/>
      <c r="BY192" s="100"/>
      <c r="BZ192" s="100"/>
      <c r="CA192" s="100"/>
      <c r="CB192" s="100"/>
      <c r="CC192" s="100"/>
      <c r="CD192" s="100"/>
      <c r="CE192" s="100"/>
      <c r="CF192" s="100"/>
      <c r="CG192" s="100"/>
      <c r="CH192" s="100"/>
      <c r="CI192" s="100"/>
      <c r="CJ192" s="100"/>
      <c r="CK192" s="100"/>
      <c r="CL192" s="100"/>
      <c r="CM192" s="100"/>
      <c r="CN192" s="100"/>
      <c r="CO192" s="100"/>
      <c r="CP192" s="100"/>
      <c r="CQ192" s="100"/>
      <c r="CR192" s="100"/>
    </row>
    <row r="193" customFormat="false" ht="12.8" hidden="false" customHeight="false" outlineLevel="0" collapsed="false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1"/>
      <c r="M193" s="102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  <c r="AW193" s="100"/>
      <c r="AX193" s="100"/>
      <c r="AY193" s="100"/>
      <c r="AZ193" s="100"/>
      <c r="BA193" s="100"/>
      <c r="BB193" s="100"/>
      <c r="BC193" s="100"/>
      <c r="BD193" s="100"/>
      <c r="BE193" s="100"/>
      <c r="BF193" s="100"/>
      <c r="BG193" s="100"/>
      <c r="BH193" s="100"/>
      <c r="BI193" s="100"/>
      <c r="BJ193" s="100"/>
      <c r="BK193" s="100"/>
      <c r="BL193" s="100"/>
      <c r="BM193" s="100"/>
      <c r="BN193" s="100"/>
      <c r="BO193" s="100"/>
      <c r="BP193" s="100"/>
      <c r="BQ193" s="100"/>
      <c r="BR193" s="100"/>
      <c r="BS193" s="100"/>
      <c r="BT193" s="100"/>
      <c r="BU193" s="100"/>
      <c r="BV193" s="100"/>
      <c r="BW193" s="100"/>
      <c r="BX193" s="100"/>
      <c r="BY193" s="100"/>
      <c r="BZ193" s="100"/>
      <c r="CA193" s="100"/>
      <c r="CB193" s="100"/>
      <c r="CC193" s="100"/>
      <c r="CD193" s="100"/>
      <c r="CE193" s="100"/>
      <c r="CF193" s="100"/>
      <c r="CG193" s="100"/>
      <c r="CH193" s="100"/>
      <c r="CI193" s="100"/>
      <c r="CJ193" s="100"/>
      <c r="CK193" s="100"/>
      <c r="CL193" s="100"/>
      <c r="CM193" s="100"/>
      <c r="CN193" s="100"/>
      <c r="CO193" s="100"/>
      <c r="CP193" s="100"/>
      <c r="CQ193" s="100"/>
      <c r="CR193" s="100"/>
    </row>
    <row r="194" customFormat="false" ht="12.8" hidden="false" customHeight="false" outlineLevel="0" collapsed="false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1"/>
      <c r="M194" s="102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  <c r="AW194" s="100"/>
      <c r="AX194" s="100"/>
      <c r="AY194" s="100"/>
      <c r="AZ194" s="100"/>
      <c r="BA194" s="100"/>
      <c r="BB194" s="100"/>
      <c r="BC194" s="100"/>
      <c r="BD194" s="100"/>
      <c r="BE194" s="100"/>
      <c r="BF194" s="100"/>
      <c r="BG194" s="100"/>
      <c r="BH194" s="100"/>
      <c r="BI194" s="100"/>
      <c r="BJ194" s="100"/>
      <c r="BK194" s="100"/>
      <c r="BL194" s="100"/>
      <c r="BM194" s="100"/>
      <c r="BN194" s="100"/>
      <c r="BO194" s="100"/>
      <c r="BP194" s="100"/>
      <c r="BQ194" s="100"/>
      <c r="BR194" s="100"/>
      <c r="BS194" s="100"/>
      <c r="BT194" s="100"/>
      <c r="BU194" s="100"/>
      <c r="BV194" s="100"/>
      <c r="BW194" s="100"/>
      <c r="BX194" s="100"/>
      <c r="BY194" s="100"/>
      <c r="BZ194" s="100"/>
      <c r="CA194" s="100"/>
      <c r="CB194" s="100"/>
      <c r="CC194" s="100"/>
      <c r="CD194" s="100"/>
      <c r="CE194" s="100"/>
      <c r="CF194" s="100"/>
      <c r="CG194" s="100"/>
      <c r="CH194" s="100"/>
      <c r="CI194" s="100"/>
      <c r="CJ194" s="100"/>
      <c r="CK194" s="100"/>
      <c r="CL194" s="100"/>
      <c r="CM194" s="100"/>
      <c r="CN194" s="100"/>
      <c r="CO194" s="100"/>
      <c r="CP194" s="100"/>
      <c r="CQ194" s="100"/>
      <c r="CR194" s="100"/>
    </row>
    <row r="195" customFormat="false" ht="12.8" hidden="false" customHeight="false" outlineLevel="0" collapsed="false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1"/>
      <c r="M195" s="102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  <c r="AW195" s="100"/>
      <c r="AX195" s="100"/>
      <c r="AY195" s="100"/>
      <c r="AZ195" s="100"/>
      <c r="BA195" s="100"/>
      <c r="BB195" s="100"/>
      <c r="BC195" s="100"/>
      <c r="BD195" s="100"/>
      <c r="BE195" s="100"/>
      <c r="BF195" s="100"/>
      <c r="BG195" s="100"/>
      <c r="BH195" s="100"/>
      <c r="BI195" s="100"/>
      <c r="BJ195" s="100"/>
      <c r="BK195" s="100"/>
      <c r="BL195" s="100"/>
      <c r="BM195" s="100"/>
      <c r="BN195" s="100"/>
      <c r="BO195" s="100"/>
      <c r="BP195" s="100"/>
      <c r="BQ195" s="100"/>
      <c r="BR195" s="100"/>
      <c r="BS195" s="100"/>
      <c r="BT195" s="100"/>
      <c r="BU195" s="100"/>
      <c r="BV195" s="100"/>
      <c r="BW195" s="100"/>
      <c r="BX195" s="100"/>
      <c r="BY195" s="100"/>
      <c r="BZ195" s="100"/>
      <c r="CA195" s="100"/>
      <c r="CB195" s="100"/>
      <c r="CC195" s="100"/>
      <c r="CD195" s="100"/>
      <c r="CE195" s="100"/>
      <c r="CF195" s="100"/>
      <c r="CG195" s="100"/>
      <c r="CH195" s="100"/>
      <c r="CI195" s="100"/>
      <c r="CJ195" s="100"/>
      <c r="CK195" s="100"/>
      <c r="CL195" s="100"/>
      <c r="CM195" s="100"/>
      <c r="CN195" s="100"/>
      <c r="CO195" s="100"/>
      <c r="CP195" s="100"/>
      <c r="CQ195" s="100"/>
      <c r="CR195" s="100"/>
    </row>
    <row r="196" customFormat="false" ht="12.8" hidden="false" customHeight="false" outlineLevel="0" collapsed="false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1"/>
      <c r="M196" s="102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  <c r="AW196" s="100"/>
      <c r="AX196" s="100"/>
      <c r="AY196" s="100"/>
      <c r="AZ196" s="100"/>
      <c r="BA196" s="100"/>
      <c r="BB196" s="100"/>
      <c r="BC196" s="100"/>
      <c r="BD196" s="100"/>
      <c r="BE196" s="100"/>
      <c r="BF196" s="100"/>
      <c r="BG196" s="100"/>
      <c r="BH196" s="100"/>
      <c r="BI196" s="100"/>
      <c r="BJ196" s="100"/>
      <c r="BK196" s="100"/>
      <c r="BL196" s="100"/>
      <c r="BM196" s="100"/>
      <c r="BN196" s="100"/>
      <c r="BO196" s="100"/>
      <c r="BP196" s="100"/>
      <c r="BQ196" s="100"/>
      <c r="BR196" s="100"/>
      <c r="BS196" s="100"/>
      <c r="BT196" s="100"/>
      <c r="BU196" s="100"/>
      <c r="BV196" s="100"/>
      <c r="BW196" s="100"/>
      <c r="BX196" s="100"/>
      <c r="BY196" s="100"/>
      <c r="BZ196" s="100"/>
      <c r="CA196" s="100"/>
      <c r="CB196" s="100"/>
      <c r="CC196" s="100"/>
      <c r="CD196" s="100"/>
      <c r="CE196" s="100"/>
      <c r="CF196" s="100"/>
      <c r="CG196" s="100"/>
      <c r="CH196" s="100"/>
      <c r="CI196" s="100"/>
      <c r="CJ196" s="100"/>
      <c r="CK196" s="100"/>
      <c r="CL196" s="100"/>
      <c r="CM196" s="100"/>
      <c r="CN196" s="100"/>
      <c r="CO196" s="100"/>
      <c r="CP196" s="100"/>
      <c r="CQ196" s="100"/>
      <c r="CR196" s="100"/>
    </row>
    <row r="197" customFormat="false" ht="12.8" hidden="false" customHeight="false" outlineLevel="0" collapsed="false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1"/>
      <c r="M197" s="102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  <c r="AW197" s="100"/>
      <c r="AX197" s="100"/>
      <c r="AY197" s="100"/>
      <c r="AZ197" s="100"/>
      <c r="BA197" s="100"/>
      <c r="BB197" s="100"/>
      <c r="BC197" s="100"/>
      <c r="BD197" s="100"/>
      <c r="BE197" s="100"/>
      <c r="BF197" s="100"/>
      <c r="BG197" s="100"/>
      <c r="BH197" s="100"/>
      <c r="BI197" s="100"/>
      <c r="BJ197" s="100"/>
      <c r="BK197" s="100"/>
      <c r="BL197" s="100"/>
      <c r="BM197" s="100"/>
      <c r="BN197" s="100"/>
      <c r="BO197" s="100"/>
      <c r="BP197" s="100"/>
      <c r="BQ197" s="100"/>
      <c r="BR197" s="100"/>
      <c r="BS197" s="100"/>
      <c r="BT197" s="100"/>
      <c r="BU197" s="100"/>
      <c r="BV197" s="100"/>
      <c r="BW197" s="100"/>
      <c r="BX197" s="100"/>
      <c r="BY197" s="100"/>
      <c r="BZ197" s="100"/>
      <c r="CA197" s="100"/>
      <c r="CB197" s="100"/>
      <c r="CC197" s="100"/>
      <c r="CD197" s="100"/>
      <c r="CE197" s="100"/>
      <c r="CF197" s="100"/>
      <c r="CG197" s="100"/>
      <c r="CH197" s="100"/>
      <c r="CI197" s="100"/>
      <c r="CJ197" s="100"/>
      <c r="CK197" s="100"/>
      <c r="CL197" s="100"/>
      <c r="CM197" s="100"/>
      <c r="CN197" s="100"/>
      <c r="CO197" s="100"/>
      <c r="CP197" s="100"/>
      <c r="CQ197" s="100"/>
      <c r="CR197" s="100"/>
    </row>
    <row r="198" customFormat="false" ht="12.8" hidden="false" customHeight="false" outlineLevel="0" collapsed="false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1"/>
      <c r="M198" s="102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  <c r="AW198" s="100"/>
      <c r="AX198" s="100"/>
      <c r="AY198" s="100"/>
      <c r="AZ198" s="100"/>
      <c r="BA198" s="100"/>
      <c r="BB198" s="100"/>
      <c r="BC198" s="100"/>
      <c r="BD198" s="100"/>
      <c r="BE198" s="100"/>
      <c r="BF198" s="100"/>
      <c r="BG198" s="100"/>
      <c r="BH198" s="100"/>
      <c r="BI198" s="100"/>
      <c r="BJ198" s="100"/>
      <c r="BK198" s="100"/>
      <c r="BL198" s="100"/>
      <c r="BM198" s="100"/>
      <c r="BN198" s="100"/>
      <c r="BO198" s="100"/>
      <c r="BP198" s="100"/>
      <c r="BQ198" s="100"/>
      <c r="BR198" s="100"/>
      <c r="BS198" s="100"/>
      <c r="BT198" s="100"/>
      <c r="BU198" s="100"/>
      <c r="BV198" s="100"/>
      <c r="BW198" s="100"/>
      <c r="BX198" s="100"/>
      <c r="BY198" s="100"/>
      <c r="BZ198" s="100"/>
      <c r="CA198" s="100"/>
      <c r="CB198" s="100"/>
      <c r="CC198" s="100"/>
      <c r="CD198" s="100"/>
      <c r="CE198" s="100"/>
      <c r="CF198" s="100"/>
      <c r="CG198" s="100"/>
      <c r="CH198" s="100"/>
      <c r="CI198" s="100"/>
      <c r="CJ198" s="100"/>
      <c r="CK198" s="100"/>
      <c r="CL198" s="100"/>
      <c r="CM198" s="100"/>
      <c r="CN198" s="100"/>
      <c r="CO198" s="100"/>
      <c r="CP198" s="100"/>
      <c r="CQ198" s="100"/>
      <c r="CR198" s="100"/>
    </row>
    <row r="199" customFormat="false" ht="12.8" hidden="false" customHeight="false" outlineLevel="0" collapsed="false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1"/>
      <c r="M199" s="102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0"/>
      <c r="AZ199" s="100"/>
      <c r="BA199" s="100"/>
      <c r="BB199" s="100"/>
      <c r="BC199" s="100"/>
      <c r="BD199" s="100"/>
      <c r="BE199" s="100"/>
      <c r="BF199" s="100"/>
      <c r="BG199" s="100"/>
      <c r="BH199" s="100"/>
      <c r="BI199" s="100"/>
      <c r="BJ199" s="100"/>
      <c r="BK199" s="100"/>
      <c r="BL199" s="100"/>
      <c r="BM199" s="100"/>
      <c r="BN199" s="100"/>
      <c r="BO199" s="100"/>
      <c r="BP199" s="100"/>
      <c r="BQ199" s="100"/>
      <c r="BR199" s="100"/>
      <c r="BS199" s="100"/>
      <c r="BT199" s="100"/>
      <c r="BU199" s="100"/>
      <c r="BV199" s="100"/>
      <c r="BW199" s="100"/>
      <c r="BX199" s="100"/>
      <c r="BY199" s="100"/>
      <c r="BZ199" s="100"/>
      <c r="CA199" s="100"/>
      <c r="CB199" s="100"/>
      <c r="CC199" s="100"/>
      <c r="CD199" s="100"/>
      <c r="CE199" s="100"/>
      <c r="CF199" s="100"/>
      <c r="CG199" s="100"/>
      <c r="CH199" s="100"/>
      <c r="CI199" s="100"/>
      <c r="CJ199" s="100"/>
      <c r="CK199" s="100"/>
      <c r="CL199" s="100"/>
      <c r="CM199" s="100"/>
      <c r="CN199" s="100"/>
      <c r="CO199" s="100"/>
      <c r="CP199" s="100"/>
      <c r="CQ199" s="100"/>
      <c r="CR199" s="100"/>
    </row>
    <row r="200" customFormat="false" ht="12.8" hidden="false" customHeight="false" outlineLevel="0" collapsed="false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1"/>
      <c r="M200" s="102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  <c r="BB200" s="100"/>
      <c r="BC200" s="100"/>
      <c r="BD200" s="100"/>
      <c r="BE200" s="100"/>
      <c r="BF200" s="100"/>
      <c r="BG200" s="100"/>
      <c r="BH200" s="100"/>
      <c r="BI200" s="100"/>
      <c r="BJ200" s="100"/>
      <c r="BK200" s="100"/>
      <c r="BL200" s="100"/>
      <c r="BM200" s="100"/>
      <c r="BN200" s="100"/>
      <c r="BO200" s="100"/>
      <c r="BP200" s="100"/>
      <c r="BQ200" s="100"/>
      <c r="BR200" s="100"/>
      <c r="BS200" s="100"/>
      <c r="BT200" s="100"/>
      <c r="BU200" s="100"/>
      <c r="BV200" s="100"/>
      <c r="BW200" s="100"/>
      <c r="BX200" s="100"/>
      <c r="BY200" s="100"/>
      <c r="BZ200" s="100"/>
      <c r="CA200" s="100"/>
      <c r="CB200" s="100"/>
      <c r="CC200" s="100"/>
      <c r="CD200" s="100"/>
      <c r="CE200" s="100"/>
      <c r="CF200" s="100"/>
      <c r="CG200" s="100"/>
      <c r="CH200" s="100"/>
      <c r="CI200" s="100"/>
      <c r="CJ200" s="100"/>
      <c r="CK200" s="100"/>
      <c r="CL200" s="100"/>
      <c r="CM200" s="100"/>
      <c r="CN200" s="100"/>
      <c r="CO200" s="100"/>
      <c r="CP200" s="100"/>
      <c r="CQ200" s="100"/>
      <c r="CR200" s="100"/>
    </row>
    <row r="201" customFormat="false" ht="12.8" hidden="false" customHeight="false" outlineLevel="0" collapsed="false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1"/>
      <c r="M201" s="102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  <c r="AW201" s="100"/>
      <c r="AX201" s="100"/>
      <c r="AY201" s="100"/>
      <c r="AZ201" s="100"/>
      <c r="BA201" s="100"/>
      <c r="BB201" s="100"/>
      <c r="BC201" s="100"/>
      <c r="BD201" s="100"/>
      <c r="BE201" s="100"/>
      <c r="BF201" s="100"/>
      <c r="BG201" s="100"/>
      <c r="BH201" s="100"/>
      <c r="BI201" s="100"/>
      <c r="BJ201" s="100"/>
      <c r="BK201" s="100"/>
      <c r="BL201" s="100"/>
      <c r="BM201" s="100"/>
      <c r="BN201" s="100"/>
      <c r="BO201" s="100"/>
      <c r="BP201" s="100"/>
      <c r="BQ201" s="100"/>
      <c r="BR201" s="100"/>
      <c r="BS201" s="100"/>
      <c r="BT201" s="100"/>
      <c r="BU201" s="100"/>
      <c r="BV201" s="100"/>
      <c r="BW201" s="100"/>
      <c r="BX201" s="100"/>
      <c r="BY201" s="100"/>
      <c r="BZ201" s="100"/>
      <c r="CA201" s="100"/>
      <c r="CB201" s="100"/>
      <c r="CC201" s="100"/>
      <c r="CD201" s="100"/>
      <c r="CE201" s="100"/>
      <c r="CF201" s="100"/>
      <c r="CG201" s="100"/>
      <c r="CH201" s="100"/>
      <c r="CI201" s="100"/>
      <c r="CJ201" s="100"/>
      <c r="CK201" s="100"/>
      <c r="CL201" s="100"/>
      <c r="CM201" s="100"/>
      <c r="CN201" s="100"/>
      <c r="CO201" s="100"/>
      <c r="CP201" s="100"/>
      <c r="CQ201" s="100"/>
      <c r="CR201" s="100"/>
    </row>
    <row r="202" customFormat="false" ht="12.8" hidden="false" customHeight="false" outlineLevel="0" collapsed="false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1"/>
      <c r="M202" s="102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  <c r="AW202" s="100"/>
      <c r="AX202" s="100"/>
      <c r="AY202" s="100"/>
      <c r="AZ202" s="100"/>
      <c r="BA202" s="100"/>
      <c r="BB202" s="100"/>
      <c r="BC202" s="100"/>
      <c r="BD202" s="100"/>
      <c r="BE202" s="100"/>
      <c r="BF202" s="100"/>
      <c r="BG202" s="100"/>
      <c r="BH202" s="100"/>
      <c r="BI202" s="100"/>
      <c r="BJ202" s="100"/>
      <c r="BK202" s="100"/>
      <c r="BL202" s="100"/>
      <c r="BM202" s="100"/>
      <c r="BN202" s="100"/>
      <c r="BO202" s="100"/>
      <c r="BP202" s="100"/>
      <c r="BQ202" s="100"/>
      <c r="BR202" s="100"/>
      <c r="BS202" s="100"/>
      <c r="BT202" s="100"/>
      <c r="BU202" s="100"/>
      <c r="BV202" s="100"/>
      <c r="BW202" s="100"/>
      <c r="BX202" s="100"/>
      <c r="BY202" s="100"/>
      <c r="BZ202" s="100"/>
      <c r="CA202" s="100"/>
      <c r="CB202" s="100"/>
      <c r="CC202" s="100"/>
      <c r="CD202" s="100"/>
      <c r="CE202" s="100"/>
      <c r="CF202" s="100"/>
      <c r="CG202" s="100"/>
      <c r="CH202" s="100"/>
      <c r="CI202" s="100"/>
      <c r="CJ202" s="100"/>
      <c r="CK202" s="100"/>
      <c r="CL202" s="100"/>
      <c r="CM202" s="100"/>
      <c r="CN202" s="100"/>
      <c r="CO202" s="100"/>
      <c r="CP202" s="100"/>
      <c r="CQ202" s="100"/>
      <c r="CR202" s="100"/>
    </row>
    <row r="203" customFormat="false" ht="12.8" hidden="false" customHeight="false" outlineLevel="0" collapsed="false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1"/>
      <c r="M203" s="102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  <c r="AW203" s="100"/>
      <c r="AX203" s="100"/>
      <c r="AY203" s="100"/>
      <c r="AZ203" s="100"/>
      <c r="BA203" s="100"/>
      <c r="BB203" s="100"/>
      <c r="BC203" s="100"/>
      <c r="BD203" s="100"/>
      <c r="BE203" s="100"/>
      <c r="BF203" s="100"/>
      <c r="BG203" s="100"/>
      <c r="BH203" s="100"/>
      <c r="BI203" s="100"/>
      <c r="BJ203" s="100"/>
      <c r="BK203" s="100"/>
      <c r="BL203" s="100"/>
      <c r="BM203" s="100"/>
      <c r="BN203" s="100"/>
      <c r="BO203" s="100"/>
      <c r="BP203" s="100"/>
      <c r="BQ203" s="100"/>
      <c r="BR203" s="100"/>
      <c r="BS203" s="100"/>
      <c r="BT203" s="100"/>
      <c r="BU203" s="100"/>
      <c r="BV203" s="100"/>
      <c r="BW203" s="100"/>
      <c r="BX203" s="100"/>
      <c r="BY203" s="100"/>
      <c r="BZ203" s="100"/>
      <c r="CA203" s="100"/>
      <c r="CB203" s="100"/>
      <c r="CC203" s="100"/>
      <c r="CD203" s="100"/>
      <c r="CE203" s="100"/>
      <c r="CF203" s="100"/>
      <c r="CG203" s="100"/>
      <c r="CH203" s="100"/>
      <c r="CI203" s="100"/>
      <c r="CJ203" s="100"/>
      <c r="CK203" s="100"/>
      <c r="CL203" s="100"/>
      <c r="CM203" s="100"/>
      <c r="CN203" s="100"/>
      <c r="CO203" s="100"/>
      <c r="CP203" s="100"/>
      <c r="CQ203" s="100"/>
      <c r="CR203" s="100"/>
    </row>
    <row r="204" customFormat="false" ht="12.8" hidden="false" customHeight="false" outlineLevel="0" collapsed="false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1"/>
      <c r="M204" s="102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  <c r="BB204" s="100"/>
      <c r="BC204" s="100"/>
      <c r="BD204" s="100"/>
      <c r="BE204" s="100"/>
      <c r="BF204" s="100"/>
      <c r="BG204" s="100"/>
      <c r="BH204" s="100"/>
      <c r="BI204" s="100"/>
      <c r="BJ204" s="100"/>
      <c r="BK204" s="100"/>
      <c r="BL204" s="100"/>
      <c r="BM204" s="100"/>
      <c r="BN204" s="100"/>
      <c r="BO204" s="100"/>
      <c r="BP204" s="100"/>
      <c r="BQ204" s="100"/>
      <c r="BR204" s="100"/>
      <c r="BS204" s="100"/>
      <c r="BT204" s="100"/>
      <c r="BU204" s="100"/>
      <c r="BV204" s="100"/>
      <c r="BW204" s="100"/>
      <c r="BX204" s="100"/>
      <c r="BY204" s="100"/>
      <c r="BZ204" s="100"/>
      <c r="CA204" s="100"/>
      <c r="CB204" s="100"/>
      <c r="CC204" s="100"/>
      <c r="CD204" s="100"/>
      <c r="CE204" s="100"/>
      <c r="CF204" s="100"/>
      <c r="CG204" s="100"/>
      <c r="CH204" s="100"/>
      <c r="CI204" s="100"/>
      <c r="CJ204" s="100"/>
      <c r="CK204" s="100"/>
      <c r="CL204" s="100"/>
      <c r="CM204" s="100"/>
      <c r="CN204" s="100"/>
      <c r="CO204" s="100"/>
      <c r="CP204" s="100"/>
      <c r="CQ204" s="100"/>
      <c r="CR204" s="100"/>
    </row>
    <row r="205" customFormat="false" ht="12.8" hidden="false" customHeight="false" outlineLevel="0" collapsed="false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1"/>
      <c r="M205" s="102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  <c r="BB205" s="100"/>
      <c r="BC205" s="100"/>
      <c r="BD205" s="100"/>
      <c r="BE205" s="100"/>
      <c r="BF205" s="100"/>
      <c r="BG205" s="100"/>
      <c r="BH205" s="100"/>
      <c r="BI205" s="100"/>
      <c r="BJ205" s="100"/>
      <c r="BK205" s="100"/>
      <c r="BL205" s="100"/>
      <c r="BM205" s="100"/>
      <c r="BN205" s="100"/>
      <c r="BO205" s="100"/>
      <c r="BP205" s="100"/>
      <c r="BQ205" s="100"/>
      <c r="BR205" s="100"/>
      <c r="BS205" s="100"/>
      <c r="BT205" s="100"/>
      <c r="BU205" s="100"/>
      <c r="BV205" s="100"/>
      <c r="BW205" s="100"/>
      <c r="BX205" s="100"/>
      <c r="BY205" s="100"/>
      <c r="BZ205" s="100"/>
      <c r="CA205" s="100"/>
      <c r="CB205" s="100"/>
      <c r="CC205" s="100"/>
      <c r="CD205" s="100"/>
      <c r="CE205" s="100"/>
      <c r="CF205" s="100"/>
      <c r="CG205" s="100"/>
      <c r="CH205" s="100"/>
      <c r="CI205" s="100"/>
      <c r="CJ205" s="100"/>
      <c r="CK205" s="100"/>
      <c r="CL205" s="100"/>
      <c r="CM205" s="100"/>
      <c r="CN205" s="100"/>
      <c r="CO205" s="100"/>
      <c r="CP205" s="100"/>
      <c r="CQ205" s="100"/>
      <c r="CR205" s="100"/>
    </row>
    <row r="206" customFormat="false" ht="12.8" hidden="false" customHeight="false" outlineLevel="0" collapsed="false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1"/>
      <c r="M206" s="102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  <c r="AW206" s="100"/>
      <c r="AX206" s="100"/>
      <c r="AY206" s="100"/>
      <c r="AZ206" s="100"/>
      <c r="BA206" s="100"/>
      <c r="BB206" s="100"/>
      <c r="BC206" s="100"/>
      <c r="BD206" s="100"/>
      <c r="BE206" s="100"/>
      <c r="BF206" s="100"/>
      <c r="BG206" s="100"/>
      <c r="BH206" s="100"/>
      <c r="BI206" s="100"/>
      <c r="BJ206" s="100"/>
      <c r="BK206" s="100"/>
      <c r="BL206" s="100"/>
      <c r="BM206" s="100"/>
      <c r="BN206" s="100"/>
      <c r="BO206" s="100"/>
      <c r="BP206" s="100"/>
      <c r="BQ206" s="100"/>
      <c r="BR206" s="100"/>
      <c r="BS206" s="100"/>
      <c r="BT206" s="100"/>
      <c r="BU206" s="100"/>
      <c r="BV206" s="100"/>
      <c r="BW206" s="100"/>
      <c r="BX206" s="100"/>
      <c r="BY206" s="100"/>
      <c r="BZ206" s="100"/>
      <c r="CA206" s="100"/>
      <c r="CB206" s="100"/>
      <c r="CC206" s="100"/>
      <c r="CD206" s="100"/>
      <c r="CE206" s="100"/>
      <c r="CF206" s="100"/>
      <c r="CG206" s="100"/>
      <c r="CH206" s="100"/>
      <c r="CI206" s="100"/>
      <c r="CJ206" s="100"/>
      <c r="CK206" s="100"/>
      <c r="CL206" s="100"/>
      <c r="CM206" s="100"/>
      <c r="CN206" s="100"/>
      <c r="CO206" s="100"/>
      <c r="CP206" s="100"/>
      <c r="CQ206" s="100"/>
      <c r="CR206" s="100"/>
    </row>
    <row r="207" customFormat="false" ht="12.8" hidden="false" customHeight="false" outlineLevel="0" collapsed="false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1"/>
      <c r="M207" s="102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  <c r="AW207" s="100"/>
      <c r="AX207" s="100"/>
      <c r="AY207" s="100"/>
      <c r="AZ207" s="100"/>
      <c r="BA207" s="100"/>
      <c r="BB207" s="100"/>
      <c r="BC207" s="100"/>
      <c r="BD207" s="100"/>
      <c r="BE207" s="100"/>
      <c r="BF207" s="100"/>
      <c r="BG207" s="100"/>
      <c r="BH207" s="100"/>
      <c r="BI207" s="100"/>
      <c r="BJ207" s="100"/>
      <c r="BK207" s="100"/>
      <c r="BL207" s="100"/>
      <c r="BM207" s="100"/>
      <c r="BN207" s="100"/>
      <c r="BO207" s="100"/>
      <c r="BP207" s="100"/>
      <c r="BQ207" s="100"/>
      <c r="BR207" s="100"/>
      <c r="BS207" s="100"/>
      <c r="BT207" s="100"/>
      <c r="BU207" s="100"/>
      <c r="BV207" s="100"/>
      <c r="BW207" s="100"/>
      <c r="BX207" s="100"/>
      <c r="BY207" s="100"/>
      <c r="BZ207" s="100"/>
      <c r="CA207" s="100"/>
      <c r="CB207" s="100"/>
      <c r="CC207" s="100"/>
      <c r="CD207" s="100"/>
      <c r="CE207" s="100"/>
      <c r="CF207" s="100"/>
      <c r="CG207" s="100"/>
      <c r="CH207" s="100"/>
      <c r="CI207" s="100"/>
      <c r="CJ207" s="100"/>
      <c r="CK207" s="100"/>
      <c r="CL207" s="100"/>
      <c r="CM207" s="100"/>
      <c r="CN207" s="100"/>
      <c r="CO207" s="100"/>
      <c r="CP207" s="100"/>
      <c r="CQ207" s="100"/>
      <c r="CR207" s="100"/>
    </row>
    <row r="208" customFormat="false" ht="12.8" hidden="false" customHeight="false" outlineLevel="0" collapsed="false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1"/>
      <c r="M208" s="102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  <c r="AW208" s="100"/>
      <c r="AX208" s="100"/>
      <c r="AY208" s="100"/>
      <c r="AZ208" s="100"/>
      <c r="BA208" s="100"/>
      <c r="BB208" s="100"/>
      <c r="BC208" s="100"/>
      <c r="BD208" s="100"/>
      <c r="BE208" s="100"/>
      <c r="BF208" s="100"/>
      <c r="BG208" s="100"/>
      <c r="BH208" s="100"/>
      <c r="BI208" s="100"/>
      <c r="BJ208" s="100"/>
      <c r="BK208" s="100"/>
      <c r="BL208" s="100"/>
      <c r="BM208" s="100"/>
      <c r="BN208" s="100"/>
      <c r="BO208" s="100"/>
      <c r="BP208" s="100"/>
      <c r="BQ208" s="100"/>
      <c r="BR208" s="100"/>
      <c r="BS208" s="100"/>
      <c r="BT208" s="100"/>
      <c r="BU208" s="100"/>
      <c r="BV208" s="100"/>
      <c r="BW208" s="100"/>
      <c r="BX208" s="100"/>
      <c r="BY208" s="100"/>
      <c r="BZ208" s="100"/>
      <c r="CA208" s="100"/>
      <c r="CB208" s="100"/>
      <c r="CC208" s="100"/>
      <c r="CD208" s="100"/>
      <c r="CE208" s="100"/>
      <c r="CF208" s="100"/>
      <c r="CG208" s="100"/>
      <c r="CH208" s="100"/>
      <c r="CI208" s="100"/>
      <c r="CJ208" s="100"/>
      <c r="CK208" s="100"/>
      <c r="CL208" s="100"/>
      <c r="CM208" s="100"/>
      <c r="CN208" s="100"/>
      <c r="CO208" s="100"/>
      <c r="CP208" s="100"/>
      <c r="CQ208" s="100"/>
      <c r="CR208" s="100"/>
    </row>
    <row r="209" customFormat="false" ht="12.8" hidden="false" customHeight="false" outlineLevel="0" collapsed="false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1"/>
      <c r="M209" s="102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100"/>
      <c r="AY209" s="100"/>
      <c r="AZ209" s="100"/>
      <c r="BA209" s="100"/>
      <c r="BB209" s="100"/>
      <c r="BC209" s="100"/>
      <c r="BD209" s="100"/>
      <c r="BE209" s="100"/>
      <c r="BF209" s="100"/>
      <c r="BG209" s="100"/>
      <c r="BH209" s="100"/>
      <c r="BI209" s="100"/>
      <c r="BJ209" s="100"/>
      <c r="BK209" s="100"/>
      <c r="BL209" s="100"/>
      <c r="BM209" s="100"/>
      <c r="BN209" s="100"/>
      <c r="BO209" s="100"/>
      <c r="BP209" s="100"/>
      <c r="BQ209" s="100"/>
      <c r="BR209" s="100"/>
      <c r="BS209" s="100"/>
      <c r="BT209" s="100"/>
      <c r="BU209" s="100"/>
      <c r="BV209" s="100"/>
      <c r="BW209" s="100"/>
      <c r="BX209" s="100"/>
      <c r="BY209" s="100"/>
      <c r="BZ209" s="100"/>
      <c r="CA209" s="100"/>
      <c r="CB209" s="100"/>
      <c r="CC209" s="100"/>
      <c r="CD209" s="100"/>
      <c r="CE209" s="100"/>
      <c r="CF209" s="100"/>
      <c r="CG209" s="100"/>
      <c r="CH209" s="100"/>
      <c r="CI209" s="100"/>
      <c r="CJ209" s="100"/>
      <c r="CK209" s="100"/>
      <c r="CL209" s="100"/>
      <c r="CM209" s="100"/>
      <c r="CN209" s="100"/>
      <c r="CO209" s="100"/>
      <c r="CP209" s="100"/>
      <c r="CQ209" s="100"/>
      <c r="CR209" s="100"/>
    </row>
    <row r="210" customFormat="false" ht="12.8" hidden="false" customHeight="false" outlineLevel="0" collapsed="false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1"/>
      <c r="M210" s="102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  <c r="AW210" s="100"/>
      <c r="AX210" s="100"/>
      <c r="AY210" s="100"/>
      <c r="AZ210" s="100"/>
      <c r="BA210" s="100"/>
      <c r="BB210" s="100"/>
      <c r="BC210" s="100"/>
      <c r="BD210" s="100"/>
      <c r="BE210" s="100"/>
      <c r="BF210" s="100"/>
      <c r="BG210" s="100"/>
      <c r="BH210" s="100"/>
      <c r="BI210" s="100"/>
      <c r="BJ210" s="100"/>
      <c r="BK210" s="100"/>
      <c r="BL210" s="100"/>
      <c r="BM210" s="100"/>
      <c r="BN210" s="100"/>
      <c r="BO210" s="100"/>
      <c r="BP210" s="100"/>
      <c r="BQ210" s="100"/>
      <c r="BR210" s="100"/>
      <c r="BS210" s="100"/>
      <c r="BT210" s="100"/>
      <c r="BU210" s="100"/>
      <c r="BV210" s="100"/>
      <c r="BW210" s="100"/>
      <c r="BX210" s="100"/>
      <c r="BY210" s="100"/>
      <c r="BZ210" s="100"/>
      <c r="CA210" s="100"/>
      <c r="CB210" s="100"/>
      <c r="CC210" s="100"/>
      <c r="CD210" s="100"/>
      <c r="CE210" s="100"/>
      <c r="CF210" s="100"/>
      <c r="CG210" s="100"/>
      <c r="CH210" s="100"/>
      <c r="CI210" s="100"/>
      <c r="CJ210" s="100"/>
      <c r="CK210" s="100"/>
      <c r="CL210" s="100"/>
      <c r="CM210" s="100"/>
      <c r="CN210" s="100"/>
      <c r="CO210" s="100"/>
      <c r="CP210" s="100"/>
      <c r="CQ210" s="100"/>
      <c r="CR210" s="100"/>
    </row>
    <row r="211" customFormat="false" ht="12.8" hidden="false" customHeight="false" outlineLevel="0" collapsed="false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1"/>
      <c r="M211" s="102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  <c r="AW211" s="100"/>
      <c r="AX211" s="100"/>
      <c r="AY211" s="100"/>
      <c r="AZ211" s="100"/>
      <c r="BA211" s="100"/>
      <c r="BB211" s="100"/>
      <c r="BC211" s="100"/>
      <c r="BD211" s="100"/>
      <c r="BE211" s="100"/>
      <c r="BF211" s="100"/>
      <c r="BG211" s="100"/>
      <c r="BH211" s="100"/>
      <c r="BI211" s="100"/>
      <c r="BJ211" s="100"/>
      <c r="BK211" s="100"/>
      <c r="BL211" s="100"/>
      <c r="BM211" s="100"/>
      <c r="BN211" s="100"/>
      <c r="BO211" s="100"/>
      <c r="BP211" s="100"/>
      <c r="BQ211" s="100"/>
      <c r="BR211" s="100"/>
      <c r="BS211" s="100"/>
      <c r="BT211" s="100"/>
      <c r="BU211" s="100"/>
      <c r="BV211" s="100"/>
      <c r="BW211" s="100"/>
      <c r="BX211" s="100"/>
      <c r="BY211" s="100"/>
      <c r="BZ211" s="100"/>
      <c r="CA211" s="100"/>
      <c r="CB211" s="100"/>
      <c r="CC211" s="100"/>
      <c r="CD211" s="100"/>
      <c r="CE211" s="100"/>
      <c r="CF211" s="100"/>
      <c r="CG211" s="100"/>
      <c r="CH211" s="100"/>
      <c r="CI211" s="100"/>
      <c r="CJ211" s="100"/>
      <c r="CK211" s="100"/>
      <c r="CL211" s="100"/>
      <c r="CM211" s="100"/>
      <c r="CN211" s="100"/>
      <c r="CO211" s="100"/>
      <c r="CP211" s="100"/>
      <c r="CQ211" s="100"/>
      <c r="CR211" s="100"/>
    </row>
    <row r="212" customFormat="false" ht="12.8" hidden="false" customHeight="false" outlineLevel="0" collapsed="false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1"/>
      <c r="M212" s="102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  <c r="AW212" s="100"/>
      <c r="AX212" s="100"/>
      <c r="AY212" s="100"/>
      <c r="AZ212" s="100"/>
      <c r="BA212" s="100"/>
      <c r="BB212" s="100"/>
      <c r="BC212" s="100"/>
      <c r="BD212" s="100"/>
      <c r="BE212" s="100"/>
      <c r="BF212" s="100"/>
      <c r="BG212" s="100"/>
      <c r="BH212" s="100"/>
      <c r="BI212" s="100"/>
      <c r="BJ212" s="100"/>
      <c r="BK212" s="100"/>
      <c r="BL212" s="100"/>
      <c r="BM212" s="100"/>
      <c r="BN212" s="100"/>
      <c r="BO212" s="100"/>
      <c r="BP212" s="100"/>
      <c r="BQ212" s="100"/>
      <c r="BR212" s="100"/>
      <c r="BS212" s="100"/>
      <c r="BT212" s="100"/>
      <c r="BU212" s="100"/>
      <c r="BV212" s="100"/>
      <c r="BW212" s="100"/>
      <c r="BX212" s="100"/>
      <c r="BY212" s="100"/>
      <c r="BZ212" s="100"/>
      <c r="CA212" s="100"/>
      <c r="CB212" s="100"/>
      <c r="CC212" s="100"/>
      <c r="CD212" s="100"/>
      <c r="CE212" s="100"/>
      <c r="CF212" s="100"/>
      <c r="CG212" s="100"/>
      <c r="CH212" s="100"/>
      <c r="CI212" s="100"/>
      <c r="CJ212" s="100"/>
      <c r="CK212" s="100"/>
      <c r="CL212" s="100"/>
      <c r="CM212" s="100"/>
      <c r="CN212" s="100"/>
      <c r="CO212" s="100"/>
      <c r="CP212" s="100"/>
      <c r="CQ212" s="100"/>
      <c r="CR212" s="100"/>
    </row>
    <row r="213" customFormat="false" ht="12.8" hidden="false" customHeight="false" outlineLevel="0" collapsed="false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1"/>
      <c r="M213" s="102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  <c r="BB213" s="100"/>
      <c r="BC213" s="100"/>
      <c r="BD213" s="100"/>
      <c r="BE213" s="100"/>
      <c r="BF213" s="100"/>
      <c r="BG213" s="100"/>
      <c r="BH213" s="100"/>
      <c r="BI213" s="100"/>
      <c r="BJ213" s="100"/>
      <c r="BK213" s="100"/>
      <c r="BL213" s="100"/>
      <c r="BM213" s="100"/>
      <c r="BN213" s="100"/>
      <c r="BO213" s="100"/>
      <c r="BP213" s="100"/>
      <c r="BQ213" s="100"/>
      <c r="BR213" s="100"/>
      <c r="BS213" s="100"/>
      <c r="BT213" s="100"/>
      <c r="BU213" s="100"/>
      <c r="BV213" s="100"/>
      <c r="BW213" s="100"/>
      <c r="BX213" s="100"/>
      <c r="BY213" s="100"/>
      <c r="BZ213" s="100"/>
      <c r="CA213" s="100"/>
      <c r="CB213" s="100"/>
      <c r="CC213" s="100"/>
      <c r="CD213" s="100"/>
      <c r="CE213" s="100"/>
      <c r="CF213" s="100"/>
      <c r="CG213" s="100"/>
      <c r="CH213" s="100"/>
      <c r="CI213" s="100"/>
      <c r="CJ213" s="100"/>
      <c r="CK213" s="100"/>
      <c r="CL213" s="100"/>
      <c r="CM213" s="100"/>
      <c r="CN213" s="100"/>
      <c r="CO213" s="100"/>
      <c r="CP213" s="100"/>
      <c r="CQ213" s="100"/>
      <c r="CR213" s="100"/>
    </row>
    <row r="214" customFormat="false" ht="12.8" hidden="false" customHeight="false" outlineLevel="0" collapsed="false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1"/>
      <c r="M214" s="102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  <c r="BB214" s="100"/>
      <c r="BC214" s="100"/>
      <c r="BD214" s="100"/>
      <c r="BE214" s="100"/>
      <c r="BF214" s="100"/>
      <c r="BG214" s="100"/>
      <c r="BH214" s="100"/>
      <c r="BI214" s="100"/>
      <c r="BJ214" s="100"/>
      <c r="BK214" s="100"/>
      <c r="BL214" s="100"/>
      <c r="BM214" s="100"/>
      <c r="BN214" s="100"/>
      <c r="BO214" s="100"/>
      <c r="BP214" s="100"/>
      <c r="BQ214" s="100"/>
      <c r="BR214" s="100"/>
      <c r="BS214" s="100"/>
      <c r="BT214" s="100"/>
      <c r="BU214" s="100"/>
      <c r="BV214" s="100"/>
      <c r="BW214" s="100"/>
      <c r="BX214" s="100"/>
      <c r="BY214" s="100"/>
      <c r="BZ214" s="100"/>
      <c r="CA214" s="100"/>
      <c r="CB214" s="100"/>
      <c r="CC214" s="100"/>
      <c r="CD214" s="100"/>
      <c r="CE214" s="100"/>
      <c r="CF214" s="100"/>
      <c r="CG214" s="100"/>
      <c r="CH214" s="100"/>
      <c r="CI214" s="100"/>
      <c r="CJ214" s="100"/>
      <c r="CK214" s="100"/>
      <c r="CL214" s="100"/>
      <c r="CM214" s="100"/>
      <c r="CN214" s="100"/>
      <c r="CO214" s="100"/>
      <c r="CP214" s="100"/>
      <c r="CQ214" s="100"/>
      <c r="CR214" s="100"/>
    </row>
    <row r="215" customFormat="false" ht="12.8" hidden="false" customHeight="false" outlineLevel="0" collapsed="false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1"/>
      <c r="M215" s="102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  <c r="AW215" s="100"/>
      <c r="AX215" s="100"/>
      <c r="AY215" s="100"/>
      <c r="AZ215" s="100"/>
      <c r="BA215" s="100"/>
      <c r="BB215" s="100"/>
      <c r="BC215" s="100"/>
      <c r="BD215" s="100"/>
      <c r="BE215" s="100"/>
      <c r="BF215" s="100"/>
      <c r="BG215" s="100"/>
      <c r="BH215" s="100"/>
      <c r="BI215" s="100"/>
      <c r="BJ215" s="100"/>
      <c r="BK215" s="100"/>
      <c r="BL215" s="100"/>
      <c r="BM215" s="100"/>
      <c r="BN215" s="100"/>
      <c r="BO215" s="100"/>
      <c r="BP215" s="100"/>
      <c r="BQ215" s="100"/>
      <c r="BR215" s="100"/>
      <c r="BS215" s="100"/>
      <c r="BT215" s="100"/>
      <c r="BU215" s="100"/>
      <c r="BV215" s="100"/>
      <c r="BW215" s="100"/>
      <c r="BX215" s="100"/>
      <c r="BY215" s="100"/>
      <c r="BZ215" s="100"/>
      <c r="CA215" s="100"/>
      <c r="CB215" s="100"/>
      <c r="CC215" s="100"/>
      <c r="CD215" s="100"/>
      <c r="CE215" s="100"/>
      <c r="CF215" s="100"/>
      <c r="CG215" s="100"/>
      <c r="CH215" s="100"/>
      <c r="CI215" s="100"/>
      <c r="CJ215" s="100"/>
      <c r="CK215" s="100"/>
      <c r="CL215" s="100"/>
      <c r="CM215" s="100"/>
      <c r="CN215" s="100"/>
      <c r="CO215" s="100"/>
      <c r="CP215" s="100"/>
      <c r="CQ215" s="100"/>
      <c r="CR215" s="100"/>
    </row>
    <row r="216" customFormat="false" ht="12.8" hidden="false" customHeight="false" outlineLevel="0" collapsed="false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1"/>
      <c r="M216" s="102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  <c r="BB216" s="100"/>
      <c r="BC216" s="100"/>
      <c r="BD216" s="100"/>
      <c r="BE216" s="100"/>
      <c r="BF216" s="100"/>
      <c r="BG216" s="100"/>
      <c r="BH216" s="100"/>
      <c r="BI216" s="100"/>
      <c r="BJ216" s="100"/>
      <c r="BK216" s="100"/>
      <c r="BL216" s="100"/>
      <c r="BM216" s="100"/>
      <c r="BN216" s="100"/>
      <c r="BO216" s="100"/>
      <c r="BP216" s="100"/>
      <c r="BQ216" s="100"/>
      <c r="BR216" s="100"/>
      <c r="BS216" s="100"/>
      <c r="BT216" s="100"/>
      <c r="BU216" s="100"/>
      <c r="BV216" s="100"/>
      <c r="BW216" s="100"/>
      <c r="BX216" s="100"/>
      <c r="BY216" s="100"/>
      <c r="BZ216" s="100"/>
      <c r="CA216" s="100"/>
      <c r="CB216" s="100"/>
      <c r="CC216" s="100"/>
      <c r="CD216" s="100"/>
      <c r="CE216" s="100"/>
      <c r="CF216" s="100"/>
      <c r="CG216" s="100"/>
      <c r="CH216" s="100"/>
      <c r="CI216" s="100"/>
      <c r="CJ216" s="100"/>
      <c r="CK216" s="100"/>
      <c r="CL216" s="100"/>
      <c r="CM216" s="100"/>
      <c r="CN216" s="100"/>
      <c r="CO216" s="100"/>
      <c r="CP216" s="100"/>
      <c r="CQ216" s="100"/>
      <c r="CR216" s="100"/>
    </row>
    <row r="217" customFormat="false" ht="12.8" hidden="false" customHeight="false" outlineLevel="0" collapsed="false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1"/>
      <c r="M217" s="102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  <c r="BB217" s="100"/>
      <c r="BC217" s="100"/>
      <c r="BD217" s="100"/>
      <c r="BE217" s="100"/>
      <c r="BF217" s="100"/>
      <c r="BG217" s="100"/>
      <c r="BH217" s="100"/>
      <c r="BI217" s="100"/>
      <c r="BJ217" s="100"/>
      <c r="BK217" s="100"/>
      <c r="BL217" s="100"/>
      <c r="BM217" s="100"/>
      <c r="BN217" s="100"/>
      <c r="BO217" s="100"/>
      <c r="BP217" s="100"/>
      <c r="BQ217" s="100"/>
      <c r="BR217" s="100"/>
      <c r="BS217" s="100"/>
      <c r="BT217" s="100"/>
      <c r="BU217" s="100"/>
      <c r="BV217" s="100"/>
      <c r="BW217" s="100"/>
      <c r="BX217" s="100"/>
      <c r="BY217" s="100"/>
      <c r="BZ217" s="100"/>
      <c r="CA217" s="100"/>
      <c r="CB217" s="100"/>
      <c r="CC217" s="100"/>
      <c r="CD217" s="100"/>
      <c r="CE217" s="100"/>
      <c r="CF217" s="100"/>
      <c r="CG217" s="100"/>
      <c r="CH217" s="100"/>
      <c r="CI217" s="100"/>
      <c r="CJ217" s="100"/>
      <c r="CK217" s="100"/>
      <c r="CL217" s="100"/>
      <c r="CM217" s="100"/>
      <c r="CN217" s="100"/>
      <c r="CO217" s="100"/>
      <c r="CP217" s="100"/>
      <c r="CQ217" s="100"/>
      <c r="CR217" s="100"/>
    </row>
    <row r="218" customFormat="false" ht="12.8" hidden="false" customHeight="false" outlineLevel="0" collapsed="false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1"/>
      <c r="M218" s="102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  <c r="AS218" s="100"/>
      <c r="AT218" s="100"/>
      <c r="AU218" s="100"/>
      <c r="AV218" s="100"/>
      <c r="AW218" s="100"/>
      <c r="AX218" s="100"/>
      <c r="AY218" s="100"/>
      <c r="AZ218" s="100"/>
      <c r="BA218" s="100"/>
      <c r="BB218" s="100"/>
      <c r="BC218" s="100"/>
      <c r="BD218" s="100"/>
      <c r="BE218" s="100"/>
      <c r="BF218" s="100"/>
      <c r="BG218" s="100"/>
      <c r="BH218" s="100"/>
      <c r="BI218" s="100"/>
      <c r="BJ218" s="100"/>
      <c r="BK218" s="100"/>
      <c r="BL218" s="100"/>
      <c r="BM218" s="100"/>
      <c r="BN218" s="100"/>
      <c r="BO218" s="100"/>
      <c r="BP218" s="100"/>
      <c r="BQ218" s="100"/>
      <c r="BR218" s="100"/>
      <c r="BS218" s="100"/>
      <c r="BT218" s="100"/>
      <c r="BU218" s="100"/>
      <c r="BV218" s="100"/>
      <c r="BW218" s="100"/>
      <c r="BX218" s="100"/>
      <c r="BY218" s="100"/>
      <c r="BZ218" s="100"/>
      <c r="CA218" s="100"/>
      <c r="CB218" s="100"/>
      <c r="CC218" s="100"/>
      <c r="CD218" s="100"/>
      <c r="CE218" s="100"/>
      <c r="CF218" s="100"/>
      <c r="CG218" s="100"/>
      <c r="CH218" s="100"/>
      <c r="CI218" s="100"/>
      <c r="CJ218" s="100"/>
      <c r="CK218" s="100"/>
      <c r="CL218" s="100"/>
      <c r="CM218" s="100"/>
      <c r="CN218" s="100"/>
      <c r="CO218" s="100"/>
      <c r="CP218" s="100"/>
      <c r="CQ218" s="100"/>
      <c r="CR218" s="100"/>
    </row>
    <row r="219" customFormat="false" ht="12.8" hidden="false" customHeight="false" outlineLevel="0" collapsed="false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1"/>
      <c r="M219" s="102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  <c r="AW219" s="100"/>
      <c r="AX219" s="100"/>
      <c r="AY219" s="100"/>
      <c r="AZ219" s="100"/>
      <c r="BA219" s="100"/>
      <c r="BB219" s="100"/>
      <c r="BC219" s="100"/>
      <c r="BD219" s="100"/>
      <c r="BE219" s="100"/>
      <c r="BF219" s="100"/>
      <c r="BG219" s="100"/>
      <c r="BH219" s="100"/>
      <c r="BI219" s="100"/>
      <c r="BJ219" s="100"/>
      <c r="BK219" s="100"/>
      <c r="BL219" s="100"/>
      <c r="BM219" s="100"/>
      <c r="BN219" s="100"/>
      <c r="BO219" s="100"/>
      <c r="BP219" s="100"/>
      <c r="BQ219" s="100"/>
      <c r="BR219" s="100"/>
      <c r="BS219" s="100"/>
      <c r="BT219" s="100"/>
      <c r="BU219" s="100"/>
      <c r="BV219" s="100"/>
      <c r="BW219" s="100"/>
      <c r="BX219" s="100"/>
      <c r="BY219" s="100"/>
      <c r="BZ219" s="100"/>
      <c r="CA219" s="100"/>
      <c r="CB219" s="100"/>
      <c r="CC219" s="100"/>
      <c r="CD219" s="100"/>
      <c r="CE219" s="100"/>
      <c r="CF219" s="100"/>
      <c r="CG219" s="100"/>
      <c r="CH219" s="100"/>
      <c r="CI219" s="100"/>
      <c r="CJ219" s="100"/>
      <c r="CK219" s="100"/>
      <c r="CL219" s="100"/>
      <c r="CM219" s="100"/>
      <c r="CN219" s="100"/>
      <c r="CO219" s="100"/>
      <c r="CP219" s="100"/>
      <c r="CQ219" s="100"/>
      <c r="CR219" s="100"/>
    </row>
    <row r="220" customFormat="false" ht="12.8" hidden="false" customHeight="false" outlineLevel="0" collapsed="false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1"/>
      <c r="M220" s="102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  <c r="AW220" s="100"/>
      <c r="AX220" s="100"/>
      <c r="AY220" s="100"/>
      <c r="AZ220" s="100"/>
      <c r="BA220" s="100"/>
      <c r="BB220" s="100"/>
      <c r="BC220" s="100"/>
      <c r="BD220" s="100"/>
      <c r="BE220" s="100"/>
      <c r="BF220" s="100"/>
      <c r="BG220" s="100"/>
      <c r="BH220" s="100"/>
      <c r="BI220" s="100"/>
      <c r="BJ220" s="100"/>
      <c r="BK220" s="100"/>
      <c r="BL220" s="100"/>
      <c r="BM220" s="100"/>
      <c r="BN220" s="100"/>
      <c r="BO220" s="100"/>
      <c r="BP220" s="100"/>
      <c r="BQ220" s="100"/>
      <c r="BR220" s="100"/>
      <c r="BS220" s="100"/>
      <c r="BT220" s="100"/>
      <c r="BU220" s="100"/>
      <c r="BV220" s="100"/>
      <c r="BW220" s="100"/>
      <c r="BX220" s="100"/>
      <c r="BY220" s="100"/>
      <c r="BZ220" s="100"/>
      <c r="CA220" s="100"/>
      <c r="CB220" s="100"/>
      <c r="CC220" s="100"/>
      <c r="CD220" s="100"/>
      <c r="CE220" s="100"/>
      <c r="CF220" s="100"/>
      <c r="CG220" s="100"/>
      <c r="CH220" s="100"/>
      <c r="CI220" s="100"/>
      <c r="CJ220" s="100"/>
      <c r="CK220" s="100"/>
      <c r="CL220" s="100"/>
      <c r="CM220" s="100"/>
      <c r="CN220" s="100"/>
      <c r="CO220" s="100"/>
      <c r="CP220" s="100"/>
      <c r="CQ220" s="100"/>
      <c r="CR220" s="100"/>
    </row>
    <row r="221" customFormat="false" ht="12.8" hidden="false" customHeight="false" outlineLevel="0" collapsed="false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1"/>
      <c r="M221" s="102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  <c r="AW221" s="100"/>
      <c r="AX221" s="100"/>
      <c r="AY221" s="100"/>
      <c r="AZ221" s="100"/>
      <c r="BA221" s="100"/>
      <c r="BB221" s="100"/>
      <c r="BC221" s="100"/>
      <c r="BD221" s="100"/>
      <c r="BE221" s="100"/>
      <c r="BF221" s="100"/>
      <c r="BG221" s="100"/>
      <c r="BH221" s="100"/>
      <c r="BI221" s="100"/>
      <c r="BJ221" s="100"/>
      <c r="BK221" s="100"/>
      <c r="BL221" s="100"/>
      <c r="BM221" s="100"/>
      <c r="BN221" s="100"/>
      <c r="BO221" s="100"/>
      <c r="BP221" s="100"/>
      <c r="BQ221" s="100"/>
      <c r="BR221" s="100"/>
      <c r="BS221" s="100"/>
      <c r="BT221" s="100"/>
      <c r="BU221" s="100"/>
      <c r="BV221" s="100"/>
      <c r="BW221" s="100"/>
      <c r="BX221" s="100"/>
      <c r="BY221" s="100"/>
      <c r="BZ221" s="100"/>
      <c r="CA221" s="100"/>
      <c r="CB221" s="100"/>
      <c r="CC221" s="100"/>
      <c r="CD221" s="100"/>
      <c r="CE221" s="100"/>
      <c r="CF221" s="100"/>
      <c r="CG221" s="100"/>
      <c r="CH221" s="100"/>
      <c r="CI221" s="100"/>
      <c r="CJ221" s="100"/>
      <c r="CK221" s="100"/>
      <c r="CL221" s="100"/>
      <c r="CM221" s="100"/>
      <c r="CN221" s="100"/>
      <c r="CO221" s="100"/>
      <c r="CP221" s="100"/>
      <c r="CQ221" s="100"/>
      <c r="CR221" s="100"/>
    </row>
    <row r="222" customFormat="false" ht="12.8" hidden="false" customHeight="false" outlineLevel="0" collapsed="false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1"/>
      <c r="M222" s="102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0"/>
      <c r="AS222" s="100"/>
      <c r="AT222" s="100"/>
      <c r="AU222" s="100"/>
      <c r="AV222" s="100"/>
      <c r="AW222" s="100"/>
      <c r="AX222" s="100"/>
      <c r="AY222" s="100"/>
      <c r="AZ222" s="100"/>
      <c r="BA222" s="100"/>
      <c r="BB222" s="100"/>
      <c r="BC222" s="100"/>
      <c r="BD222" s="100"/>
      <c r="BE222" s="100"/>
      <c r="BF222" s="100"/>
      <c r="BG222" s="100"/>
      <c r="BH222" s="100"/>
      <c r="BI222" s="100"/>
      <c r="BJ222" s="100"/>
      <c r="BK222" s="100"/>
      <c r="BL222" s="100"/>
      <c r="BM222" s="100"/>
      <c r="BN222" s="100"/>
      <c r="BO222" s="100"/>
      <c r="BP222" s="100"/>
      <c r="BQ222" s="100"/>
      <c r="BR222" s="100"/>
      <c r="BS222" s="100"/>
      <c r="BT222" s="100"/>
      <c r="BU222" s="100"/>
      <c r="BV222" s="100"/>
      <c r="BW222" s="100"/>
      <c r="BX222" s="100"/>
      <c r="BY222" s="100"/>
      <c r="BZ222" s="100"/>
      <c r="CA222" s="100"/>
      <c r="CB222" s="100"/>
      <c r="CC222" s="100"/>
      <c r="CD222" s="100"/>
      <c r="CE222" s="100"/>
      <c r="CF222" s="100"/>
      <c r="CG222" s="100"/>
      <c r="CH222" s="100"/>
      <c r="CI222" s="100"/>
      <c r="CJ222" s="100"/>
      <c r="CK222" s="100"/>
      <c r="CL222" s="100"/>
      <c r="CM222" s="100"/>
      <c r="CN222" s="100"/>
      <c r="CO222" s="100"/>
      <c r="CP222" s="100"/>
      <c r="CQ222" s="100"/>
      <c r="CR222" s="100"/>
    </row>
    <row r="223" customFormat="false" ht="12.8" hidden="false" customHeight="false" outlineLevel="0" collapsed="false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1"/>
      <c r="M223" s="102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  <c r="AW223" s="100"/>
      <c r="AX223" s="100"/>
      <c r="AY223" s="100"/>
      <c r="AZ223" s="100"/>
      <c r="BA223" s="100"/>
      <c r="BB223" s="100"/>
      <c r="BC223" s="100"/>
      <c r="BD223" s="100"/>
      <c r="BE223" s="100"/>
      <c r="BF223" s="100"/>
      <c r="BG223" s="100"/>
      <c r="BH223" s="100"/>
      <c r="BI223" s="100"/>
      <c r="BJ223" s="100"/>
      <c r="BK223" s="100"/>
      <c r="BL223" s="100"/>
      <c r="BM223" s="100"/>
      <c r="BN223" s="100"/>
      <c r="BO223" s="100"/>
      <c r="BP223" s="100"/>
      <c r="BQ223" s="100"/>
      <c r="BR223" s="100"/>
      <c r="BS223" s="100"/>
      <c r="BT223" s="100"/>
      <c r="BU223" s="100"/>
      <c r="BV223" s="100"/>
      <c r="BW223" s="100"/>
      <c r="BX223" s="100"/>
      <c r="BY223" s="100"/>
      <c r="BZ223" s="100"/>
      <c r="CA223" s="100"/>
      <c r="CB223" s="100"/>
      <c r="CC223" s="100"/>
      <c r="CD223" s="100"/>
      <c r="CE223" s="100"/>
      <c r="CF223" s="100"/>
      <c r="CG223" s="100"/>
      <c r="CH223" s="100"/>
      <c r="CI223" s="100"/>
      <c r="CJ223" s="100"/>
      <c r="CK223" s="100"/>
      <c r="CL223" s="100"/>
      <c r="CM223" s="100"/>
      <c r="CN223" s="100"/>
      <c r="CO223" s="100"/>
      <c r="CP223" s="100"/>
      <c r="CQ223" s="100"/>
      <c r="CR223" s="100"/>
    </row>
    <row r="224" customFormat="false" ht="12.8" hidden="false" customHeight="false" outlineLevel="0" collapsed="false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1"/>
      <c r="M224" s="102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  <c r="AW224" s="100"/>
      <c r="AX224" s="100"/>
      <c r="AY224" s="100"/>
      <c r="AZ224" s="100"/>
      <c r="BA224" s="100"/>
      <c r="BB224" s="100"/>
      <c r="BC224" s="100"/>
      <c r="BD224" s="100"/>
      <c r="BE224" s="100"/>
      <c r="BF224" s="100"/>
      <c r="BG224" s="100"/>
      <c r="BH224" s="100"/>
      <c r="BI224" s="100"/>
      <c r="BJ224" s="100"/>
      <c r="BK224" s="100"/>
      <c r="BL224" s="100"/>
      <c r="BM224" s="100"/>
      <c r="BN224" s="100"/>
      <c r="BO224" s="100"/>
      <c r="BP224" s="100"/>
      <c r="BQ224" s="100"/>
      <c r="BR224" s="100"/>
      <c r="BS224" s="100"/>
      <c r="BT224" s="100"/>
      <c r="BU224" s="100"/>
      <c r="BV224" s="100"/>
      <c r="BW224" s="100"/>
      <c r="BX224" s="100"/>
      <c r="BY224" s="100"/>
      <c r="BZ224" s="100"/>
      <c r="CA224" s="100"/>
      <c r="CB224" s="100"/>
      <c r="CC224" s="100"/>
      <c r="CD224" s="100"/>
      <c r="CE224" s="100"/>
      <c r="CF224" s="100"/>
      <c r="CG224" s="100"/>
      <c r="CH224" s="100"/>
      <c r="CI224" s="100"/>
      <c r="CJ224" s="100"/>
      <c r="CK224" s="100"/>
      <c r="CL224" s="100"/>
      <c r="CM224" s="100"/>
      <c r="CN224" s="100"/>
      <c r="CO224" s="100"/>
      <c r="CP224" s="100"/>
      <c r="CQ224" s="100"/>
      <c r="CR224" s="100"/>
    </row>
  </sheetData>
  <mergeCells count="38">
    <mergeCell ref="AA1:AG1"/>
    <mergeCell ref="AH1:AN1"/>
    <mergeCell ref="AO1:AU1"/>
    <mergeCell ref="BJ1:BP1"/>
    <mergeCell ref="P2:W2"/>
    <mergeCell ref="AA2:AG2"/>
    <mergeCell ref="AH2:AN2"/>
    <mergeCell ref="AO2:AU2"/>
    <mergeCell ref="AV2:BB2"/>
    <mergeCell ref="BC2:BI2"/>
    <mergeCell ref="BJ2:BP2"/>
    <mergeCell ref="BQ2:BW2"/>
    <mergeCell ref="BX2:CD2"/>
    <mergeCell ref="CE2:CK2"/>
    <mergeCell ref="CL2:CR2"/>
    <mergeCell ref="Q3:S3"/>
    <mergeCell ref="U3:W3"/>
    <mergeCell ref="X3:Z3"/>
    <mergeCell ref="AA3:AB3"/>
    <mergeCell ref="AC3:AG3"/>
    <mergeCell ref="AH3:AI3"/>
    <mergeCell ref="AJ3:AN3"/>
    <mergeCell ref="AO3:AP3"/>
    <mergeCell ref="AQ3:AU3"/>
    <mergeCell ref="AV3:AW3"/>
    <mergeCell ref="AX3:BB3"/>
    <mergeCell ref="BC3:BD3"/>
    <mergeCell ref="BE3:BI3"/>
    <mergeCell ref="BJ3:BK3"/>
    <mergeCell ref="BL3:BP3"/>
    <mergeCell ref="BQ3:BR3"/>
    <mergeCell ref="BS3:BW3"/>
    <mergeCell ref="BX3:BY3"/>
    <mergeCell ref="BZ3:CD3"/>
    <mergeCell ref="CE3:CF3"/>
    <mergeCell ref="CG3:CK3"/>
    <mergeCell ref="CL3:CM3"/>
    <mergeCell ref="CN3:CR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Z2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10.73046875" defaultRowHeight="12.8" zeroHeight="false" outlineLevelRow="0" outlineLevelCol="0"/>
  <cols>
    <col collapsed="false" customWidth="true" hidden="false" outlineLevel="0" max="2" min="1" style="0" width="13.86"/>
    <col collapsed="false" customWidth="true" hidden="false" outlineLevel="0" max="3" min="3" style="0" width="21.43"/>
    <col collapsed="false" customWidth="true" hidden="false" outlineLevel="0" max="4" min="4" style="0" width="23.95"/>
    <col collapsed="false" customWidth="true" hidden="false" outlineLevel="0" max="5" min="5" style="0" width="12.6"/>
    <col collapsed="false" customWidth="true" hidden="false" outlineLevel="0" max="6" min="6" style="0" width="15.12"/>
    <col collapsed="false" customWidth="true" hidden="false" outlineLevel="0" max="7" min="7" style="0" width="21.43"/>
    <col collapsed="false" customWidth="true" hidden="false" outlineLevel="0" max="8" min="8" style="0" width="12.6"/>
    <col collapsed="false" customWidth="true" hidden="false" outlineLevel="0" max="9" min="9" style="0" width="15.12"/>
    <col collapsed="false" customWidth="true" hidden="false" outlineLevel="0" max="10" min="10" style="0" width="12.6"/>
    <col collapsed="false" customWidth="true" hidden="false" outlineLevel="0" max="11" min="11" style="0" width="17.64"/>
    <col collapsed="false" customWidth="true" hidden="false" outlineLevel="0" max="13" min="12" style="0" width="12.6"/>
    <col collapsed="false" customWidth="true" hidden="false" outlineLevel="0" max="14" min="14" style="0" width="11.34"/>
    <col collapsed="false" customWidth="true" hidden="false" outlineLevel="0" max="17" min="15" style="0" width="10.08"/>
    <col collapsed="false" customWidth="true" hidden="false" outlineLevel="0" max="20" min="18" style="0" width="8.82"/>
    <col collapsed="false" customWidth="true" hidden="false" outlineLevel="0" max="21" min="21" style="0" width="17.64"/>
    <col collapsed="false" customWidth="true" hidden="false" outlineLevel="0" max="23" min="22" style="0" width="15.12"/>
    <col collapsed="false" customWidth="true" hidden="false" outlineLevel="0" max="24" min="24" style="0" width="12.6"/>
    <col collapsed="false" customWidth="true" hidden="false" outlineLevel="0" max="26" min="25" style="0" width="15.12"/>
    <col collapsed="false" customWidth="true" hidden="false" outlineLevel="0" max="27" min="27" style="0" width="10.08"/>
    <col collapsed="false" customWidth="true" hidden="false" outlineLevel="0" max="28" min="28" style="0" width="17.64"/>
    <col collapsed="false" customWidth="true" hidden="false" outlineLevel="0" max="29" min="29" style="0" width="16.38"/>
    <col collapsed="false" customWidth="true" hidden="false" outlineLevel="0" max="30" min="30" style="0" width="12.6"/>
    <col collapsed="false" customWidth="true" hidden="false" outlineLevel="0" max="31" min="31" style="0" width="26.47"/>
    <col collapsed="false" customWidth="true" hidden="false" outlineLevel="0" max="34" min="32" style="0" width="10.08"/>
    <col collapsed="false" customWidth="true" hidden="false" outlineLevel="0" max="35" min="35" style="0" width="37.81"/>
    <col collapsed="false" customWidth="true" hidden="false" outlineLevel="0" max="36" min="36" style="0" width="16.38"/>
    <col collapsed="false" customWidth="true" hidden="false" outlineLevel="0" max="37" min="37" style="0" width="12.6"/>
    <col collapsed="false" customWidth="true" hidden="false" outlineLevel="0" max="38" min="38" style="0" width="37.81"/>
    <col collapsed="false" customWidth="true" hidden="false" outlineLevel="0" max="39" min="39" style="0" width="15.12"/>
    <col collapsed="false" customWidth="true" hidden="false" outlineLevel="0" max="40" min="40" style="0" width="10.08"/>
    <col collapsed="false" customWidth="true" hidden="false" outlineLevel="0" max="41" min="41" style="0" width="12.6"/>
    <col collapsed="false" customWidth="true" hidden="false" outlineLevel="0" max="43" min="42" style="0" width="13.86"/>
    <col collapsed="false" customWidth="true" hidden="false" outlineLevel="0" max="52" min="44" style="0" width="11.34"/>
    <col collapsed="false" customWidth="true" hidden="false" outlineLevel="0" max="53" min="53" style="0" width="15.12"/>
    <col collapsed="false" customWidth="true" hidden="false" outlineLevel="0" max="54" min="54" style="0" width="10.08"/>
    <col collapsed="false" customWidth="true" hidden="false" outlineLevel="0" max="58" min="55" style="0" width="12.6"/>
    <col collapsed="false" customWidth="true" hidden="false" outlineLevel="0" max="59" min="59" style="0" width="10.08"/>
    <col collapsed="false" customWidth="true" hidden="false" outlineLevel="0" max="60" min="60" style="0" width="15.12"/>
    <col collapsed="false" customWidth="true" hidden="false" outlineLevel="0" max="61" min="61" style="0" width="10.08"/>
    <col collapsed="false" customWidth="true" hidden="false" outlineLevel="0" max="62" min="62" style="0" width="12.6"/>
    <col collapsed="false" customWidth="true" hidden="false" outlineLevel="0" max="66" min="63" style="0" width="8.82"/>
    <col collapsed="false" customWidth="true" hidden="false" outlineLevel="0" max="67" min="67" style="0" width="15.12"/>
    <col collapsed="false" customWidth="true" hidden="false" outlineLevel="0" max="68" min="68" style="0" width="10.08"/>
    <col collapsed="false" customWidth="true" hidden="false" outlineLevel="0" max="69" min="69" style="0" width="12.6"/>
    <col collapsed="false" customWidth="true" hidden="false" outlineLevel="0" max="70" min="70" style="0" width="11.34"/>
    <col collapsed="false" customWidth="true" hidden="false" outlineLevel="0" max="71" min="71" style="0" width="13.86"/>
    <col collapsed="false" customWidth="true" hidden="false" outlineLevel="0" max="73" min="72" style="0" width="11.34"/>
    <col collapsed="false" customWidth="true" hidden="false" outlineLevel="0" max="74" min="74" style="0" width="15.12"/>
    <col collapsed="false" customWidth="true" hidden="false" outlineLevel="0" max="75" min="75" style="0" width="10.08"/>
    <col collapsed="false" customWidth="true" hidden="false" outlineLevel="0" max="76" min="76" style="0" width="13.86"/>
    <col collapsed="false" customWidth="true" hidden="false" outlineLevel="0" max="77" min="77" style="0" width="11.34"/>
    <col collapsed="false" customWidth="true" hidden="false" outlineLevel="0" max="78" min="78" style="0" width="13.86"/>
    <col collapsed="false" customWidth="true" hidden="false" outlineLevel="0" max="80" min="79" style="0" width="11.34"/>
    <col collapsed="false" customWidth="true" hidden="false" outlineLevel="0" max="81" min="81" style="0" width="15.12"/>
    <col collapsed="false" customWidth="true" hidden="false" outlineLevel="0" max="87" min="82" style="0" width="11.34"/>
    <col collapsed="false" customWidth="true" hidden="false" outlineLevel="0" max="88" min="88" style="0" width="15.12"/>
    <col collapsed="false" customWidth="true" hidden="false" outlineLevel="0" max="89" min="89" style="0" width="10.08"/>
    <col collapsed="false" customWidth="true" hidden="false" outlineLevel="0" max="94" min="90" style="0" width="11.34"/>
    <col collapsed="false" customWidth="true" hidden="false" outlineLevel="0" max="95" min="95" style="0" width="15.12"/>
    <col collapsed="false" customWidth="true" hidden="false" outlineLevel="0" max="96" min="96" style="0" width="10.08"/>
    <col collapsed="false" customWidth="true" hidden="false" outlineLevel="0" max="97" min="97" style="0" width="12.6"/>
    <col collapsed="false" customWidth="true" hidden="false" outlineLevel="0" max="98" min="98" style="0" width="10.08"/>
    <col collapsed="false" customWidth="true" hidden="false" outlineLevel="0" max="99" min="99" style="0" width="12.6"/>
    <col collapsed="false" customWidth="true" hidden="false" outlineLevel="0" max="101" min="100" style="0" width="11.34"/>
    <col collapsed="false" customWidth="true" hidden="false" outlineLevel="0" max="102" min="102" style="0" width="15.12"/>
    <col collapsed="false" customWidth="true" hidden="false" outlineLevel="0" max="103" min="103" style="0" width="10.08"/>
    <col collapsed="false" customWidth="true" hidden="false" outlineLevel="0" max="104" min="104" style="0" width="12.6"/>
    <col collapsed="false" customWidth="true" hidden="false" outlineLevel="0" max="105" min="105" style="0" width="10.08"/>
    <col collapsed="false" customWidth="true" hidden="false" outlineLevel="0" max="106" min="106" style="0" width="12.6"/>
    <col collapsed="false" customWidth="true" hidden="false" outlineLevel="0" max="108" min="107" style="0" width="11.34"/>
    <col collapsed="false" customWidth="true" hidden="false" outlineLevel="0" max="109" min="109" style="0" width="15.12"/>
    <col collapsed="false" customWidth="true" hidden="false" outlineLevel="0" max="110" min="110" style="0" width="10.08"/>
    <col collapsed="false" customWidth="true" hidden="false" outlineLevel="0" max="113" min="111" style="0" width="12.6"/>
    <col collapsed="false" customWidth="true" hidden="false" outlineLevel="0" max="115" min="114" style="0" width="11.34"/>
    <col collapsed="false" customWidth="true" hidden="false" outlineLevel="0" max="116" min="116" style="0" width="15.12"/>
    <col collapsed="false" customWidth="true" hidden="false" outlineLevel="0" max="121" min="117" style="0" width="10.08"/>
    <col collapsed="false" customWidth="true" hidden="false" outlineLevel="0" max="122" min="122" style="0" width="11.34"/>
    <col collapsed="false" customWidth="true" hidden="false" outlineLevel="0" max="123" min="123" style="0" width="15.12"/>
    <col collapsed="false" customWidth="true" hidden="false" outlineLevel="0" max="128" min="124" style="0" width="10.08"/>
    <col collapsed="false" customWidth="true" hidden="false" outlineLevel="0" max="129" min="129" style="0" width="11.34"/>
    <col collapsed="false" customWidth="true" hidden="false" outlineLevel="0" max="130" min="130" style="0" width="15.12"/>
    <col collapsed="false" customWidth="true" hidden="false" outlineLevel="0" max="135" min="131" style="0" width="10.08"/>
    <col collapsed="false" customWidth="true" hidden="false" outlineLevel="0" max="136" min="136" style="0" width="11.34"/>
    <col collapsed="false" customWidth="true" hidden="false" outlineLevel="0" max="137" min="137" style="0" width="15.12"/>
    <col collapsed="false" customWidth="true" hidden="false" outlineLevel="0" max="138" min="138" style="0" width="10.08"/>
    <col collapsed="false" customWidth="true" hidden="false" outlineLevel="0" max="139" min="139" style="0" width="11.34"/>
    <col collapsed="false" customWidth="true" hidden="false" outlineLevel="0" max="140" min="140" style="0" width="10.08"/>
    <col collapsed="false" customWidth="true" hidden="false" outlineLevel="0" max="143" min="141" style="0" width="11.34"/>
    <col collapsed="false" customWidth="true" hidden="false" outlineLevel="0" max="144" min="144" style="0" width="15.12"/>
    <col collapsed="false" customWidth="true" hidden="false" outlineLevel="0" max="145" min="145" style="0" width="10.08"/>
    <col collapsed="false" customWidth="true" hidden="false" outlineLevel="0" max="146" min="146" style="0" width="12.6"/>
    <col collapsed="false" customWidth="true" hidden="false" outlineLevel="0" max="147" min="147" style="0" width="11.34"/>
    <col collapsed="false" customWidth="true" hidden="false" outlineLevel="0" max="148" min="148" style="0" width="13.86"/>
    <col collapsed="false" customWidth="true" hidden="false" outlineLevel="0" max="150" min="149" style="0" width="11.34"/>
    <col collapsed="false" customWidth="true" hidden="false" outlineLevel="0" max="151" min="151" style="0" width="31.51"/>
    <col collapsed="false" customWidth="true" hidden="false" outlineLevel="0" max="155" min="152" style="0" width="10.08"/>
    <col collapsed="false" customWidth="true" hidden="false" outlineLevel="0" max="157" min="156" style="0" width="11.34"/>
    <col collapsed="false" customWidth="true" hidden="false" outlineLevel="0" max="158" min="158" style="0" width="15.12"/>
    <col collapsed="false" customWidth="true" hidden="false" outlineLevel="0" max="159" min="159" style="0" width="10.08"/>
    <col collapsed="false" customWidth="true" hidden="false" outlineLevel="0" max="161" min="160" style="0" width="12.6"/>
    <col collapsed="false" customWidth="true" hidden="false" outlineLevel="0" max="162" min="162" style="0" width="13.86"/>
    <col collapsed="false" customWidth="true" hidden="false" outlineLevel="0" max="164" min="163" style="0" width="11.34"/>
    <col collapsed="false" customWidth="true" hidden="false" outlineLevel="0" max="165" min="165" style="0" width="15.12"/>
    <col collapsed="false" customWidth="true" hidden="false" outlineLevel="0" max="166" min="166" style="0" width="10.08"/>
    <col collapsed="false" customWidth="true" hidden="false" outlineLevel="0" max="167" min="167" style="0" width="18.9"/>
    <col collapsed="false" customWidth="true" hidden="false" outlineLevel="0" max="169" min="168" style="0" width="15.12"/>
    <col collapsed="false" customWidth="true" hidden="false" outlineLevel="0" max="171" min="170" style="0" width="17.64"/>
    <col collapsed="false" customWidth="true" hidden="false" outlineLevel="0" max="172" min="172" style="0" width="15.12"/>
    <col collapsed="false" customWidth="true" hidden="false" outlineLevel="0" max="177" min="173" style="0" width="10.08"/>
    <col collapsed="false" customWidth="true" hidden="false" outlineLevel="0" max="178" min="178" style="0" width="11.34"/>
    <col collapsed="false" customWidth="true" hidden="false" outlineLevel="0" max="179" min="179" style="0" width="15.12"/>
    <col collapsed="false" customWidth="true" hidden="false" outlineLevel="0" max="184" min="180" style="0" width="10.08"/>
    <col collapsed="false" customWidth="true" hidden="false" outlineLevel="0" max="185" min="185" style="0" width="11.34"/>
    <col collapsed="false" customWidth="true" hidden="false" outlineLevel="0" max="186" min="186" style="0" width="15.12"/>
    <col collapsed="false" customWidth="true" hidden="false" outlineLevel="0" max="187" min="187" style="0" width="10.08"/>
    <col collapsed="false" customWidth="true" hidden="false" outlineLevel="0" max="190" min="188" style="0" width="12.6"/>
    <col collapsed="false" customWidth="true" hidden="false" outlineLevel="0" max="192" min="191" style="0" width="11.34"/>
    <col collapsed="false" customWidth="true" hidden="false" outlineLevel="0" max="193" min="193" style="0" width="15.12"/>
    <col collapsed="false" customWidth="true" hidden="false" outlineLevel="0" max="194" min="194" style="0" width="10.08"/>
    <col collapsed="false" customWidth="true" hidden="false" outlineLevel="0" max="198" min="195" style="0" width="17.64"/>
    <col collapsed="false" customWidth="true" hidden="false" outlineLevel="0" max="200" min="199" style="0" width="15.12"/>
    <col collapsed="false" customWidth="true" hidden="false" outlineLevel="0" max="205" min="201" style="0" width="10.08"/>
    <col collapsed="false" customWidth="true" hidden="false" outlineLevel="0" max="206" min="206" style="0" width="11.34"/>
    <col collapsed="false" customWidth="true" hidden="false" outlineLevel="0" max="207" min="207" style="0" width="15.12"/>
    <col collapsed="false" customWidth="true" hidden="false" outlineLevel="0" max="212" min="208" style="0" width="10.08"/>
    <col collapsed="false" customWidth="true" hidden="false" outlineLevel="0" max="213" min="213" style="0" width="11.34"/>
    <col collapsed="false" customWidth="true" hidden="false" outlineLevel="0" max="214" min="214" style="0" width="15.12"/>
    <col collapsed="false" customWidth="true" hidden="false" outlineLevel="0" max="215" min="215" style="0" width="10.08"/>
    <col collapsed="false" customWidth="true" hidden="false" outlineLevel="0" max="217" min="216" style="0" width="12.6"/>
    <col collapsed="false" customWidth="true" hidden="false" outlineLevel="0" max="218" min="218" style="0" width="13.86"/>
    <col collapsed="false" customWidth="true" hidden="false" outlineLevel="0" max="220" min="219" style="0" width="11.34"/>
    <col collapsed="false" customWidth="true" hidden="false" outlineLevel="0" max="221" min="221" style="0" width="15.12"/>
    <col collapsed="false" customWidth="true" hidden="false" outlineLevel="0" max="222" min="222" style="0" width="10.08"/>
    <col collapsed="false" customWidth="true" hidden="false" outlineLevel="0" max="224" min="223" style="0" width="12.6"/>
    <col collapsed="false" customWidth="true" hidden="false" outlineLevel="0" max="225" min="225" style="0" width="13.86"/>
    <col collapsed="false" customWidth="true" hidden="false" outlineLevel="0" max="227" min="226" style="0" width="11.34"/>
    <col collapsed="false" customWidth="true" hidden="false" outlineLevel="0" max="228" min="228" style="0" width="15.12"/>
    <col collapsed="false" customWidth="true" hidden="false" outlineLevel="0" max="229" min="229" style="0" width="10.08"/>
    <col collapsed="false" customWidth="true" hidden="false" outlineLevel="0" max="231" min="230" style="0" width="12.6"/>
    <col collapsed="false" customWidth="true" hidden="false" outlineLevel="0" max="232" min="232" style="0" width="13.86"/>
    <col collapsed="false" customWidth="true" hidden="false" outlineLevel="0" max="234" min="233" style="0" width="11.34"/>
  </cols>
  <sheetData>
    <row r="1" customFormat="false" ht="12.8" hidden="false" customHeight="false" outlineLevel="0" collapsed="false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143"/>
      <c r="AC1" s="4"/>
      <c r="AD1" s="4"/>
      <c r="AE1" s="4"/>
      <c r="AF1" s="4"/>
      <c r="AG1" s="4"/>
      <c r="AH1" s="4"/>
      <c r="AI1" s="4"/>
      <c r="AJ1" s="100"/>
      <c r="AK1" s="100"/>
      <c r="AL1" s="100"/>
      <c r="AM1" s="4"/>
      <c r="AN1" s="6"/>
      <c r="AO1" s="6"/>
      <c r="AP1" s="6"/>
      <c r="AQ1" s="6"/>
      <c r="AR1" s="6"/>
      <c r="AS1" s="6"/>
      <c r="AT1" s="4"/>
      <c r="AU1" s="6"/>
      <c r="AV1" s="6"/>
      <c r="AW1" s="6"/>
      <c r="AX1" s="6"/>
      <c r="AY1" s="6"/>
      <c r="AZ1" s="6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144"/>
      <c r="CK1" s="144"/>
      <c r="CL1" s="144"/>
      <c r="CM1" s="144"/>
      <c r="CN1" s="144"/>
      <c r="CO1" s="144"/>
      <c r="CP1" s="4"/>
      <c r="CQ1" s="10" t="s">
        <v>508</v>
      </c>
      <c r="CR1" s="10"/>
      <c r="CS1" s="10"/>
      <c r="CT1" s="10"/>
      <c r="CU1" s="10"/>
      <c r="CV1" s="10"/>
      <c r="CW1" s="10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10" t="s">
        <v>509</v>
      </c>
      <c r="HG1" s="10"/>
      <c r="HH1" s="10"/>
      <c r="HI1" s="10"/>
      <c r="HJ1" s="10"/>
      <c r="HK1" s="10"/>
      <c r="HL1" s="10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</row>
    <row r="2" customFormat="false" ht="12.8" hidden="false" customHeight="false" outlineLevel="0" collapsed="false">
      <c r="A2" s="6"/>
      <c r="B2" s="100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10" t="s">
        <v>0</v>
      </c>
      <c r="O2" s="4"/>
      <c r="P2" s="4"/>
      <c r="Q2" s="4"/>
      <c r="R2" s="4"/>
      <c r="S2" s="4"/>
      <c r="T2" s="4"/>
      <c r="U2" s="10" t="s">
        <v>510</v>
      </c>
      <c r="V2" s="10"/>
      <c r="W2" s="10"/>
      <c r="X2" s="10"/>
      <c r="Y2" s="10"/>
      <c r="Z2" s="10"/>
      <c r="AA2" s="10"/>
      <c r="AB2" s="10"/>
      <c r="AC2" s="10" t="s">
        <v>346</v>
      </c>
      <c r="AD2" s="10"/>
      <c r="AE2" s="10"/>
      <c r="AF2" s="10"/>
      <c r="AG2" s="10"/>
      <c r="AH2" s="10"/>
      <c r="AI2" s="10"/>
      <c r="AJ2" s="6"/>
      <c r="AK2" s="6"/>
      <c r="AL2" s="6"/>
      <c r="AM2" s="10" t="s">
        <v>511</v>
      </c>
      <c r="AN2" s="10"/>
      <c r="AO2" s="10"/>
      <c r="AP2" s="10"/>
      <c r="AQ2" s="10"/>
      <c r="AR2" s="10"/>
      <c r="AS2" s="10"/>
      <c r="AT2" s="10" t="s">
        <v>512</v>
      </c>
      <c r="AU2" s="10"/>
      <c r="AV2" s="10"/>
      <c r="AW2" s="10"/>
      <c r="AX2" s="10"/>
      <c r="AY2" s="10"/>
      <c r="AZ2" s="10"/>
      <c r="BA2" s="10" t="s">
        <v>513</v>
      </c>
      <c r="BB2" s="10"/>
      <c r="BC2" s="10"/>
      <c r="BD2" s="10"/>
      <c r="BE2" s="10"/>
      <c r="BF2" s="10"/>
      <c r="BG2" s="10"/>
      <c r="BH2" s="10" t="s">
        <v>514</v>
      </c>
      <c r="BI2" s="10"/>
      <c r="BJ2" s="10"/>
      <c r="BK2" s="10"/>
      <c r="BL2" s="10"/>
      <c r="BM2" s="10"/>
      <c r="BN2" s="10"/>
      <c r="BO2" s="10" t="s">
        <v>515</v>
      </c>
      <c r="BP2" s="10"/>
      <c r="BQ2" s="10"/>
      <c r="BR2" s="10"/>
      <c r="BS2" s="10"/>
      <c r="BT2" s="10"/>
      <c r="BU2" s="10"/>
      <c r="BV2" s="10" t="s">
        <v>516</v>
      </c>
      <c r="BW2" s="10"/>
      <c r="BX2" s="10"/>
      <c r="BY2" s="10"/>
      <c r="BZ2" s="10"/>
      <c r="CA2" s="10"/>
      <c r="CB2" s="10"/>
      <c r="CC2" s="10" t="s">
        <v>517</v>
      </c>
      <c r="CD2" s="10"/>
      <c r="CE2" s="10"/>
      <c r="CF2" s="10"/>
      <c r="CG2" s="10"/>
      <c r="CH2" s="10"/>
      <c r="CI2" s="10"/>
      <c r="CJ2" s="145" t="s">
        <v>349</v>
      </c>
      <c r="CK2" s="145"/>
      <c r="CL2" s="145"/>
      <c r="CM2" s="145"/>
      <c r="CN2" s="145"/>
      <c r="CO2" s="145"/>
      <c r="CP2" s="145"/>
      <c r="CQ2" s="124" t="s">
        <v>518</v>
      </c>
      <c r="CR2" s="124"/>
      <c r="CS2" s="124"/>
      <c r="CT2" s="124"/>
      <c r="CU2" s="124"/>
      <c r="CV2" s="124"/>
      <c r="CW2" s="124"/>
      <c r="CX2" s="10" t="s">
        <v>519</v>
      </c>
      <c r="CY2" s="10"/>
      <c r="CZ2" s="10"/>
      <c r="DA2" s="10"/>
      <c r="DB2" s="10"/>
      <c r="DC2" s="10"/>
      <c r="DD2" s="10"/>
      <c r="DE2" s="10" t="s">
        <v>520</v>
      </c>
      <c r="DF2" s="10"/>
      <c r="DG2" s="10"/>
      <c r="DH2" s="10"/>
      <c r="DI2" s="10"/>
      <c r="DJ2" s="10"/>
      <c r="DK2" s="10"/>
      <c r="DL2" s="10" t="s">
        <v>521</v>
      </c>
      <c r="DM2" s="10"/>
      <c r="DN2" s="10"/>
      <c r="DO2" s="10"/>
      <c r="DP2" s="10"/>
      <c r="DQ2" s="10"/>
      <c r="DR2" s="10"/>
      <c r="DS2" s="10" t="s">
        <v>522</v>
      </c>
      <c r="DT2" s="10"/>
      <c r="DU2" s="10"/>
      <c r="DV2" s="10"/>
      <c r="DW2" s="10"/>
      <c r="DX2" s="10"/>
      <c r="DY2" s="10"/>
      <c r="DZ2" s="10" t="s">
        <v>523</v>
      </c>
      <c r="EA2" s="10"/>
      <c r="EB2" s="10"/>
      <c r="EC2" s="10"/>
      <c r="ED2" s="10"/>
      <c r="EE2" s="10"/>
      <c r="EF2" s="10"/>
      <c r="EG2" s="10" t="s">
        <v>524</v>
      </c>
      <c r="EH2" s="10"/>
      <c r="EI2" s="10"/>
      <c r="EJ2" s="10"/>
      <c r="EK2" s="10"/>
      <c r="EL2" s="10"/>
      <c r="EM2" s="10"/>
      <c r="EN2" s="10" t="s">
        <v>525</v>
      </c>
      <c r="EO2" s="10"/>
      <c r="EP2" s="10"/>
      <c r="EQ2" s="10"/>
      <c r="ER2" s="10"/>
      <c r="ES2" s="10"/>
      <c r="ET2" s="10"/>
      <c r="EU2" s="10" t="s">
        <v>526</v>
      </c>
      <c r="EV2" s="10"/>
      <c r="EW2" s="10"/>
      <c r="EX2" s="10"/>
      <c r="EY2" s="10"/>
      <c r="EZ2" s="10"/>
      <c r="FA2" s="10"/>
      <c r="FB2" s="10" t="s">
        <v>527</v>
      </c>
      <c r="FC2" s="10"/>
      <c r="FD2" s="10"/>
      <c r="FE2" s="10"/>
      <c r="FF2" s="10"/>
      <c r="FG2" s="10"/>
      <c r="FH2" s="10"/>
      <c r="FI2" s="10" t="s">
        <v>528</v>
      </c>
      <c r="FJ2" s="10"/>
      <c r="FK2" s="10"/>
      <c r="FL2" s="10"/>
      <c r="FM2" s="10"/>
      <c r="FN2" s="10"/>
      <c r="FO2" s="10"/>
      <c r="FP2" s="10" t="s">
        <v>529</v>
      </c>
      <c r="FQ2" s="10"/>
      <c r="FR2" s="10"/>
      <c r="FS2" s="10"/>
      <c r="FT2" s="10"/>
      <c r="FU2" s="10"/>
      <c r="FV2" s="10"/>
      <c r="FW2" s="10" t="s">
        <v>530</v>
      </c>
      <c r="FX2" s="10"/>
      <c r="FY2" s="10"/>
      <c r="FZ2" s="10"/>
      <c r="GA2" s="10"/>
      <c r="GB2" s="10"/>
      <c r="GC2" s="10"/>
      <c r="GD2" s="10" t="s">
        <v>531</v>
      </c>
      <c r="GE2" s="10"/>
      <c r="GF2" s="10"/>
      <c r="GG2" s="10"/>
      <c r="GH2" s="10"/>
      <c r="GI2" s="10"/>
      <c r="GJ2" s="10"/>
      <c r="GK2" s="10" t="s">
        <v>532</v>
      </c>
      <c r="GL2" s="10"/>
      <c r="GM2" s="10"/>
      <c r="GN2" s="10"/>
      <c r="GO2" s="10"/>
      <c r="GP2" s="10"/>
      <c r="GQ2" s="10"/>
      <c r="GR2" s="10" t="s">
        <v>533</v>
      </c>
      <c r="GS2" s="10"/>
      <c r="GT2" s="10"/>
      <c r="GU2" s="10"/>
      <c r="GV2" s="10"/>
      <c r="GW2" s="10"/>
      <c r="GX2" s="10"/>
      <c r="GY2" s="10" t="s">
        <v>534</v>
      </c>
      <c r="GZ2" s="10"/>
      <c r="HA2" s="10"/>
      <c r="HB2" s="10"/>
      <c r="HC2" s="10"/>
      <c r="HD2" s="10"/>
      <c r="HE2" s="10"/>
      <c r="HF2" s="10" t="s">
        <v>431</v>
      </c>
      <c r="HG2" s="10"/>
      <c r="HH2" s="10"/>
      <c r="HI2" s="10"/>
      <c r="HJ2" s="10"/>
      <c r="HK2" s="10"/>
      <c r="HL2" s="10"/>
      <c r="HM2" s="10" t="s">
        <v>535</v>
      </c>
      <c r="HN2" s="10"/>
      <c r="HO2" s="10"/>
      <c r="HP2" s="10"/>
      <c r="HQ2" s="10"/>
      <c r="HR2" s="10"/>
      <c r="HS2" s="10"/>
      <c r="HT2" s="10" t="s">
        <v>536</v>
      </c>
      <c r="HU2" s="10"/>
      <c r="HV2" s="10"/>
      <c r="HW2" s="10"/>
      <c r="HX2" s="10"/>
      <c r="HY2" s="10"/>
      <c r="HZ2" s="10"/>
    </row>
    <row r="3" customFormat="false" ht="12.8" hidden="false" customHeight="false" outlineLevel="0" collapsed="false">
      <c r="A3" s="6"/>
      <c r="B3" s="10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10" t="s">
        <v>9</v>
      </c>
      <c r="O3" s="9" t="s">
        <v>5</v>
      </c>
      <c r="P3" s="9"/>
      <c r="Q3" s="9"/>
      <c r="R3" s="10" t="s">
        <v>537</v>
      </c>
      <c r="S3" s="10"/>
      <c r="T3" s="10"/>
      <c r="U3" s="11"/>
      <c r="V3" s="10" t="s">
        <v>538</v>
      </c>
      <c r="W3" s="10"/>
      <c r="X3" s="10"/>
      <c r="Y3" s="10"/>
      <c r="Z3" s="52"/>
      <c r="AA3" s="52"/>
      <c r="AB3" s="10" t="s">
        <v>539</v>
      </c>
      <c r="AC3" s="52"/>
      <c r="AD3" s="52"/>
      <c r="AE3" s="52"/>
      <c r="AF3" s="10" t="s">
        <v>353</v>
      </c>
      <c r="AG3" s="10"/>
      <c r="AH3" s="10"/>
      <c r="AI3" s="146"/>
      <c r="AJ3" s="145" t="s">
        <v>354</v>
      </c>
      <c r="AK3" s="145"/>
      <c r="AL3" s="145"/>
      <c r="AM3" s="10" t="s">
        <v>355</v>
      </c>
      <c r="AN3" s="10"/>
      <c r="AO3" s="10" t="s">
        <v>356</v>
      </c>
      <c r="AP3" s="10"/>
      <c r="AQ3" s="10"/>
      <c r="AR3" s="10"/>
      <c r="AS3" s="10"/>
      <c r="AT3" s="10" t="s">
        <v>355</v>
      </c>
      <c r="AU3" s="10"/>
      <c r="AV3" s="10" t="s">
        <v>356</v>
      </c>
      <c r="AW3" s="10"/>
      <c r="AX3" s="10"/>
      <c r="AY3" s="10"/>
      <c r="AZ3" s="10"/>
      <c r="BA3" s="10" t="s">
        <v>355</v>
      </c>
      <c r="BB3" s="10"/>
      <c r="BC3" s="10" t="s">
        <v>356</v>
      </c>
      <c r="BD3" s="10"/>
      <c r="BE3" s="10"/>
      <c r="BF3" s="10"/>
      <c r="BG3" s="10"/>
      <c r="BH3" s="10" t="s">
        <v>355</v>
      </c>
      <c r="BI3" s="10"/>
      <c r="BJ3" s="10" t="s">
        <v>356</v>
      </c>
      <c r="BK3" s="10"/>
      <c r="BL3" s="10"/>
      <c r="BM3" s="10"/>
      <c r="BN3" s="10"/>
      <c r="BO3" s="10" t="s">
        <v>355</v>
      </c>
      <c r="BP3" s="10"/>
      <c r="BQ3" s="10" t="s">
        <v>356</v>
      </c>
      <c r="BR3" s="10"/>
      <c r="BS3" s="10"/>
      <c r="BT3" s="10"/>
      <c r="BU3" s="10"/>
      <c r="BV3" s="10" t="s">
        <v>355</v>
      </c>
      <c r="BW3" s="10"/>
      <c r="BX3" s="10" t="s">
        <v>356</v>
      </c>
      <c r="BY3" s="10"/>
      <c r="BZ3" s="10"/>
      <c r="CA3" s="10"/>
      <c r="CB3" s="10"/>
      <c r="CC3" s="10" t="s">
        <v>355</v>
      </c>
      <c r="CD3" s="10"/>
      <c r="CE3" s="10" t="s">
        <v>356</v>
      </c>
      <c r="CF3" s="10"/>
      <c r="CG3" s="10"/>
      <c r="CH3" s="10"/>
      <c r="CI3" s="10"/>
      <c r="CJ3" s="145" t="s">
        <v>355</v>
      </c>
      <c r="CK3" s="145"/>
      <c r="CL3" s="145" t="s">
        <v>356</v>
      </c>
      <c r="CM3" s="145"/>
      <c r="CN3" s="145"/>
      <c r="CO3" s="145"/>
      <c r="CP3" s="145"/>
      <c r="CQ3" s="10" t="s">
        <v>355</v>
      </c>
      <c r="CR3" s="10"/>
      <c r="CS3" s="10" t="s">
        <v>356</v>
      </c>
      <c r="CT3" s="10"/>
      <c r="CU3" s="10"/>
      <c r="CV3" s="10"/>
      <c r="CW3" s="10"/>
      <c r="CX3" s="10" t="s">
        <v>355</v>
      </c>
      <c r="CY3" s="10"/>
      <c r="CZ3" s="10" t="s">
        <v>356</v>
      </c>
      <c r="DA3" s="10"/>
      <c r="DB3" s="10"/>
      <c r="DC3" s="10"/>
      <c r="DD3" s="10"/>
      <c r="DE3" s="10" t="s">
        <v>355</v>
      </c>
      <c r="DF3" s="10"/>
      <c r="DG3" s="10" t="s">
        <v>356</v>
      </c>
      <c r="DH3" s="10"/>
      <c r="DI3" s="10"/>
      <c r="DJ3" s="10"/>
      <c r="DK3" s="10"/>
      <c r="DL3" s="10" t="s">
        <v>355</v>
      </c>
      <c r="DM3" s="10"/>
      <c r="DN3" s="10" t="s">
        <v>356</v>
      </c>
      <c r="DO3" s="10"/>
      <c r="DP3" s="10"/>
      <c r="DQ3" s="10"/>
      <c r="DR3" s="10"/>
      <c r="DS3" s="10" t="s">
        <v>355</v>
      </c>
      <c r="DT3" s="10"/>
      <c r="DU3" s="10" t="s">
        <v>356</v>
      </c>
      <c r="DV3" s="10"/>
      <c r="DW3" s="10"/>
      <c r="DX3" s="10"/>
      <c r="DY3" s="10"/>
      <c r="DZ3" s="10" t="s">
        <v>355</v>
      </c>
      <c r="EA3" s="10"/>
      <c r="EB3" s="10" t="s">
        <v>356</v>
      </c>
      <c r="EC3" s="10"/>
      <c r="ED3" s="10"/>
      <c r="EE3" s="10"/>
      <c r="EF3" s="10"/>
      <c r="EG3" s="10" t="s">
        <v>355</v>
      </c>
      <c r="EH3" s="10"/>
      <c r="EI3" s="10" t="s">
        <v>356</v>
      </c>
      <c r="EJ3" s="10"/>
      <c r="EK3" s="10"/>
      <c r="EL3" s="10"/>
      <c r="EM3" s="10"/>
      <c r="EN3" s="10" t="s">
        <v>355</v>
      </c>
      <c r="EO3" s="10"/>
      <c r="EP3" s="10" t="s">
        <v>356</v>
      </c>
      <c r="EQ3" s="10"/>
      <c r="ER3" s="10"/>
      <c r="ES3" s="10"/>
      <c r="ET3" s="10"/>
      <c r="EU3" s="10" t="s">
        <v>355</v>
      </c>
      <c r="EV3" s="10"/>
      <c r="EW3" s="10" t="s">
        <v>356</v>
      </c>
      <c r="EX3" s="10"/>
      <c r="EY3" s="10"/>
      <c r="EZ3" s="10"/>
      <c r="FA3" s="10"/>
      <c r="FB3" s="10" t="s">
        <v>355</v>
      </c>
      <c r="FC3" s="10"/>
      <c r="FD3" s="10" t="s">
        <v>356</v>
      </c>
      <c r="FE3" s="10"/>
      <c r="FF3" s="10"/>
      <c r="FG3" s="10"/>
      <c r="FH3" s="10"/>
      <c r="FI3" s="10" t="s">
        <v>355</v>
      </c>
      <c r="FJ3" s="10"/>
      <c r="FK3" s="10" t="s">
        <v>356</v>
      </c>
      <c r="FL3" s="10"/>
      <c r="FM3" s="10"/>
      <c r="FN3" s="10"/>
      <c r="FO3" s="10"/>
      <c r="FP3" s="10" t="s">
        <v>355</v>
      </c>
      <c r="FQ3" s="10"/>
      <c r="FR3" s="10" t="s">
        <v>356</v>
      </c>
      <c r="FS3" s="10"/>
      <c r="FT3" s="10"/>
      <c r="FU3" s="10"/>
      <c r="FV3" s="10"/>
      <c r="FW3" s="10" t="s">
        <v>355</v>
      </c>
      <c r="FX3" s="10"/>
      <c r="FY3" s="10" t="s">
        <v>356</v>
      </c>
      <c r="FZ3" s="10"/>
      <c r="GA3" s="10"/>
      <c r="GB3" s="10"/>
      <c r="GC3" s="10"/>
      <c r="GD3" s="10" t="s">
        <v>355</v>
      </c>
      <c r="GE3" s="10"/>
      <c r="GF3" s="10" t="s">
        <v>356</v>
      </c>
      <c r="GG3" s="10"/>
      <c r="GH3" s="10"/>
      <c r="GI3" s="10"/>
      <c r="GJ3" s="10"/>
      <c r="GK3" s="10" t="s">
        <v>355</v>
      </c>
      <c r="GL3" s="10"/>
      <c r="GM3" s="10" t="s">
        <v>356</v>
      </c>
      <c r="GN3" s="10"/>
      <c r="GO3" s="10"/>
      <c r="GP3" s="10"/>
      <c r="GQ3" s="10"/>
      <c r="GR3" s="10" t="s">
        <v>355</v>
      </c>
      <c r="GS3" s="10"/>
      <c r="GT3" s="10" t="s">
        <v>356</v>
      </c>
      <c r="GU3" s="10"/>
      <c r="GV3" s="10"/>
      <c r="GW3" s="10"/>
      <c r="GX3" s="10"/>
      <c r="GY3" s="10" t="s">
        <v>355</v>
      </c>
      <c r="GZ3" s="10"/>
      <c r="HA3" s="10" t="s">
        <v>356</v>
      </c>
      <c r="HB3" s="10"/>
      <c r="HC3" s="10"/>
      <c r="HD3" s="10"/>
      <c r="HE3" s="10"/>
      <c r="HF3" s="10" t="s">
        <v>355</v>
      </c>
      <c r="HG3" s="10"/>
      <c r="HH3" s="10" t="s">
        <v>356</v>
      </c>
      <c r="HI3" s="10"/>
      <c r="HJ3" s="10"/>
      <c r="HK3" s="10"/>
      <c r="HL3" s="10"/>
      <c r="HM3" s="10" t="s">
        <v>355</v>
      </c>
      <c r="HN3" s="10"/>
      <c r="HO3" s="10" t="s">
        <v>356</v>
      </c>
      <c r="HP3" s="10"/>
      <c r="HQ3" s="10"/>
      <c r="HR3" s="10"/>
      <c r="HS3" s="10"/>
      <c r="HT3" s="10" t="s">
        <v>355</v>
      </c>
      <c r="HU3" s="10"/>
      <c r="HV3" s="10" t="s">
        <v>356</v>
      </c>
      <c r="HW3" s="10"/>
      <c r="HX3" s="10"/>
      <c r="HY3" s="10"/>
      <c r="HZ3" s="10"/>
    </row>
    <row r="4" customFormat="false" ht="12.8" hidden="false" customHeight="false" outlineLevel="0" collapsed="false">
      <c r="A4" s="16" t="s">
        <v>12</v>
      </c>
      <c r="B4" s="16" t="s">
        <v>13</v>
      </c>
      <c r="C4" s="16" t="s">
        <v>14</v>
      </c>
      <c r="D4" s="16" t="s">
        <v>15</v>
      </c>
      <c r="E4" s="16" t="s">
        <v>16</v>
      </c>
      <c r="F4" s="16" t="s">
        <v>17</v>
      </c>
      <c r="G4" s="147" t="s">
        <v>357</v>
      </c>
      <c r="H4" s="148" t="s">
        <v>540</v>
      </c>
      <c r="I4" s="21" t="s">
        <v>433</v>
      </c>
      <c r="J4" s="21" t="s">
        <v>434</v>
      </c>
      <c r="K4" s="21" t="s">
        <v>358</v>
      </c>
      <c r="L4" s="21" t="s">
        <v>359</v>
      </c>
      <c r="M4" s="21" t="s">
        <v>360</v>
      </c>
      <c r="N4" s="148" t="s">
        <v>50</v>
      </c>
      <c r="O4" s="148" t="s">
        <v>20</v>
      </c>
      <c r="P4" s="148" t="s">
        <v>21</v>
      </c>
      <c r="Q4" s="148" t="s">
        <v>22</v>
      </c>
      <c r="R4" s="20" t="s">
        <v>541</v>
      </c>
      <c r="S4" s="20" t="s">
        <v>542</v>
      </c>
      <c r="T4" s="20" t="s">
        <v>543</v>
      </c>
      <c r="U4" s="148" t="s">
        <v>544</v>
      </c>
      <c r="V4" s="148" t="s">
        <v>545</v>
      </c>
      <c r="W4" s="148" t="s">
        <v>546</v>
      </c>
      <c r="X4" s="148" t="s">
        <v>547</v>
      </c>
      <c r="Y4" s="148" t="s">
        <v>548</v>
      </c>
      <c r="Z4" s="148" t="s">
        <v>549</v>
      </c>
      <c r="AA4" s="148" t="s">
        <v>550</v>
      </c>
      <c r="AB4" s="148" t="s">
        <v>551</v>
      </c>
      <c r="AC4" s="148" t="s">
        <v>15</v>
      </c>
      <c r="AD4" s="148" t="s">
        <v>361</v>
      </c>
      <c r="AE4" s="148" t="s">
        <v>362</v>
      </c>
      <c r="AF4" s="148" t="s">
        <v>364</v>
      </c>
      <c r="AG4" s="148" t="s">
        <v>365</v>
      </c>
      <c r="AH4" s="148" t="s">
        <v>366</v>
      </c>
      <c r="AI4" s="147" t="s">
        <v>367</v>
      </c>
      <c r="AJ4" s="126" t="s">
        <v>15</v>
      </c>
      <c r="AK4" s="105" t="s">
        <v>361</v>
      </c>
      <c r="AL4" s="149" t="s">
        <v>368</v>
      </c>
      <c r="AM4" s="148" t="s">
        <v>369</v>
      </c>
      <c r="AN4" s="148" t="s">
        <v>370</v>
      </c>
      <c r="AO4" s="150" t="s">
        <v>371</v>
      </c>
      <c r="AP4" s="150" t="s">
        <v>372</v>
      </c>
      <c r="AQ4" s="150" t="s">
        <v>373</v>
      </c>
      <c r="AR4" s="150" t="s">
        <v>374</v>
      </c>
      <c r="AS4" s="150" t="s">
        <v>439</v>
      </c>
      <c r="AT4" s="148" t="s">
        <v>369</v>
      </c>
      <c r="AU4" s="148" t="s">
        <v>370</v>
      </c>
      <c r="AV4" s="150" t="s">
        <v>371</v>
      </c>
      <c r="AW4" s="150" t="s">
        <v>372</v>
      </c>
      <c r="AX4" s="150" t="s">
        <v>373</v>
      </c>
      <c r="AY4" s="150" t="s">
        <v>374</v>
      </c>
      <c r="AZ4" s="150" t="s">
        <v>439</v>
      </c>
      <c r="BA4" s="148" t="s">
        <v>369</v>
      </c>
      <c r="BB4" s="148" t="s">
        <v>370</v>
      </c>
      <c r="BC4" s="150" t="s">
        <v>371</v>
      </c>
      <c r="BD4" s="150" t="s">
        <v>372</v>
      </c>
      <c r="BE4" s="150" t="s">
        <v>373</v>
      </c>
      <c r="BF4" s="150" t="s">
        <v>374</v>
      </c>
      <c r="BG4" s="150" t="s">
        <v>439</v>
      </c>
      <c r="BH4" s="148" t="s">
        <v>369</v>
      </c>
      <c r="BI4" s="148" t="s">
        <v>370</v>
      </c>
      <c r="BJ4" s="150" t="s">
        <v>371</v>
      </c>
      <c r="BK4" s="150" t="s">
        <v>372</v>
      </c>
      <c r="BL4" s="150" t="s">
        <v>373</v>
      </c>
      <c r="BM4" s="150" t="s">
        <v>374</v>
      </c>
      <c r="BN4" s="150" t="s">
        <v>439</v>
      </c>
      <c r="BO4" s="148" t="s">
        <v>369</v>
      </c>
      <c r="BP4" s="148" t="s">
        <v>370</v>
      </c>
      <c r="BQ4" s="150" t="s">
        <v>371</v>
      </c>
      <c r="BR4" s="150" t="s">
        <v>372</v>
      </c>
      <c r="BS4" s="150" t="s">
        <v>373</v>
      </c>
      <c r="BT4" s="150" t="s">
        <v>374</v>
      </c>
      <c r="BU4" s="150" t="s">
        <v>439</v>
      </c>
      <c r="BV4" s="148" t="s">
        <v>369</v>
      </c>
      <c r="BW4" s="148" t="s">
        <v>370</v>
      </c>
      <c r="BX4" s="150" t="s">
        <v>371</v>
      </c>
      <c r="BY4" s="150" t="s">
        <v>372</v>
      </c>
      <c r="BZ4" s="150" t="s">
        <v>373</v>
      </c>
      <c r="CA4" s="150" t="s">
        <v>374</v>
      </c>
      <c r="CB4" s="150" t="s">
        <v>439</v>
      </c>
      <c r="CC4" s="148" t="s">
        <v>369</v>
      </c>
      <c r="CD4" s="148" t="s">
        <v>370</v>
      </c>
      <c r="CE4" s="150" t="s">
        <v>371</v>
      </c>
      <c r="CF4" s="150" t="s">
        <v>372</v>
      </c>
      <c r="CG4" s="150" t="s">
        <v>373</v>
      </c>
      <c r="CH4" s="150" t="s">
        <v>374</v>
      </c>
      <c r="CI4" s="150" t="s">
        <v>439</v>
      </c>
      <c r="CJ4" s="105" t="s">
        <v>369</v>
      </c>
      <c r="CK4" s="105" t="s">
        <v>370</v>
      </c>
      <c r="CL4" s="39" t="s">
        <v>371</v>
      </c>
      <c r="CM4" s="39" t="s">
        <v>372</v>
      </c>
      <c r="CN4" s="39" t="s">
        <v>373</v>
      </c>
      <c r="CO4" s="39" t="s">
        <v>374</v>
      </c>
      <c r="CP4" s="39" t="s">
        <v>439</v>
      </c>
      <c r="CQ4" s="148" t="s">
        <v>369</v>
      </c>
      <c r="CR4" s="148" t="s">
        <v>370</v>
      </c>
      <c r="CS4" s="150" t="s">
        <v>371</v>
      </c>
      <c r="CT4" s="150" t="s">
        <v>372</v>
      </c>
      <c r="CU4" s="150" t="s">
        <v>373</v>
      </c>
      <c r="CV4" s="150" t="s">
        <v>374</v>
      </c>
      <c r="CW4" s="150" t="s">
        <v>439</v>
      </c>
      <c r="CX4" s="148" t="s">
        <v>369</v>
      </c>
      <c r="CY4" s="148" t="s">
        <v>370</v>
      </c>
      <c r="CZ4" s="150" t="s">
        <v>371</v>
      </c>
      <c r="DA4" s="150" t="s">
        <v>372</v>
      </c>
      <c r="DB4" s="150" t="s">
        <v>373</v>
      </c>
      <c r="DC4" s="150" t="s">
        <v>374</v>
      </c>
      <c r="DD4" s="150" t="s">
        <v>439</v>
      </c>
      <c r="DE4" s="148" t="s">
        <v>369</v>
      </c>
      <c r="DF4" s="148" t="s">
        <v>370</v>
      </c>
      <c r="DG4" s="150" t="s">
        <v>371</v>
      </c>
      <c r="DH4" s="150" t="s">
        <v>372</v>
      </c>
      <c r="DI4" s="150" t="s">
        <v>373</v>
      </c>
      <c r="DJ4" s="150" t="s">
        <v>374</v>
      </c>
      <c r="DK4" s="150" t="s">
        <v>439</v>
      </c>
      <c r="DL4" s="148" t="s">
        <v>369</v>
      </c>
      <c r="DM4" s="148" t="s">
        <v>370</v>
      </c>
      <c r="DN4" s="150" t="s">
        <v>371</v>
      </c>
      <c r="DO4" s="150" t="s">
        <v>372</v>
      </c>
      <c r="DP4" s="150" t="s">
        <v>373</v>
      </c>
      <c r="DQ4" s="150" t="s">
        <v>374</v>
      </c>
      <c r="DR4" s="150" t="s">
        <v>439</v>
      </c>
      <c r="DS4" s="148" t="s">
        <v>369</v>
      </c>
      <c r="DT4" s="148" t="s">
        <v>370</v>
      </c>
      <c r="DU4" s="150" t="s">
        <v>371</v>
      </c>
      <c r="DV4" s="150" t="s">
        <v>372</v>
      </c>
      <c r="DW4" s="150" t="s">
        <v>373</v>
      </c>
      <c r="DX4" s="150" t="s">
        <v>374</v>
      </c>
      <c r="DY4" s="150" t="s">
        <v>439</v>
      </c>
      <c r="DZ4" s="148" t="s">
        <v>369</v>
      </c>
      <c r="EA4" s="148" t="s">
        <v>370</v>
      </c>
      <c r="EB4" s="150" t="s">
        <v>371</v>
      </c>
      <c r="EC4" s="150" t="s">
        <v>372</v>
      </c>
      <c r="ED4" s="150" t="s">
        <v>373</v>
      </c>
      <c r="EE4" s="150" t="s">
        <v>374</v>
      </c>
      <c r="EF4" s="150" t="s">
        <v>439</v>
      </c>
      <c r="EG4" s="148" t="s">
        <v>369</v>
      </c>
      <c r="EH4" s="148" t="s">
        <v>370</v>
      </c>
      <c r="EI4" s="150" t="s">
        <v>371</v>
      </c>
      <c r="EJ4" s="150" t="s">
        <v>372</v>
      </c>
      <c r="EK4" s="150" t="s">
        <v>373</v>
      </c>
      <c r="EL4" s="150" t="s">
        <v>374</v>
      </c>
      <c r="EM4" s="150" t="s">
        <v>439</v>
      </c>
      <c r="EN4" s="148" t="s">
        <v>369</v>
      </c>
      <c r="EO4" s="148" t="s">
        <v>370</v>
      </c>
      <c r="EP4" s="150" t="s">
        <v>371</v>
      </c>
      <c r="EQ4" s="150" t="s">
        <v>372</v>
      </c>
      <c r="ER4" s="150" t="s">
        <v>373</v>
      </c>
      <c r="ES4" s="150" t="s">
        <v>374</v>
      </c>
      <c r="ET4" s="150" t="s">
        <v>439</v>
      </c>
      <c r="EU4" s="151" t="s">
        <v>440</v>
      </c>
      <c r="EV4" s="148" t="s">
        <v>370</v>
      </c>
      <c r="EW4" s="150" t="s">
        <v>371</v>
      </c>
      <c r="EX4" s="150" t="s">
        <v>372</v>
      </c>
      <c r="EY4" s="150" t="s">
        <v>373</v>
      </c>
      <c r="EZ4" s="150" t="s">
        <v>374</v>
      </c>
      <c r="FA4" s="150" t="s">
        <v>439</v>
      </c>
      <c r="FB4" s="148" t="s">
        <v>369</v>
      </c>
      <c r="FC4" s="148" t="s">
        <v>370</v>
      </c>
      <c r="FD4" s="150" t="s">
        <v>371</v>
      </c>
      <c r="FE4" s="150" t="s">
        <v>372</v>
      </c>
      <c r="FF4" s="150" t="s">
        <v>373</v>
      </c>
      <c r="FG4" s="150" t="s">
        <v>374</v>
      </c>
      <c r="FH4" s="150" t="s">
        <v>439</v>
      </c>
      <c r="FI4" s="148" t="s">
        <v>369</v>
      </c>
      <c r="FJ4" s="148" t="s">
        <v>370</v>
      </c>
      <c r="FK4" s="150" t="s">
        <v>371</v>
      </c>
      <c r="FL4" s="150" t="s">
        <v>372</v>
      </c>
      <c r="FM4" s="150" t="s">
        <v>373</v>
      </c>
      <c r="FN4" s="150" t="s">
        <v>374</v>
      </c>
      <c r="FO4" s="150" t="s">
        <v>439</v>
      </c>
      <c r="FP4" s="148" t="s">
        <v>369</v>
      </c>
      <c r="FQ4" s="148" t="s">
        <v>370</v>
      </c>
      <c r="FR4" s="150" t="s">
        <v>371</v>
      </c>
      <c r="FS4" s="150" t="s">
        <v>372</v>
      </c>
      <c r="FT4" s="150" t="s">
        <v>373</v>
      </c>
      <c r="FU4" s="150" t="s">
        <v>374</v>
      </c>
      <c r="FV4" s="150" t="s">
        <v>439</v>
      </c>
      <c r="FW4" s="148" t="s">
        <v>369</v>
      </c>
      <c r="FX4" s="148" t="s">
        <v>370</v>
      </c>
      <c r="FY4" s="150" t="s">
        <v>371</v>
      </c>
      <c r="FZ4" s="150" t="s">
        <v>372</v>
      </c>
      <c r="GA4" s="150" t="s">
        <v>373</v>
      </c>
      <c r="GB4" s="150" t="s">
        <v>374</v>
      </c>
      <c r="GC4" s="150" t="s">
        <v>439</v>
      </c>
      <c r="GD4" s="148" t="s">
        <v>369</v>
      </c>
      <c r="GE4" s="148" t="s">
        <v>370</v>
      </c>
      <c r="GF4" s="150" t="s">
        <v>371</v>
      </c>
      <c r="GG4" s="150" t="s">
        <v>372</v>
      </c>
      <c r="GH4" s="150" t="s">
        <v>373</v>
      </c>
      <c r="GI4" s="150" t="s">
        <v>374</v>
      </c>
      <c r="GJ4" s="150" t="s">
        <v>439</v>
      </c>
      <c r="GK4" s="148" t="s">
        <v>369</v>
      </c>
      <c r="GL4" s="148" t="s">
        <v>370</v>
      </c>
      <c r="GM4" s="150" t="s">
        <v>371</v>
      </c>
      <c r="GN4" s="150" t="s">
        <v>372</v>
      </c>
      <c r="GO4" s="150" t="s">
        <v>373</v>
      </c>
      <c r="GP4" s="150" t="s">
        <v>374</v>
      </c>
      <c r="GQ4" s="150" t="s">
        <v>439</v>
      </c>
      <c r="GR4" s="148" t="s">
        <v>369</v>
      </c>
      <c r="GS4" s="148" t="s">
        <v>370</v>
      </c>
      <c r="GT4" s="150" t="s">
        <v>371</v>
      </c>
      <c r="GU4" s="150" t="s">
        <v>372</v>
      </c>
      <c r="GV4" s="150" t="s">
        <v>373</v>
      </c>
      <c r="GW4" s="150" t="s">
        <v>374</v>
      </c>
      <c r="GX4" s="150" t="s">
        <v>439</v>
      </c>
      <c r="GY4" s="148" t="s">
        <v>369</v>
      </c>
      <c r="GZ4" s="148" t="s">
        <v>370</v>
      </c>
      <c r="HA4" s="150" t="s">
        <v>371</v>
      </c>
      <c r="HB4" s="150" t="s">
        <v>372</v>
      </c>
      <c r="HC4" s="150" t="s">
        <v>373</v>
      </c>
      <c r="HD4" s="150" t="s">
        <v>374</v>
      </c>
      <c r="HE4" s="150" t="s">
        <v>439</v>
      </c>
      <c r="HF4" s="148" t="s">
        <v>369</v>
      </c>
      <c r="HG4" s="148" t="s">
        <v>370</v>
      </c>
      <c r="HH4" s="150" t="s">
        <v>371</v>
      </c>
      <c r="HI4" s="150" t="s">
        <v>372</v>
      </c>
      <c r="HJ4" s="150" t="s">
        <v>373</v>
      </c>
      <c r="HK4" s="150" t="s">
        <v>374</v>
      </c>
      <c r="HL4" s="150" t="s">
        <v>439</v>
      </c>
      <c r="HM4" s="148" t="s">
        <v>369</v>
      </c>
      <c r="HN4" s="148" t="s">
        <v>370</v>
      </c>
      <c r="HO4" s="150" t="s">
        <v>371</v>
      </c>
      <c r="HP4" s="150" t="s">
        <v>372</v>
      </c>
      <c r="HQ4" s="150" t="s">
        <v>373</v>
      </c>
      <c r="HR4" s="150" t="s">
        <v>374</v>
      </c>
      <c r="HS4" s="150" t="s">
        <v>439</v>
      </c>
      <c r="HT4" s="148" t="s">
        <v>369</v>
      </c>
      <c r="HU4" s="148" t="s">
        <v>370</v>
      </c>
      <c r="HV4" s="150" t="s">
        <v>371</v>
      </c>
      <c r="HW4" s="150" t="s">
        <v>372</v>
      </c>
      <c r="HX4" s="150" t="s">
        <v>373</v>
      </c>
      <c r="HY4" s="150" t="s">
        <v>374</v>
      </c>
      <c r="HZ4" s="150" t="s">
        <v>439</v>
      </c>
    </row>
    <row r="5" customFormat="false" ht="12.8" hidden="true" customHeight="false" outlineLevel="0" collapsed="false">
      <c r="A5" s="152" t="s">
        <v>80</v>
      </c>
      <c r="B5" s="153" t="s">
        <v>81</v>
      </c>
      <c r="C5" s="153" t="s">
        <v>82</v>
      </c>
      <c r="D5" s="153" t="s">
        <v>83</v>
      </c>
      <c r="E5" s="130" t="s">
        <v>84</v>
      </c>
      <c r="F5" s="17" t="s">
        <v>85</v>
      </c>
      <c r="G5" s="154" t="s">
        <v>552</v>
      </c>
      <c r="H5" s="150"/>
      <c r="I5" s="150" t="s">
        <v>553</v>
      </c>
      <c r="J5" s="148" t="s">
        <v>92</v>
      </c>
      <c r="K5" s="39" t="n">
        <v>15000</v>
      </c>
      <c r="L5" s="18" t="n">
        <v>6</v>
      </c>
      <c r="M5" s="18" t="n">
        <f aca="false">IF(AD5,1,0)+IF(AK5,1,0)+AN5+AU5+BB5+BI5+BP5+BW5+CD5+CK5+CR5+CY5+DF5+DM5+DT5+EA5+EH5+EO5+EV5+FC5+FJ5+FQ5+FX5+GE5+GL5+GS5+GZ5+HG5+HN5+HU5</f>
        <v>0</v>
      </c>
      <c r="N5" s="131"/>
      <c r="O5" s="147" t="n">
        <v>10031</v>
      </c>
      <c r="P5" s="147" t="n">
        <v>510</v>
      </c>
      <c r="Q5" s="147" t="n">
        <v>959</v>
      </c>
      <c r="R5" s="21" t="s">
        <v>44</v>
      </c>
      <c r="S5" s="21" t="s">
        <v>45</v>
      </c>
      <c r="T5" s="18"/>
      <c r="U5" s="18"/>
      <c r="V5" s="18"/>
      <c r="W5" s="18"/>
      <c r="X5" s="18"/>
      <c r="Y5" s="18"/>
      <c r="Z5" s="18"/>
      <c r="AA5" s="18"/>
      <c r="AB5" s="18"/>
      <c r="AC5" s="23" t="s">
        <v>554</v>
      </c>
      <c r="AD5" s="128" t="n">
        <v>15</v>
      </c>
      <c r="AE5" s="21" t="s">
        <v>555</v>
      </c>
      <c r="AF5" s="128"/>
      <c r="AG5" s="128" t="n">
        <v>10</v>
      </c>
      <c r="AH5" s="128"/>
      <c r="AI5" s="147" t="s">
        <v>556</v>
      </c>
      <c r="AJ5" s="128"/>
      <c r="AK5" s="128"/>
      <c r="AL5" s="147"/>
      <c r="AM5" s="131"/>
      <c r="AN5" s="128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16"/>
      <c r="CK5" s="16"/>
      <c r="CL5" s="16"/>
      <c r="CM5" s="16"/>
      <c r="CN5" s="16"/>
      <c r="CO5" s="16"/>
      <c r="CP5" s="16"/>
      <c r="CQ5" s="128" t="n">
        <v>8</v>
      </c>
      <c r="CR5" s="128" t="n">
        <v>2</v>
      </c>
      <c r="CS5" s="131" t="s">
        <v>557</v>
      </c>
      <c r="CT5" s="131" t="s">
        <v>398</v>
      </c>
      <c r="CU5" s="131" t="s">
        <v>377</v>
      </c>
      <c r="CV5" s="131" t="s">
        <v>399</v>
      </c>
      <c r="CW5" s="52"/>
      <c r="CX5" s="52"/>
      <c r="CY5" s="52"/>
      <c r="CZ5" s="52"/>
      <c r="DA5" s="52"/>
      <c r="DB5" s="52"/>
      <c r="DC5" s="52"/>
      <c r="DD5" s="52"/>
      <c r="DE5" s="128" t="n">
        <v>8</v>
      </c>
      <c r="DF5" s="128" t="n">
        <v>1</v>
      </c>
      <c r="DG5" s="131" t="s">
        <v>557</v>
      </c>
      <c r="DH5" s="131" t="s">
        <v>398</v>
      </c>
      <c r="DI5" s="131" t="s">
        <v>377</v>
      </c>
      <c r="DJ5" s="131" t="s">
        <v>399</v>
      </c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128" t="n">
        <v>8</v>
      </c>
      <c r="FC5" s="39" t="n">
        <v>3</v>
      </c>
      <c r="FD5" s="114" t="s">
        <v>385</v>
      </c>
      <c r="FE5" s="114" t="s">
        <v>377</v>
      </c>
      <c r="FF5" s="114" t="s">
        <v>386</v>
      </c>
      <c r="FG5" s="114" t="s">
        <v>378</v>
      </c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128"/>
      <c r="GL5" s="128"/>
      <c r="GM5" s="131"/>
      <c r="GN5" s="131"/>
      <c r="GO5" s="131"/>
      <c r="GP5" s="131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128" t="n">
        <v>8</v>
      </c>
      <c r="HG5" s="39" t="n">
        <v>1</v>
      </c>
      <c r="HH5" s="114" t="s">
        <v>385</v>
      </c>
      <c r="HI5" s="114" t="s">
        <v>377</v>
      </c>
      <c r="HJ5" s="114" t="s">
        <v>386</v>
      </c>
      <c r="HK5" s="114" t="s">
        <v>378</v>
      </c>
      <c r="HL5" s="52"/>
      <c r="HM5" s="128" t="n">
        <v>8</v>
      </c>
      <c r="HN5" s="39" t="n">
        <v>1</v>
      </c>
      <c r="HO5" s="114" t="s">
        <v>385</v>
      </c>
      <c r="HP5" s="114" t="s">
        <v>377</v>
      </c>
      <c r="HQ5" s="114" t="s">
        <v>386</v>
      </c>
      <c r="HR5" s="114" t="s">
        <v>378</v>
      </c>
      <c r="HS5" s="52"/>
      <c r="HT5" s="131"/>
      <c r="HU5" s="128"/>
      <c r="HV5" s="131"/>
      <c r="HW5" s="131"/>
      <c r="HX5" s="131"/>
      <c r="HY5" s="131"/>
      <c r="HZ5" s="131"/>
    </row>
    <row r="6" customFormat="false" ht="12.8" hidden="true" customHeight="false" outlineLevel="0" collapsed="false">
      <c r="A6" s="152" t="s">
        <v>80</v>
      </c>
      <c r="B6" s="153" t="s">
        <v>81</v>
      </c>
      <c r="C6" s="153" t="s">
        <v>82</v>
      </c>
      <c r="D6" s="153" t="s">
        <v>83</v>
      </c>
      <c r="E6" s="130" t="s">
        <v>84</v>
      </c>
      <c r="F6" s="17" t="s">
        <v>85</v>
      </c>
      <c r="G6" s="154" t="s">
        <v>558</v>
      </c>
      <c r="H6" s="150"/>
      <c r="I6" s="150" t="s">
        <v>559</v>
      </c>
      <c r="J6" s="148" t="s">
        <v>498</v>
      </c>
      <c r="K6" s="39" t="n">
        <v>15000</v>
      </c>
      <c r="L6" s="18" t="n">
        <v>6</v>
      </c>
      <c r="M6" s="18" t="n">
        <f aca="false">IF(AD6,1,0)+IF(AK6,1,0)+AN6+AU6+BB6+BI6+BP6+BW6+CD6+CK6+CR6+CY6+DF6+DM6+DT6+EA6+EH6+EO6+EV6+FC6+FJ6+FQ6+FX6+GE6+GL6+GS6+GZ6+HG6+HN6+HU6</f>
        <v>0</v>
      </c>
      <c r="N6" s="131"/>
      <c r="O6" s="147" t="n">
        <v>9341</v>
      </c>
      <c r="P6" s="147" t="n">
        <v>510</v>
      </c>
      <c r="Q6" s="147" t="n">
        <v>648</v>
      </c>
      <c r="R6" s="21" t="s">
        <v>45</v>
      </c>
      <c r="S6" s="21" t="s">
        <v>45</v>
      </c>
      <c r="T6" s="18"/>
      <c r="U6" s="18"/>
      <c r="V6" s="18"/>
      <c r="W6" s="18"/>
      <c r="X6" s="18"/>
      <c r="Y6" s="18"/>
      <c r="Z6" s="18"/>
      <c r="AA6" s="18"/>
      <c r="AB6" s="18"/>
      <c r="AC6" s="23" t="s">
        <v>554</v>
      </c>
      <c r="AD6" s="128" t="n">
        <v>15</v>
      </c>
      <c r="AE6" s="21" t="s">
        <v>555</v>
      </c>
      <c r="AF6" s="128"/>
      <c r="AG6" s="128" t="n">
        <v>10</v>
      </c>
      <c r="AH6" s="128"/>
      <c r="AI6" s="147" t="s">
        <v>556</v>
      </c>
      <c r="AJ6" s="128"/>
      <c r="AK6" s="128"/>
      <c r="AL6" s="147"/>
      <c r="AM6" s="128" t="n">
        <v>8</v>
      </c>
      <c r="AN6" s="128" t="n">
        <v>1</v>
      </c>
      <c r="AO6" s="131" t="s">
        <v>560</v>
      </c>
      <c r="AP6" s="131" t="s">
        <v>561</v>
      </c>
      <c r="AQ6" s="131" t="s">
        <v>562</v>
      </c>
      <c r="AR6" s="131" t="s">
        <v>563</v>
      </c>
      <c r="AS6" s="131"/>
      <c r="AT6" s="131"/>
      <c r="AU6" s="131"/>
      <c r="AV6" s="131"/>
      <c r="AW6" s="131"/>
      <c r="AX6" s="131"/>
      <c r="AY6" s="131"/>
      <c r="AZ6" s="131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16"/>
      <c r="CK6" s="16"/>
      <c r="CL6" s="16"/>
      <c r="CM6" s="16"/>
      <c r="CN6" s="16"/>
      <c r="CO6" s="16"/>
      <c r="CP6" s="16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128" t="n">
        <v>8</v>
      </c>
      <c r="DF6" s="128" t="n">
        <v>3</v>
      </c>
      <c r="DG6" s="131" t="s">
        <v>557</v>
      </c>
      <c r="DH6" s="131" t="s">
        <v>398</v>
      </c>
      <c r="DI6" s="131" t="s">
        <v>377</v>
      </c>
      <c r="DJ6" s="131" t="s">
        <v>399</v>
      </c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128" t="n">
        <v>8</v>
      </c>
      <c r="FC6" s="39" t="n">
        <v>1</v>
      </c>
      <c r="FD6" s="114" t="s">
        <v>385</v>
      </c>
      <c r="FE6" s="114" t="s">
        <v>377</v>
      </c>
      <c r="FF6" s="114" t="s">
        <v>386</v>
      </c>
      <c r="FG6" s="114" t="s">
        <v>378</v>
      </c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128" t="n">
        <v>8</v>
      </c>
      <c r="GL6" s="128" t="n">
        <v>1</v>
      </c>
      <c r="GM6" s="131" t="s">
        <v>564</v>
      </c>
      <c r="GN6" s="131" t="s">
        <v>565</v>
      </c>
      <c r="GO6" s="131" t="s">
        <v>566</v>
      </c>
      <c r="GP6" s="131" t="s">
        <v>567</v>
      </c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39" t="n">
        <v>8</v>
      </c>
      <c r="HU6" s="39" t="n">
        <v>1</v>
      </c>
      <c r="HV6" s="114" t="s">
        <v>385</v>
      </c>
      <c r="HW6" s="114" t="s">
        <v>377</v>
      </c>
      <c r="HX6" s="114" t="s">
        <v>386</v>
      </c>
      <c r="HY6" s="114" t="s">
        <v>378</v>
      </c>
      <c r="HZ6" s="131"/>
    </row>
    <row r="7" customFormat="false" ht="12.8" hidden="true" customHeight="false" outlineLevel="0" collapsed="false">
      <c r="A7" s="152" t="s">
        <v>80</v>
      </c>
      <c r="B7" s="153" t="s">
        <v>81</v>
      </c>
      <c r="C7" s="153" t="s">
        <v>82</v>
      </c>
      <c r="D7" s="153" t="s">
        <v>83</v>
      </c>
      <c r="E7" s="130" t="s">
        <v>84</v>
      </c>
      <c r="F7" s="17" t="s">
        <v>85</v>
      </c>
      <c r="G7" s="154" t="s">
        <v>568</v>
      </c>
      <c r="H7" s="150"/>
      <c r="I7" s="150" t="s">
        <v>569</v>
      </c>
      <c r="J7" s="148" t="s">
        <v>498</v>
      </c>
      <c r="K7" s="39" t="n">
        <v>15000</v>
      </c>
      <c r="L7" s="18"/>
      <c r="M7" s="18" t="n">
        <f aca="false">IF(AD7,1,0)+IF(AK7,1,0)+AN7+AU7+BB7+BI7+BP7+BW7+CD7+CK7+CR7+CY7+DF7+DM7+DT7+EA7+EH7+EO7+EV7+FC7+FJ7+FQ7+FX7+GE7+GL7+GS7+GZ7+HG7+HN7+HU7</f>
        <v>0</v>
      </c>
      <c r="N7" s="131"/>
      <c r="O7" s="147"/>
      <c r="P7" s="147"/>
      <c r="Q7" s="147"/>
      <c r="R7" s="128"/>
      <c r="S7" s="18"/>
      <c r="T7" s="18"/>
      <c r="U7" s="18"/>
      <c r="V7" s="18"/>
      <c r="W7" s="18"/>
      <c r="X7" s="18"/>
      <c r="Y7" s="18"/>
      <c r="Z7" s="18"/>
      <c r="AA7" s="18"/>
      <c r="AB7" s="18"/>
      <c r="AC7" s="131"/>
      <c r="AD7" s="128"/>
      <c r="AE7" s="128"/>
      <c r="AF7" s="128"/>
      <c r="AG7" s="128"/>
      <c r="AH7" s="128"/>
      <c r="AI7" s="147"/>
      <c r="AJ7" s="128"/>
      <c r="AK7" s="128"/>
      <c r="AL7" s="147"/>
      <c r="AM7" s="131"/>
      <c r="AN7" s="128"/>
      <c r="AO7" s="131"/>
      <c r="AP7" s="131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16"/>
      <c r="CK7" s="16"/>
      <c r="CL7" s="16"/>
      <c r="CM7" s="16"/>
      <c r="CN7" s="16"/>
      <c r="CO7" s="16"/>
      <c r="CP7" s="16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131"/>
      <c r="HU7" s="128"/>
      <c r="HV7" s="131"/>
      <c r="HW7" s="131"/>
      <c r="HX7" s="131"/>
      <c r="HY7" s="131"/>
      <c r="HZ7" s="131"/>
    </row>
    <row r="8" customFormat="false" ht="12.8" hidden="true" customHeight="false" outlineLevel="0" collapsed="false">
      <c r="A8" s="152" t="s">
        <v>80</v>
      </c>
      <c r="B8" s="153" t="s">
        <v>81</v>
      </c>
      <c r="C8" s="153" t="s">
        <v>82</v>
      </c>
      <c r="D8" s="153" t="s">
        <v>83</v>
      </c>
      <c r="E8" s="130" t="s">
        <v>84</v>
      </c>
      <c r="F8" s="17" t="s">
        <v>85</v>
      </c>
      <c r="G8" s="154" t="s">
        <v>570</v>
      </c>
      <c r="H8" s="150"/>
      <c r="I8" s="150" t="s">
        <v>502</v>
      </c>
      <c r="J8" s="148" t="s">
        <v>498</v>
      </c>
      <c r="K8" s="39" t="n">
        <v>15000</v>
      </c>
      <c r="L8" s="18"/>
      <c r="M8" s="18" t="n">
        <f aca="false">IF(AD8,1,0)+IF(AK8,1,0)+AN8+AU8+BB8+BI8+BP8+BW8+CD8+CK8+CR8+CY8+DF8+DM8+DT8+EA8+EH8+EO8+EV8+FC8+FJ8+FQ8+FX8+GE8+GL8+GS8+GZ8+HG8+HN8+HU8</f>
        <v>0</v>
      </c>
      <c r="N8" s="131"/>
      <c r="O8" s="147"/>
      <c r="P8" s="147"/>
      <c r="Q8" s="147"/>
      <c r="R8" s="128"/>
      <c r="S8" s="18"/>
      <c r="T8" s="18"/>
      <c r="U8" s="18"/>
      <c r="V8" s="18"/>
      <c r="W8" s="18"/>
      <c r="X8" s="18"/>
      <c r="Y8" s="18"/>
      <c r="Z8" s="18"/>
      <c r="AA8" s="18"/>
      <c r="AB8" s="18"/>
      <c r="AC8" s="131"/>
      <c r="AD8" s="128"/>
      <c r="AE8" s="128"/>
      <c r="AF8" s="128"/>
      <c r="AG8" s="128"/>
      <c r="AH8" s="128"/>
      <c r="AI8" s="147"/>
      <c r="AJ8" s="128"/>
      <c r="AK8" s="128"/>
      <c r="AL8" s="147"/>
      <c r="AM8" s="131"/>
      <c r="AN8" s="128"/>
      <c r="AO8" s="131"/>
      <c r="AP8" s="131"/>
      <c r="AQ8" s="131"/>
      <c r="AR8" s="131"/>
      <c r="AS8" s="131"/>
      <c r="AT8" s="131"/>
      <c r="AU8" s="131"/>
      <c r="AV8" s="131"/>
      <c r="AW8" s="131"/>
      <c r="AX8" s="131"/>
      <c r="AY8" s="131"/>
      <c r="AZ8" s="131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16"/>
      <c r="CK8" s="16"/>
      <c r="CL8" s="16"/>
      <c r="CM8" s="16"/>
      <c r="CN8" s="16"/>
      <c r="CO8" s="16"/>
      <c r="CP8" s="16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131"/>
      <c r="HU8" s="128"/>
      <c r="HV8" s="131"/>
      <c r="HW8" s="131"/>
      <c r="HX8" s="131"/>
      <c r="HY8" s="131"/>
      <c r="HZ8" s="131"/>
    </row>
    <row r="9" customFormat="false" ht="12.8" hidden="true" customHeight="false" outlineLevel="0" collapsed="false">
      <c r="A9" s="152" t="s">
        <v>80</v>
      </c>
      <c r="B9" s="153" t="s">
        <v>93</v>
      </c>
      <c r="C9" s="155" t="s">
        <v>94</v>
      </c>
      <c r="D9" s="153" t="s">
        <v>95</v>
      </c>
      <c r="E9" s="130" t="s">
        <v>84</v>
      </c>
      <c r="F9" s="17" t="s">
        <v>85</v>
      </c>
      <c r="G9" s="154" t="s">
        <v>571</v>
      </c>
      <c r="H9" s="150"/>
      <c r="I9" s="150" t="s">
        <v>553</v>
      </c>
      <c r="J9" s="148" t="s">
        <v>92</v>
      </c>
      <c r="K9" s="39" t="n">
        <v>15000</v>
      </c>
      <c r="L9" s="18" t="n">
        <v>4</v>
      </c>
      <c r="M9" s="18" t="n">
        <f aca="false">IF(AD9,1,0)+IF(AK9,1,0)+AN9+AU9+BB9+BI9+BP9+BW9+CD9+CK9+CR9+CY9+DF9+DM9+DT9+EA9+EH9+EO9+EV9+FC9+FJ9+FQ9+FX9+GE9+GL9+GS9+GZ9+HG9+HN9+HU9</f>
        <v>0</v>
      </c>
      <c r="N9" s="131"/>
      <c r="O9" s="147" t="n">
        <v>7300</v>
      </c>
      <c r="P9" s="147" t="n">
        <v>712</v>
      </c>
      <c r="Q9" s="147" t="n">
        <v>619</v>
      </c>
      <c r="R9" s="21" t="s">
        <v>44</v>
      </c>
      <c r="S9" s="21" t="s">
        <v>44</v>
      </c>
      <c r="T9" s="18"/>
      <c r="U9" s="18"/>
      <c r="V9" s="18"/>
      <c r="W9" s="18"/>
      <c r="X9" s="18"/>
      <c r="Y9" s="18"/>
      <c r="Z9" s="18"/>
      <c r="AA9" s="18"/>
      <c r="AB9" s="18"/>
      <c r="AC9" s="131"/>
      <c r="AD9" s="128"/>
      <c r="AE9" s="128"/>
      <c r="AF9" s="128"/>
      <c r="AG9" s="128"/>
      <c r="AH9" s="128"/>
      <c r="AI9" s="147"/>
      <c r="AJ9" s="128"/>
      <c r="AK9" s="128"/>
      <c r="AL9" s="147"/>
      <c r="AM9" s="131"/>
      <c r="AN9" s="128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16"/>
      <c r="CK9" s="16"/>
      <c r="CL9" s="16"/>
      <c r="CM9" s="16"/>
      <c r="CN9" s="16"/>
      <c r="CO9" s="16"/>
      <c r="CP9" s="16"/>
      <c r="CQ9" s="128" t="n">
        <v>10</v>
      </c>
      <c r="CR9" s="128" t="n">
        <v>2</v>
      </c>
      <c r="CS9" s="131" t="s">
        <v>381</v>
      </c>
      <c r="CT9" s="131" t="s">
        <v>382</v>
      </c>
      <c r="CU9" s="131" t="s">
        <v>383</v>
      </c>
      <c r="CV9" s="131" t="s">
        <v>384</v>
      </c>
      <c r="CW9" s="131" t="s">
        <v>399</v>
      </c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128" t="n">
        <v>10</v>
      </c>
      <c r="FC9" s="128" t="n">
        <v>2</v>
      </c>
      <c r="FD9" s="131" t="s">
        <v>572</v>
      </c>
      <c r="FE9" s="131" t="s">
        <v>383</v>
      </c>
      <c r="FF9" s="131" t="s">
        <v>573</v>
      </c>
      <c r="FG9" s="131" t="s">
        <v>574</v>
      </c>
      <c r="FH9" s="131" t="s">
        <v>378</v>
      </c>
      <c r="FI9" s="52"/>
      <c r="FJ9" s="52"/>
      <c r="FK9" s="52"/>
      <c r="FL9" s="52"/>
      <c r="FM9" s="52"/>
      <c r="FN9" s="52"/>
      <c r="FO9" s="52"/>
      <c r="FP9" s="52"/>
      <c r="FQ9" s="52"/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39" t="n">
        <v>10</v>
      </c>
      <c r="HG9" s="128" t="n">
        <v>1</v>
      </c>
      <c r="HH9" s="131" t="s">
        <v>572</v>
      </c>
      <c r="HI9" s="131" t="s">
        <v>383</v>
      </c>
      <c r="HJ9" s="131" t="s">
        <v>573</v>
      </c>
      <c r="HK9" s="131" t="s">
        <v>574</v>
      </c>
      <c r="HL9" s="131" t="s">
        <v>378</v>
      </c>
      <c r="HM9" s="39" t="n">
        <v>10</v>
      </c>
      <c r="HN9" s="128" t="n">
        <v>1</v>
      </c>
      <c r="HO9" s="131" t="s">
        <v>572</v>
      </c>
      <c r="HP9" s="131" t="s">
        <v>383</v>
      </c>
      <c r="HQ9" s="131" t="s">
        <v>573</v>
      </c>
      <c r="HR9" s="131" t="s">
        <v>574</v>
      </c>
      <c r="HS9" s="131" t="s">
        <v>378</v>
      </c>
      <c r="HT9" s="131"/>
      <c r="HU9" s="128"/>
      <c r="HV9" s="131"/>
      <c r="HW9" s="131"/>
      <c r="HX9" s="131"/>
      <c r="HY9" s="131"/>
      <c r="HZ9" s="131"/>
    </row>
    <row r="10" customFormat="false" ht="12.8" hidden="true" customHeight="false" outlineLevel="0" collapsed="false">
      <c r="A10" s="152" t="s">
        <v>80</v>
      </c>
      <c r="B10" s="153" t="s">
        <v>93</v>
      </c>
      <c r="C10" s="155" t="s">
        <v>94</v>
      </c>
      <c r="D10" s="153" t="s">
        <v>95</v>
      </c>
      <c r="E10" s="130" t="s">
        <v>84</v>
      </c>
      <c r="F10" s="17" t="s">
        <v>85</v>
      </c>
      <c r="G10" s="154" t="s">
        <v>570</v>
      </c>
      <c r="H10" s="150"/>
      <c r="I10" s="150" t="s">
        <v>559</v>
      </c>
      <c r="J10" s="148" t="s">
        <v>498</v>
      </c>
      <c r="K10" s="39" t="n">
        <v>15000</v>
      </c>
      <c r="L10" s="18"/>
      <c r="M10" s="18" t="n">
        <f aca="false">IF(AD10,1,0)+IF(AK10,1,0)+AN10+AU10+BB10+BI10+BP10+BW10+CD10+CK10+CR10+CY10+DF10+DM10+DT10+EA10+EH10+EO10+EV10+FC10+FJ10+FQ10+FX10+GE10+GL10+GS10+GZ10+HG10+HN10+HU10</f>
        <v>0</v>
      </c>
      <c r="N10" s="131"/>
      <c r="O10" s="147"/>
      <c r="P10" s="147"/>
      <c r="Q10" s="147"/>
      <c r="R10" s="12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31"/>
      <c r="AD10" s="128"/>
      <c r="AE10" s="128"/>
      <c r="AF10" s="128"/>
      <c r="AG10" s="128"/>
      <c r="AH10" s="128"/>
      <c r="AI10" s="147"/>
      <c r="AJ10" s="128"/>
      <c r="AK10" s="128"/>
      <c r="AL10" s="147"/>
      <c r="AM10" s="131"/>
      <c r="AN10" s="128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16"/>
      <c r="CK10" s="16"/>
      <c r="CL10" s="16"/>
      <c r="CM10" s="16"/>
      <c r="CN10" s="16"/>
      <c r="CO10" s="16"/>
      <c r="CP10" s="16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  <c r="FK10" s="52"/>
      <c r="FL10" s="52"/>
      <c r="FM10" s="52"/>
      <c r="FN10" s="52"/>
      <c r="FO10" s="52"/>
      <c r="FP10" s="52"/>
      <c r="FQ10" s="52"/>
      <c r="FR10" s="52"/>
      <c r="FS10" s="52"/>
      <c r="FT10" s="52"/>
      <c r="FU10" s="52"/>
      <c r="FV10" s="52"/>
      <c r="FW10" s="52"/>
      <c r="FX10" s="52"/>
      <c r="FY10" s="52"/>
      <c r="FZ10" s="52"/>
      <c r="GA10" s="52"/>
      <c r="GB10" s="52"/>
      <c r="GC10" s="52"/>
      <c r="GD10" s="52"/>
      <c r="GE10" s="52"/>
      <c r="GF10" s="52"/>
      <c r="GG10" s="52"/>
      <c r="GH10" s="52"/>
      <c r="GI10" s="52"/>
      <c r="GJ10" s="52"/>
      <c r="GK10" s="52"/>
      <c r="GL10" s="52"/>
      <c r="GM10" s="52"/>
      <c r="GN10" s="52"/>
      <c r="GO10" s="52"/>
      <c r="GP10" s="52"/>
      <c r="GQ10" s="52"/>
      <c r="GR10" s="52"/>
      <c r="GS10" s="52"/>
      <c r="GT10" s="52"/>
      <c r="GU10" s="52"/>
      <c r="GV10" s="52"/>
      <c r="GW10" s="52"/>
      <c r="GX10" s="52"/>
      <c r="GY10" s="52"/>
      <c r="GZ10" s="52"/>
      <c r="HA10" s="52"/>
      <c r="HB10" s="52"/>
      <c r="HC10" s="52"/>
      <c r="HD10" s="52"/>
      <c r="HE10" s="52"/>
      <c r="HF10" s="52"/>
      <c r="HG10" s="52"/>
      <c r="HH10" s="52"/>
      <c r="HI10" s="52"/>
      <c r="HJ10" s="52"/>
      <c r="HK10" s="52"/>
      <c r="HL10" s="52"/>
      <c r="HM10" s="52"/>
      <c r="HN10" s="52"/>
      <c r="HO10" s="52"/>
      <c r="HP10" s="52"/>
      <c r="HQ10" s="52"/>
      <c r="HR10" s="52"/>
      <c r="HS10" s="52"/>
      <c r="HT10" s="131"/>
      <c r="HU10" s="128"/>
      <c r="HV10" s="131"/>
      <c r="HW10" s="131"/>
      <c r="HX10" s="131"/>
      <c r="HY10" s="131"/>
      <c r="HZ10" s="131"/>
    </row>
    <row r="11" customFormat="false" ht="12.8" hidden="true" customHeight="false" outlineLevel="0" collapsed="false">
      <c r="A11" s="152" t="s">
        <v>80</v>
      </c>
      <c r="B11" s="153" t="s">
        <v>93</v>
      </c>
      <c r="C11" s="155" t="s">
        <v>94</v>
      </c>
      <c r="D11" s="153" t="s">
        <v>95</v>
      </c>
      <c r="E11" s="130" t="s">
        <v>84</v>
      </c>
      <c r="F11" s="17" t="s">
        <v>85</v>
      </c>
      <c r="G11" s="154" t="s">
        <v>575</v>
      </c>
      <c r="H11" s="150"/>
      <c r="I11" s="150" t="s">
        <v>576</v>
      </c>
      <c r="J11" s="148" t="s">
        <v>498</v>
      </c>
      <c r="K11" s="39" t="n">
        <v>15000</v>
      </c>
      <c r="L11" s="18"/>
      <c r="M11" s="18" t="n">
        <f aca="false">IF(AD11,1,0)+IF(AK11,1,0)+AN11+AU11+BB11+BI11+BP11+BW11+CD11+CK11+CR11+CY11+DF11+DM11+DT11+EA11+EH11+EO11+EV11+FC11+FJ11+FQ11+FX11+GE11+GL11+GS11+GZ11+HG11+HN11+HU11</f>
        <v>0</v>
      </c>
      <c r="N11" s="131"/>
      <c r="O11" s="147"/>
      <c r="P11" s="147"/>
      <c r="Q11" s="147"/>
      <c r="R11" s="12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31"/>
      <c r="AD11" s="128"/>
      <c r="AE11" s="128"/>
      <c r="AF11" s="128"/>
      <c r="AG11" s="128"/>
      <c r="AH11" s="128"/>
      <c r="AI11" s="147"/>
      <c r="AJ11" s="128"/>
      <c r="AK11" s="128"/>
      <c r="AL11" s="147"/>
      <c r="AM11" s="131"/>
      <c r="AN11" s="128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16"/>
      <c r="CK11" s="16"/>
      <c r="CL11" s="16"/>
      <c r="CM11" s="16"/>
      <c r="CN11" s="16"/>
      <c r="CO11" s="16"/>
      <c r="CP11" s="16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131"/>
      <c r="HU11" s="128"/>
      <c r="HV11" s="131"/>
      <c r="HW11" s="131"/>
      <c r="HX11" s="131"/>
      <c r="HY11" s="131"/>
      <c r="HZ11" s="131"/>
    </row>
    <row r="12" customFormat="false" ht="12.8" hidden="true" customHeight="false" outlineLevel="0" collapsed="false">
      <c r="A12" s="17" t="s">
        <v>51</v>
      </c>
      <c r="B12" s="17" t="s">
        <v>98</v>
      </c>
      <c r="C12" s="17" t="s">
        <v>99</v>
      </c>
      <c r="D12" s="17" t="s">
        <v>100</v>
      </c>
      <c r="E12" s="130" t="s">
        <v>89</v>
      </c>
      <c r="F12" s="17" t="s">
        <v>101</v>
      </c>
      <c r="G12" s="154" t="s">
        <v>577</v>
      </c>
      <c r="H12" s="17" t="s">
        <v>92</v>
      </c>
      <c r="I12" s="150"/>
      <c r="J12" s="150"/>
      <c r="K12" s="39" t="n">
        <v>1500</v>
      </c>
      <c r="L12" s="18" t="n">
        <v>6</v>
      </c>
      <c r="M12" s="18" t="n">
        <f aca="false">IF(AD12,1,0)+IF(AK12,1,0)+AN12+AU12+BB12+BI12+BP12+BW12+CD12+CK12+CR12+CY12+DF12+DM12+DT12+EA12+EH12+EO12+EV12+FC12+FJ12+FQ12+FX12+GE12+GL12+GS12+GZ12+HG12+HN12+HU12</f>
        <v>0</v>
      </c>
      <c r="N12" s="131"/>
      <c r="O12" s="147" t="n">
        <v>4200</v>
      </c>
      <c r="P12" s="147" t="n">
        <v>0</v>
      </c>
      <c r="Q12" s="147" t="n">
        <v>1469</v>
      </c>
      <c r="R12" s="21" t="s">
        <v>46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31"/>
      <c r="AD12" s="128"/>
      <c r="AE12" s="128"/>
      <c r="AF12" s="128"/>
      <c r="AG12" s="128"/>
      <c r="AH12" s="128"/>
      <c r="AI12" s="147"/>
      <c r="AJ12" s="128"/>
      <c r="AK12" s="128"/>
      <c r="AL12" s="147"/>
      <c r="AM12" s="131"/>
      <c r="AN12" s="128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39" t="n">
        <v>4</v>
      </c>
      <c r="BP12" s="39" t="n">
        <v>1</v>
      </c>
      <c r="BQ12" s="114" t="s">
        <v>388</v>
      </c>
      <c r="BR12" s="114" t="s">
        <v>389</v>
      </c>
      <c r="BS12" s="114" t="s">
        <v>578</v>
      </c>
      <c r="BT12" s="114" t="s">
        <v>579</v>
      </c>
      <c r="BU12" s="52"/>
      <c r="BV12" s="128" t="n">
        <v>4</v>
      </c>
      <c r="BW12" s="128" t="n">
        <v>1</v>
      </c>
      <c r="BX12" s="131" t="s">
        <v>580</v>
      </c>
      <c r="BY12" s="131" t="s">
        <v>581</v>
      </c>
      <c r="BZ12" s="131" t="s">
        <v>582</v>
      </c>
      <c r="CA12" s="131" t="s">
        <v>583</v>
      </c>
      <c r="CB12" s="52"/>
      <c r="CC12" s="128" t="n">
        <v>4</v>
      </c>
      <c r="CD12" s="128" t="n">
        <v>1</v>
      </c>
      <c r="CE12" s="131" t="s">
        <v>415</v>
      </c>
      <c r="CF12" s="131" t="s">
        <v>584</v>
      </c>
      <c r="CG12" s="131" t="s">
        <v>579</v>
      </c>
      <c r="CH12" s="131" t="s">
        <v>449</v>
      </c>
      <c r="CI12" s="131"/>
      <c r="CJ12" s="16"/>
      <c r="CK12" s="16"/>
      <c r="CL12" s="16"/>
      <c r="CM12" s="16"/>
      <c r="CN12" s="16"/>
      <c r="CO12" s="16"/>
      <c r="CP12" s="16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128" t="n">
        <v>4</v>
      </c>
      <c r="DF12" s="128" t="n">
        <v>2</v>
      </c>
      <c r="DG12" s="131" t="s">
        <v>585</v>
      </c>
      <c r="DH12" s="131" t="s">
        <v>414</v>
      </c>
      <c r="DI12" s="131" t="s">
        <v>388</v>
      </c>
      <c r="DJ12" s="131" t="s">
        <v>415</v>
      </c>
      <c r="DK12" s="131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128" t="n">
        <v>4</v>
      </c>
      <c r="FC12" s="39" t="n">
        <v>2</v>
      </c>
      <c r="FD12" s="114" t="s">
        <v>392</v>
      </c>
      <c r="FE12" s="114" t="s">
        <v>388</v>
      </c>
      <c r="FF12" s="114" t="s">
        <v>586</v>
      </c>
      <c r="FG12" s="114" t="s">
        <v>389</v>
      </c>
      <c r="FH12" s="52"/>
      <c r="FI12" s="52"/>
      <c r="FJ12" s="52"/>
      <c r="FK12" s="52"/>
      <c r="FL12" s="52"/>
      <c r="FM12" s="52"/>
      <c r="FN12" s="52"/>
      <c r="FO12" s="52"/>
      <c r="FP12" s="52"/>
      <c r="FQ12" s="52"/>
      <c r="FR12" s="52"/>
      <c r="FS12" s="52"/>
      <c r="FT12" s="52"/>
      <c r="FU12" s="52"/>
      <c r="FV12" s="52"/>
      <c r="FW12" s="52"/>
      <c r="FX12" s="52"/>
      <c r="FY12" s="52"/>
      <c r="FZ12" s="52"/>
      <c r="GA12" s="52"/>
      <c r="GB12" s="52"/>
      <c r="GC12" s="52"/>
      <c r="GD12" s="128" t="n">
        <v>4</v>
      </c>
      <c r="GE12" s="128" t="n">
        <v>1</v>
      </c>
      <c r="GF12" s="131" t="s">
        <v>585</v>
      </c>
      <c r="GG12" s="131" t="s">
        <v>414</v>
      </c>
      <c r="GH12" s="131" t="s">
        <v>388</v>
      </c>
      <c r="GI12" s="131" t="s">
        <v>415</v>
      </c>
      <c r="GJ12" s="131"/>
      <c r="GK12" s="131"/>
      <c r="GL12" s="131"/>
      <c r="GM12" s="131"/>
      <c r="GN12" s="131"/>
      <c r="GO12" s="131"/>
      <c r="GP12" s="131"/>
      <c r="GQ12" s="131"/>
      <c r="GR12" s="52"/>
      <c r="GS12" s="52"/>
      <c r="GT12" s="52"/>
      <c r="GU12" s="52"/>
      <c r="GV12" s="52"/>
      <c r="GW12" s="52"/>
      <c r="GX12" s="52"/>
      <c r="GY12" s="52"/>
      <c r="GZ12" s="52"/>
      <c r="HA12" s="52"/>
      <c r="HB12" s="52"/>
      <c r="HC12" s="52"/>
      <c r="HD12" s="52"/>
      <c r="HE12" s="52"/>
      <c r="HF12" s="52"/>
      <c r="HG12" s="52"/>
      <c r="HH12" s="52"/>
      <c r="HI12" s="52"/>
      <c r="HJ12" s="52"/>
      <c r="HK12" s="52"/>
      <c r="HL12" s="52"/>
      <c r="HM12" s="52"/>
      <c r="HN12" s="52"/>
      <c r="HO12" s="52"/>
      <c r="HP12" s="52"/>
      <c r="HQ12" s="52"/>
      <c r="HR12" s="52"/>
      <c r="HS12" s="52"/>
      <c r="HT12" s="39" t="n">
        <v>4</v>
      </c>
      <c r="HU12" s="39" t="n">
        <v>1</v>
      </c>
      <c r="HV12" s="114" t="s">
        <v>392</v>
      </c>
      <c r="HW12" s="114" t="s">
        <v>388</v>
      </c>
      <c r="HX12" s="114" t="s">
        <v>586</v>
      </c>
      <c r="HY12" s="114" t="s">
        <v>389</v>
      </c>
      <c r="HZ12" s="131"/>
    </row>
    <row r="13" customFormat="false" ht="12.8" hidden="true" customHeight="false" outlineLevel="0" collapsed="false">
      <c r="A13" s="17" t="s">
        <v>51</v>
      </c>
      <c r="B13" s="17" t="s">
        <v>98</v>
      </c>
      <c r="C13" s="17" t="s">
        <v>99</v>
      </c>
      <c r="D13" s="17" t="s">
        <v>100</v>
      </c>
      <c r="E13" s="130" t="s">
        <v>89</v>
      </c>
      <c r="F13" s="17" t="s">
        <v>101</v>
      </c>
      <c r="G13" s="154" t="s">
        <v>587</v>
      </c>
      <c r="H13" s="16"/>
      <c r="I13" s="150"/>
      <c r="J13" s="150"/>
      <c r="K13" s="39" t="n">
        <v>1500</v>
      </c>
      <c r="L13" s="18" t="n">
        <v>5</v>
      </c>
      <c r="M13" s="18" t="n">
        <f aca="false">IF(AD13,1,0)+IF(AK13,1,0)+AN13+AU13+BB13+BI13+BP13+BW13+CD13+CK13+CR13+CY13+DF13+DM13+DT13+EA13+EH13+EO13+EV13+FC13+FJ13+FQ13+FX13+GE13+GL13+GS13+GZ13+HG13+HN13+HU13</f>
        <v>0</v>
      </c>
      <c r="N13" s="131"/>
      <c r="O13" s="147" t="n">
        <v>780</v>
      </c>
      <c r="P13" s="147" t="n">
        <v>1803</v>
      </c>
      <c r="Q13" s="147" t="n">
        <v>187</v>
      </c>
      <c r="R13" s="21" t="s">
        <v>44</v>
      </c>
      <c r="S13" s="21" t="s">
        <v>44</v>
      </c>
      <c r="T13" s="128"/>
      <c r="U13" s="18"/>
      <c r="V13" s="18"/>
      <c r="W13" s="18"/>
      <c r="X13" s="18"/>
      <c r="Y13" s="21" t="s">
        <v>588</v>
      </c>
      <c r="Z13" s="18"/>
      <c r="AA13" s="18"/>
      <c r="AB13" s="18"/>
      <c r="AC13" s="23" t="s">
        <v>589</v>
      </c>
      <c r="AD13" s="128" t="n">
        <v>10</v>
      </c>
      <c r="AE13" s="21" t="s">
        <v>590</v>
      </c>
      <c r="AF13" s="128"/>
      <c r="AG13" s="128" t="n">
        <v>15</v>
      </c>
      <c r="AH13" s="128" t="n">
        <v>30</v>
      </c>
      <c r="AI13" s="147" t="s">
        <v>591</v>
      </c>
      <c r="AJ13" s="128"/>
      <c r="AK13" s="128"/>
      <c r="AL13" s="147"/>
      <c r="AM13" s="131"/>
      <c r="AN13" s="128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16"/>
      <c r="CK13" s="16"/>
      <c r="CL13" s="16"/>
      <c r="CM13" s="16"/>
      <c r="CN13" s="16"/>
      <c r="CO13" s="16"/>
      <c r="CP13" s="16"/>
      <c r="CQ13" s="128" t="n">
        <v>4</v>
      </c>
      <c r="CR13" s="128" t="n">
        <v>2</v>
      </c>
      <c r="CS13" s="131" t="s">
        <v>585</v>
      </c>
      <c r="CT13" s="131" t="s">
        <v>414</v>
      </c>
      <c r="CU13" s="131" t="s">
        <v>388</v>
      </c>
      <c r="CV13" s="131" t="s">
        <v>415</v>
      </c>
      <c r="CW13" s="131"/>
      <c r="CX13" s="131"/>
      <c r="CY13" s="131"/>
      <c r="CZ13" s="131"/>
      <c r="DA13" s="131"/>
      <c r="DB13" s="131"/>
      <c r="DC13" s="131"/>
      <c r="DD13" s="131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128" t="n">
        <v>4</v>
      </c>
      <c r="FC13" s="39" t="n">
        <v>2</v>
      </c>
      <c r="FD13" s="114" t="s">
        <v>392</v>
      </c>
      <c r="FE13" s="114" t="s">
        <v>388</v>
      </c>
      <c r="FF13" s="114" t="s">
        <v>586</v>
      </c>
      <c r="FG13" s="114" t="s">
        <v>389</v>
      </c>
      <c r="FH13" s="52"/>
      <c r="FI13" s="52"/>
      <c r="FJ13" s="52"/>
      <c r="FK13" s="52"/>
      <c r="FL13" s="52"/>
      <c r="FM13" s="52"/>
      <c r="FN13" s="52"/>
      <c r="FO13" s="52"/>
      <c r="FP13" s="52"/>
      <c r="FQ13" s="52"/>
      <c r="FR13" s="52"/>
      <c r="FS13" s="52"/>
      <c r="FT13" s="52"/>
      <c r="FU13" s="52"/>
      <c r="FV13" s="52"/>
      <c r="FW13" s="52"/>
      <c r="FX13" s="52"/>
      <c r="FY13" s="52"/>
      <c r="FZ13" s="52"/>
      <c r="GA13" s="52"/>
      <c r="GB13" s="52"/>
      <c r="GC13" s="52"/>
      <c r="GD13" s="52"/>
      <c r="GE13" s="52"/>
      <c r="GF13" s="52"/>
      <c r="GG13" s="52"/>
      <c r="GH13" s="52"/>
      <c r="GI13" s="52"/>
      <c r="GJ13" s="52"/>
      <c r="GK13" s="52"/>
      <c r="GL13" s="52"/>
      <c r="GM13" s="52"/>
      <c r="GN13" s="52"/>
      <c r="GO13" s="52"/>
      <c r="GP13" s="52"/>
      <c r="GQ13" s="52"/>
      <c r="GR13" s="52"/>
      <c r="GS13" s="52"/>
      <c r="GT13" s="52"/>
      <c r="GU13" s="52"/>
      <c r="GV13" s="52"/>
      <c r="GW13" s="52"/>
      <c r="GX13" s="52"/>
      <c r="GY13" s="52"/>
      <c r="GZ13" s="52"/>
      <c r="HA13" s="52"/>
      <c r="HB13" s="52"/>
      <c r="HC13" s="52"/>
      <c r="HD13" s="52"/>
      <c r="HE13" s="52"/>
      <c r="HF13" s="128" t="n">
        <v>4</v>
      </c>
      <c r="HG13" s="39" t="n">
        <v>2</v>
      </c>
      <c r="HH13" s="114" t="s">
        <v>392</v>
      </c>
      <c r="HI13" s="114" t="s">
        <v>388</v>
      </c>
      <c r="HJ13" s="114" t="s">
        <v>586</v>
      </c>
      <c r="HK13" s="114" t="s">
        <v>389</v>
      </c>
      <c r="HL13" s="52"/>
      <c r="HM13" s="52"/>
      <c r="HN13" s="52"/>
      <c r="HO13" s="52"/>
      <c r="HP13" s="52"/>
      <c r="HQ13" s="52"/>
      <c r="HR13" s="52"/>
      <c r="HS13" s="52"/>
      <c r="HT13" s="131"/>
      <c r="HU13" s="128"/>
      <c r="HV13" s="131"/>
      <c r="HW13" s="131"/>
      <c r="HX13" s="131"/>
      <c r="HY13" s="131"/>
      <c r="HZ13" s="131"/>
    </row>
    <row r="14" customFormat="false" ht="12.8" hidden="true" customHeight="false" outlineLevel="0" collapsed="false">
      <c r="A14" s="17" t="s">
        <v>51</v>
      </c>
      <c r="B14" s="17" t="s">
        <v>98</v>
      </c>
      <c r="C14" s="17" t="s">
        <v>104</v>
      </c>
      <c r="D14" s="17" t="s">
        <v>105</v>
      </c>
      <c r="E14" s="130" t="s">
        <v>89</v>
      </c>
      <c r="F14" s="17" t="s">
        <v>106</v>
      </c>
      <c r="G14" s="154" t="s">
        <v>592</v>
      </c>
      <c r="H14" s="17" t="s">
        <v>92</v>
      </c>
      <c r="I14" s="150"/>
      <c r="J14" s="150"/>
      <c r="K14" s="39" t="n">
        <v>1500</v>
      </c>
      <c r="L14" s="18" t="n">
        <v>6</v>
      </c>
      <c r="M14" s="18" t="n">
        <f aca="false">IF(AD14,1,0)+IF(AK14,1,0)+AN14+AU14+BB14+BI14+BP14+BW14+CD14+CK14+CR14+CY14+DF14+DM14+DT14+EA14+EH14+EO14+EV14+FC14+FJ14+FQ14+FX14+GE14+GL14+GS14+GZ14+HG14+HN14+HU14</f>
        <v>0</v>
      </c>
      <c r="N14" s="131"/>
      <c r="O14" s="147" t="n">
        <v>2400</v>
      </c>
      <c r="P14" s="147" t="n">
        <v>192</v>
      </c>
      <c r="Q14" s="147" t="n">
        <v>336</v>
      </c>
      <c r="R14" s="21" t="s">
        <v>44</v>
      </c>
      <c r="S14" s="18"/>
      <c r="T14" s="18"/>
      <c r="U14" s="18"/>
      <c r="V14" s="18"/>
      <c r="W14" s="18"/>
      <c r="X14" s="18"/>
      <c r="Y14" s="21" t="s">
        <v>541</v>
      </c>
      <c r="Z14" s="18"/>
      <c r="AA14" s="18"/>
      <c r="AB14" s="18"/>
      <c r="AC14" s="23" t="s">
        <v>593</v>
      </c>
      <c r="AD14" s="128" t="n">
        <v>12</v>
      </c>
      <c r="AE14" s="21" t="s">
        <v>594</v>
      </c>
      <c r="AF14" s="128"/>
      <c r="AG14" s="128"/>
      <c r="AH14" s="128"/>
      <c r="AI14" s="147" t="s">
        <v>595</v>
      </c>
      <c r="AJ14" s="128"/>
      <c r="AK14" s="128"/>
      <c r="AL14" s="147"/>
      <c r="AM14" s="131"/>
      <c r="AN14" s="128"/>
      <c r="AO14" s="131"/>
      <c r="AP14" s="131"/>
      <c r="AQ14" s="131"/>
      <c r="AR14" s="131"/>
      <c r="AS14" s="131"/>
      <c r="AT14" s="131"/>
      <c r="AU14" s="131"/>
      <c r="AV14" s="131"/>
      <c r="AW14" s="131"/>
      <c r="AX14" s="131"/>
      <c r="AY14" s="131"/>
      <c r="AZ14" s="131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128" t="n">
        <v>8</v>
      </c>
      <c r="BW14" s="128" t="n">
        <v>1</v>
      </c>
      <c r="BX14" s="131" t="s">
        <v>415</v>
      </c>
      <c r="BY14" s="131" t="s">
        <v>584</v>
      </c>
      <c r="BZ14" s="131" t="s">
        <v>380</v>
      </c>
      <c r="CA14" s="131" t="s">
        <v>596</v>
      </c>
      <c r="CB14" s="131" t="s">
        <v>597</v>
      </c>
      <c r="CC14" s="52"/>
      <c r="CD14" s="52"/>
      <c r="CE14" s="52"/>
      <c r="CF14" s="52"/>
      <c r="CG14" s="52"/>
      <c r="CH14" s="52"/>
      <c r="CI14" s="52"/>
      <c r="CJ14" s="128" t="n">
        <v>8</v>
      </c>
      <c r="CK14" s="128" t="n">
        <v>1</v>
      </c>
      <c r="CL14" s="140" t="s">
        <v>598</v>
      </c>
      <c r="CM14" s="140" t="s">
        <v>599</v>
      </c>
      <c r="CN14" s="130" t="s">
        <v>467</v>
      </c>
      <c r="CO14" s="130" t="s">
        <v>468</v>
      </c>
      <c r="CP14" s="130" t="s">
        <v>380</v>
      </c>
      <c r="CQ14" s="128" t="n">
        <v>8</v>
      </c>
      <c r="CR14" s="128" t="n">
        <v>2</v>
      </c>
      <c r="CS14" s="131" t="s">
        <v>390</v>
      </c>
      <c r="CT14" s="131" t="s">
        <v>391</v>
      </c>
      <c r="CU14" s="131" t="s">
        <v>383</v>
      </c>
      <c r="CV14" s="131" t="s">
        <v>384</v>
      </c>
      <c r="CW14" s="131" t="s">
        <v>399</v>
      </c>
      <c r="CX14" s="131"/>
      <c r="CY14" s="131"/>
      <c r="CZ14" s="131"/>
      <c r="DA14" s="131"/>
      <c r="DB14" s="131"/>
      <c r="DC14" s="131"/>
      <c r="DD14" s="131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128" t="n">
        <v>8</v>
      </c>
      <c r="FC14" s="128" t="n">
        <v>2</v>
      </c>
      <c r="FD14" s="131" t="s">
        <v>451</v>
      </c>
      <c r="FE14" s="131" t="s">
        <v>410</v>
      </c>
      <c r="FF14" s="131" t="s">
        <v>573</v>
      </c>
      <c r="FG14" s="131" t="s">
        <v>574</v>
      </c>
      <c r="FH14" s="131" t="s">
        <v>378</v>
      </c>
      <c r="FI14" s="131"/>
      <c r="FJ14" s="131"/>
      <c r="FK14" s="131"/>
      <c r="FL14" s="131"/>
      <c r="FM14" s="131"/>
      <c r="FN14" s="131"/>
      <c r="FO14" s="131"/>
      <c r="FP14" s="128" t="n">
        <v>8</v>
      </c>
      <c r="FQ14" s="128" t="n">
        <v>1</v>
      </c>
      <c r="FR14" s="131" t="s">
        <v>390</v>
      </c>
      <c r="FS14" s="131" t="s">
        <v>391</v>
      </c>
      <c r="FT14" s="131" t="s">
        <v>383</v>
      </c>
      <c r="FU14" s="131" t="s">
        <v>384</v>
      </c>
      <c r="FV14" s="131" t="s">
        <v>399</v>
      </c>
      <c r="FW14" s="131"/>
      <c r="FX14" s="131"/>
      <c r="FY14" s="131"/>
      <c r="FZ14" s="131"/>
      <c r="GA14" s="131"/>
      <c r="GB14" s="131"/>
      <c r="GC14" s="131"/>
      <c r="GD14" s="52"/>
      <c r="GE14" s="52"/>
      <c r="GF14" s="52"/>
      <c r="GG14" s="52"/>
      <c r="GH14" s="52"/>
      <c r="GI14" s="52"/>
      <c r="GJ14" s="52"/>
      <c r="GK14" s="52"/>
      <c r="GL14" s="52"/>
      <c r="GM14" s="52"/>
      <c r="GN14" s="52"/>
      <c r="GO14" s="52"/>
      <c r="GP14" s="52"/>
      <c r="GQ14" s="52"/>
      <c r="GR14" s="52"/>
      <c r="GS14" s="52"/>
      <c r="GT14" s="52"/>
      <c r="GU14" s="52"/>
      <c r="GV14" s="52"/>
      <c r="GW14" s="52"/>
      <c r="GX14" s="52"/>
      <c r="GY14" s="52"/>
      <c r="GZ14" s="52"/>
      <c r="HA14" s="52"/>
      <c r="HB14" s="52"/>
      <c r="HC14" s="52"/>
      <c r="HD14" s="52"/>
      <c r="HE14" s="52"/>
      <c r="HF14" s="128" t="n">
        <v>8</v>
      </c>
      <c r="HG14" s="128" t="n">
        <v>1</v>
      </c>
      <c r="HH14" s="131" t="s">
        <v>451</v>
      </c>
      <c r="HI14" s="131" t="s">
        <v>410</v>
      </c>
      <c r="HJ14" s="131" t="s">
        <v>573</v>
      </c>
      <c r="HK14" s="131" t="s">
        <v>574</v>
      </c>
      <c r="HL14" s="131" t="s">
        <v>378</v>
      </c>
      <c r="HM14" s="52"/>
      <c r="HN14" s="52"/>
      <c r="HO14" s="52"/>
      <c r="HP14" s="52"/>
      <c r="HQ14" s="52"/>
      <c r="HR14" s="52"/>
      <c r="HS14" s="52"/>
      <c r="HT14" s="131"/>
      <c r="HU14" s="128"/>
      <c r="HV14" s="131"/>
      <c r="HW14" s="131"/>
      <c r="HX14" s="131"/>
      <c r="HY14" s="131"/>
      <c r="HZ14" s="131"/>
    </row>
    <row r="15" customFormat="false" ht="12.8" hidden="true" customHeight="false" outlineLevel="0" collapsed="false">
      <c r="A15" s="17" t="s">
        <v>51</v>
      </c>
      <c r="B15" s="17" t="s">
        <v>98</v>
      </c>
      <c r="C15" s="17" t="s">
        <v>104</v>
      </c>
      <c r="D15" s="17" t="s">
        <v>105</v>
      </c>
      <c r="E15" s="130" t="s">
        <v>89</v>
      </c>
      <c r="F15" s="17" t="s">
        <v>106</v>
      </c>
      <c r="G15" s="154" t="s">
        <v>600</v>
      </c>
      <c r="H15" s="130"/>
      <c r="I15" s="150"/>
      <c r="J15" s="150"/>
      <c r="K15" s="39" t="n">
        <v>1500</v>
      </c>
      <c r="L15" s="18" t="n">
        <v>3</v>
      </c>
      <c r="M15" s="18" t="n">
        <f aca="false">IF(AD15,1,0)+IF(AK15,1,0)+AN15+AU15+BB15+BI15+BP15+BW15+CD15+CK15+CR15+CY15+DF15+DM15+DT15+EA15+EH15+EO15+EV15+FC15+FJ15+FQ15+FX15+GE15+GL15+GS15+GZ15+HG15+HN15+HU15</f>
        <v>0</v>
      </c>
      <c r="N15" s="131"/>
      <c r="O15" s="147" t="n">
        <v>720</v>
      </c>
      <c r="P15" s="147" t="n">
        <v>475</v>
      </c>
      <c r="Q15" s="147" t="n">
        <v>252</v>
      </c>
      <c r="R15" s="21" t="s">
        <v>45</v>
      </c>
      <c r="S15" s="18"/>
      <c r="T15" s="18"/>
      <c r="U15" s="18"/>
      <c r="V15" s="18"/>
      <c r="W15" s="18"/>
      <c r="X15" s="18"/>
      <c r="Y15" s="21" t="s">
        <v>541</v>
      </c>
      <c r="Z15" s="18"/>
      <c r="AA15" s="18"/>
      <c r="AB15" s="18"/>
      <c r="AC15" s="131"/>
      <c r="AD15" s="128"/>
      <c r="AE15" s="128"/>
      <c r="AF15" s="128"/>
      <c r="AG15" s="128"/>
      <c r="AH15" s="128"/>
      <c r="AI15" s="147"/>
      <c r="AJ15" s="128"/>
      <c r="AK15" s="128"/>
      <c r="AL15" s="147"/>
      <c r="AM15" s="131"/>
      <c r="AN15" s="128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16"/>
      <c r="CK15" s="16"/>
      <c r="CL15" s="16"/>
      <c r="CM15" s="16"/>
      <c r="CN15" s="16"/>
      <c r="CO15" s="16"/>
      <c r="CP15" s="16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128" t="n">
        <v>6</v>
      </c>
      <c r="DF15" s="128" t="n">
        <v>2</v>
      </c>
      <c r="DG15" s="131" t="s">
        <v>471</v>
      </c>
      <c r="DH15" s="131" t="s">
        <v>601</v>
      </c>
      <c r="DI15" s="131" t="s">
        <v>399</v>
      </c>
      <c r="DJ15" s="131"/>
      <c r="DK15" s="131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128" t="n">
        <v>6</v>
      </c>
      <c r="FC15" s="128" t="n">
        <v>1</v>
      </c>
      <c r="FD15" s="131" t="s">
        <v>398</v>
      </c>
      <c r="FE15" s="131" t="s">
        <v>399</v>
      </c>
      <c r="FF15" s="131" t="s">
        <v>378</v>
      </c>
      <c r="FG15" s="131"/>
      <c r="FH15" s="131"/>
      <c r="FI15" s="131"/>
      <c r="FJ15" s="131"/>
      <c r="FK15" s="131"/>
      <c r="FL15" s="131"/>
      <c r="FM15" s="131"/>
      <c r="FN15" s="131"/>
      <c r="FO15" s="131"/>
      <c r="FP15" s="52"/>
      <c r="FQ15" s="52"/>
      <c r="FR15" s="52"/>
      <c r="FS15" s="52"/>
      <c r="FT15" s="52"/>
      <c r="FU15" s="52"/>
      <c r="FV15" s="52"/>
      <c r="FW15" s="52"/>
      <c r="FX15" s="52"/>
      <c r="FY15" s="52"/>
      <c r="FZ15" s="52"/>
      <c r="GA15" s="52"/>
      <c r="GB15" s="52"/>
      <c r="GC15" s="52"/>
      <c r="GD15" s="128" t="n">
        <v>6</v>
      </c>
      <c r="GE15" s="128" t="n">
        <v>1</v>
      </c>
      <c r="GF15" s="131" t="s">
        <v>471</v>
      </c>
      <c r="GG15" s="131" t="s">
        <v>601</v>
      </c>
      <c r="GH15" s="131" t="s">
        <v>399</v>
      </c>
      <c r="GI15" s="131"/>
      <c r="GJ15" s="131"/>
      <c r="GK15" s="131"/>
      <c r="GL15" s="131"/>
      <c r="GM15" s="131"/>
      <c r="GN15" s="131"/>
      <c r="GO15" s="131"/>
      <c r="GP15" s="131"/>
      <c r="GQ15" s="131"/>
      <c r="GR15" s="52"/>
      <c r="GS15" s="52"/>
      <c r="GT15" s="52"/>
      <c r="GU15" s="52"/>
      <c r="GV15" s="52"/>
      <c r="GW15" s="52"/>
      <c r="GX15" s="52"/>
      <c r="GY15" s="52"/>
      <c r="GZ15" s="52"/>
      <c r="HA15" s="52"/>
      <c r="HB15" s="52"/>
      <c r="HC15" s="52"/>
      <c r="HD15" s="52"/>
      <c r="HE15" s="52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2"/>
      <c r="HR15" s="52"/>
      <c r="HS15" s="52"/>
      <c r="HT15" s="131"/>
      <c r="HU15" s="128"/>
      <c r="HV15" s="131"/>
      <c r="HW15" s="131"/>
      <c r="HX15" s="131"/>
      <c r="HY15" s="131"/>
      <c r="HZ15" s="131"/>
    </row>
    <row r="16" customFormat="false" ht="12.8" hidden="true" customHeight="false" outlineLevel="0" collapsed="false">
      <c r="A16" s="17" t="s">
        <v>51</v>
      </c>
      <c r="B16" s="17" t="s">
        <v>98</v>
      </c>
      <c r="C16" s="17" t="s">
        <v>104</v>
      </c>
      <c r="D16" s="17" t="s">
        <v>108</v>
      </c>
      <c r="E16" s="130" t="s">
        <v>87</v>
      </c>
      <c r="F16" s="17" t="s">
        <v>109</v>
      </c>
      <c r="G16" s="154" t="s">
        <v>592</v>
      </c>
      <c r="H16" s="17" t="s">
        <v>92</v>
      </c>
      <c r="I16" s="150"/>
      <c r="J16" s="150"/>
      <c r="K16" s="39" t="n">
        <v>1500</v>
      </c>
      <c r="L16" s="18" t="n">
        <v>6</v>
      </c>
      <c r="M16" s="18" t="n">
        <f aca="false">IF(AD16,1,0)+IF(AK16,1,0)+AN16+AU16+BB16+BI16+BP16+BW16+CD16+CK16+CR16+CY16+DF16+DM16+DT16+EA16+EH16+EO16+EV16+FC16+FJ16+FQ16+FX16+GE16+GL16+GS16+GZ16+HG16+HN16+HU16</f>
        <v>0</v>
      </c>
      <c r="N16" s="131"/>
      <c r="O16" s="147" t="n">
        <v>3200</v>
      </c>
      <c r="P16" s="147" t="n">
        <v>3200</v>
      </c>
      <c r="Q16" s="147" t="n">
        <v>64</v>
      </c>
      <c r="R16" s="21" t="s">
        <v>602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31"/>
      <c r="AD16" s="128"/>
      <c r="AE16" s="128"/>
      <c r="AF16" s="128"/>
      <c r="AG16" s="128"/>
      <c r="AH16" s="128"/>
      <c r="AI16" s="147"/>
      <c r="AJ16" s="128"/>
      <c r="AK16" s="128"/>
      <c r="AL16" s="147"/>
      <c r="AM16" s="131"/>
      <c r="AN16" s="128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16"/>
      <c r="CK16" s="16"/>
      <c r="CL16" s="16"/>
      <c r="CM16" s="16"/>
      <c r="CN16" s="16"/>
      <c r="CO16" s="16"/>
      <c r="CP16" s="16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  <c r="FR16" s="52"/>
      <c r="FS16" s="52"/>
      <c r="FT16" s="52"/>
      <c r="FU16" s="52"/>
      <c r="FV16" s="52"/>
      <c r="FW16" s="52"/>
      <c r="FX16" s="52"/>
      <c r="FY16" s="52"/>
      <c r="FZ16" s="52"/>
      <c r="GA16" s="52"/>
      <c r="GB16" s="52"/>
      <c r="GC16" s="52"/>
      <c r="GD16" s="52"/>
      <c r="GE16" s="52"/>
      <c r="GF16" s="52"/>
      <c r="GG16" s="52"/>
      <c r="GH16" s="52"/>
      <c r="GI16" s="52"/>
      <c r="GJ16" s="52"/>
      <c r="GK16" s="52"/>
      <c r="GL16" s="52"/>
      <c r="GM16" s="52"/>
      <c r="GN16" s="52"/>
      <c r="GO16" s="52"/>
      <c r="GP16" s="52"/>
      <c r="GQ16" s="52"/>
      <c r="GR16" s="52"/>
      <c r="GS16" s="52"/>
      <c r="GT16" s="52"/>
      <c r="GU16" s="52"/>
      <c r="GV16" s="52"/>
      <c r="GW16" s="52"/>
      <c r="GX16" s="52"/>
      <c r="GY16" s="52"/>
      <c r="GZ16" s="52"/>
      <c r="HA16" s="52"/>
      <c r="HB16" s="52"/>
      <c r="HC16" s="52"/>
      <c r="HD16" s="52"/>
      <c r="HE16" s="52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2"/>
      <c r="HR16" s="52"/>
      <c r="HS16" s="52"/>
      <c r="HT16" s="131"/>
      <c r="HU16" s="128"/>
      <c r="HV16" s="131"/>
      <c r="HW16" s="131"/>
      <c r="HX16" s="131"/>
      <c r="HY16" s="131"/>
      <c r="HZ16" s="131"/>
    </row>
    <row r="17" customFormat="false" ht="12.8" hidden="true" customHeight="false" outlineLevel="0" collapsed="false">
      <c r="A17" s="17" t="s">
        <v>51</v>
      </c>
      <c r="B17" s="17" t="s">
        <v>98</v>
      </c>
      <c r="C17" s="17" t="s">
        <v>110</v>
      </c>
      <c r="D17" s="17" t="s">
        <v>111</v>
      </c>
      <c r="E17" s="130" t="s">
        <v>89</v>
      </c>
      <c r="F17" s="17" t="s">
        <v>112</v>
      </c>
      <c r="G17" s="154" t="s">
        <v>603</v>
      </c>
      <c r="H17" s="17" t="s">
        <v>92</v>
      </c>
      <c r="I17" s="150"/>
      <c r="J17" s="150"/>
      <c r="K17" s="39" t="n">
        <v>1500</v>
      </c>
      <c r="L17" s="18" t="n">
        <v>6</v>
      </c>
      <c r="M17" s="18" t="n">
        <f aca="false">IF(AD17,1,0)+IF(AK17,1,0)+AN17+AU17+BB17+BI17+BP17+BW17+CD17+CK17+CR17+CY17+DF17+DM17+DT17+EA17+EH17+EO17+EV17+FC17+FJ17+FQ17+FX17+GE17+GL17+GS17+GZ17+HG17+HN17+HU17</f>
        <v>0</v>
      </c>
      <c r="N17" s="131"/>
      <c r="O17" s="147" t="n">
        <v>3200</v>
      </c>
      <c r="P17" s="147" t="n">
        <v>0</v>
      </c>
      <c r="Q17" s="147" t="n">
        <v>128</v>
      </c>
      <c r="R17" s="21" t="s">
        <v>45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31"/>
      <c r="AD17" s="128"/>
      <c r="AE17" s="128"/>
      <c r="AF17" s="128"/>
      <c r="AG17" s="128"/>
      <c r="AH17" s="128"/>
      <c r="AI17" s="147"/>
      <c r="AJ17" s="128"/>
      <c r="AK17" s="128"/>
      <c r="AL17" s="147"/>
      <c r="AM17" s="131"/>
      <c r="AN17" s="128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128" t="n">
        <v>10</v>
      </c>
      <c r="BP17" s="128" t="n">
        <v>1</v>
      </c>
      <c r="BQ17" s="131" t="s">
        <v>383</v>
      </c>
      <c r="BR17" s="131" t="s">
        <v>574</v>
      </c>
      <c r="BS17" s="131" t="s">
        <v>467</v>
      </c>
      <c r="BT17" s="131" t="s">
        <v>468</v>
      </c>
      <c r="BU17" s="131" t="s">
        <v>380</v>
      </c>
      <c r="BV17" s="128" t="n">
        <v>5</v>
      </c>
      <c r="BW17" s="128" t="n">
        <v>1</v>
      </c>
      <c r="BX17" s="131" t="s">
        <v>415</v>
      </c>
      <c r="BY17" s="131" t="s">
        <v>584</v>
      </c>
      <c r="BZ17" s="131" t="s">
        <v>579</v>
      </c>
      <c r="CA17" s="131" t="s">
        <v>449</v>
      </c>
      <c r="CB17" s="131" t="s">
        <v>583</v>
      </c>
      <c r="CC17" s="128" t="n">
        <v>5</v>
      </c>
      <c r="CD17" s="128" t="n">
        <v>1</v>
      </c>
      <c r="CE17" s="131" t="s">
        <v>411</v>
      </c>
      <c r="CF17" s="131" t="s">
        <v>446</v>
      </c>
      <c r="CG17" s="131" t="s">
        <v>447</v>
      </c>
      <c r="CH17" s="131" t="s">
        <v>448</v>
      </c>
      <c r="CI17" s="131" t="s">
        <v>449</v>
      </c>
      <c r="CJ17" s="16"/>
      <c r="CK17" s="16"/>
      <c r="CL17" s="16"/>
      <c r="CM17" s="16"/>
      <c r="CN17" s="16"/>
      <c r="CO17" s="16"/>
      <c r="CP17" s="16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128" t="n">
        <v>5</v>
      </c>
      <c r="DF17" s="128" t="n">
        <v>2</v>
      </c>
      <c r="DG17" s="131" t="s">
        <v>390</v>
      </c>
      <c r="DH17" s="131" t="s">
        <v>391</v>
      </c>
      <c r="DI17" s="131" t="s">
        <v>410</v>
      </c>
      <c r="DJ17" s="131" t="s">
        <v>411</v>
      </c>
      <c r="DK17" s="131" t="s">
        <v>415</v>
      </c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128" t="n">
        <v>5</v>
      </c>
      <c r="FC17" s="128" t="n">
        <v>2</v>
      </c>
      <c r="FD17" s="131" t="s">
        <v>451</v>
      </c>
      <c r="FE17" s="131" t="s">
        <v>410</v>
      </c>
      <c r="FF17" s="131" t="s">
        <v>452</v>
      </c>
      <c r="FG17" s="131" t="s">
        <v>453</v>
      </c>
      <c r="FH17" s="131" t="s">
        <v>389</v>
      </c>
      <c r="FI17" s="131"/>
      <c r="FJ17" s="131"/>
      <c r="FK17" s="131"/>
      <c r="FL17" s="131"/>
      <c r="FM17" s="131"/>
      <c r="FN17" s="131"/>
      <c r="FO17" s="131"/>
      <c r="FP17" s="52"/>
      <c r="FQ17" s="52"/>
      <c r="FR17" s="52"/>
      <c r="FS17" s="52"/>
      <c r="FT17" s="52"/>
      <c r="FU17" s="52"/>
      <c r="FV17" s="52"/>
      <c r="FW17" s="52"/>
      <c r="FX17" s="52"/>
      <c r="FY17" s="52"/>
      <c r="FZ17" s="52"/>
      <c r="GA17" s="52"/>
      <c r="GB17" s="52"/>
      <c r="GC17" s="52"/>
      <c r="GD17" s="128" t="n">
        <v>5</v>
      </c>
      <c r="GE17" s="128" t="n">
        <v>1</v>
      </c>
      <c r="GF17" s="131" t="s">
        <v>390</v>
      </c>
      <c r="GG17" s="131" t="s">
        <v>391</v>
      </c>
      <c r="GH17" s="131" t="s">
        <v>410</v>
      </c>
      <c r="GI17" s="131" t="s">
        <v>411</v>
      </c>
      <c r="GJ17" s="131" t="s">
        <v>415</v>
      </c>
      <c r="GK17" s="131"/>
      <c r="GL17" s="131"/>
      <c r="GM17" s="131"/>
      <c r="GN17" s="131"/>
      <c r="GO17" s="131"/>
      <c r="GP17" s="131"/>
      <c r="GQ17" s="131"/>
      <c r="GR17" s="52"/>
      <c r="GS17" s="52"/>
      <c r="GT17" s="52"/>
      <c r="GU17" s="52"/>
      <c r="GV17" s="52"/>
      <c r="GW17" s="52"/>
      <c r="GX17" s="52"/>
      <c r="GY17" s="52"/>
      <c r="GZ17" s="52"/>
      <c r="HA17" s="52"/>
      <c r="HB17" s="52"/>
      <c r="HC17" s="52"/>
      <c r="HD17" s="52"/>
      <c r="HE17" s="52"/>
      <c r="HF17" s="52"/>
      <c r="HG17" s="52"/>
      <c r="HH17" s="52"/>
      <c r="HI17" s="52"/>
      <c r="HJ17" s="52"/>
      <c r="HK17" s="52"/>
      <c r="HL17" s="52"/>
      <c r="HM17" s="52"/>
      <c r="HN17" s="52"/>
      <c r="HO17" s="52"/>
      <c r="HP17" s="52"/>
      <c r="HQ17" s="52"/>
      <c r="HR17" s="52"/>
      <c r="HS17" s="52"/>
      <c r="HT17" s="131"/>
      <c r="HU17" s="128"/>
      <c r="HV17" s="131"/>
      <c r="HW17" s="131"/>
      <c r="HX17" s="131"/>
      <c r="HY17" s="131"/>
      <c r="HZ17" s="131"/>
    </row>
    <row r="18" customFormat="false" ht="12.8" hidden="true" customHeight="false" outlineLevel="0" collapsed="false">
      <c r="A18" s="17" t="s">
        <v>51</v>
      </c>
      <c r="B18" s="17" t="s">
        <v>98</v>
      </c>
      <c r="C18" s="17" t="s">
        <v>110</v>
      </c>
      <c r="D18" s="17" t="s">
        <v>111</v>
      </c>
      <c r="E18" s="130" t="s">
        <v>89</v>
      </c>
      <c r="F18" s="17" t="s">
        <v>112</v>
      </c>
      <c r="G18" s="154" t="s">
        <v>587</v>
      </c>
      <c r="H18" s="130"/>
      <c r="I18" s="150"/>
      <c r="J18" s="150"/>
      <c r="K18" s="39" t="n">
        <v>1500</v>
      </c>
      <c r="L18" s="18" t="n">
        <v>4</v>
      </c>
      <c r="M18" s="18" t="n">
        <f aca="false">IF(AD18,1,0)+IF(AK18,1,0)+AN18+AU18+BB18+BI18+BP18+BW18+CD18+CK18+CR18+CY18+DF18+DM18+DT18+EA18+EH18+EO18+EV18+FC18+FJ18+FQ18+FX18+GE18+GL18+GS18+GZ18+HG18+HN18+HU18</f>
        <v>0</v>
      </c>
      <c r="N18" s="131"/>
      <c r="O18" s="147" t="n">
        <v>780</v>
      </c>
      <c r="P18" s="147" t="n">
        <v>655</v>
      </c>
      <c r="Q18" s="147" t="n">
        <v>187</v>
      </c>
      <c r="R18" s="21" t="s">
        <v>44</v>
      </c>
      <c r="S18" s="18"/>
      <c r="T18" s="18"/>
      <c r="U18" s="18"/>
      <c r="V18" s="18"/>
      <c r="W18" s="18"/>
      <c r="X18" s="18"/>
      <c r="Y18" s="21" t="s">
        <v>541</v>
      </c>
      <c r="Z18" s="18"/>
      <c r="AA18" s="18"/>
      <c r="AB18" s="18"/>
      <c r="AC18" s="131"/>
      <c r="AD18" s="128"/>
      <c r="AE18" s="128"/>
      <c r="AF18" s="128"/>
      <c r="AG18" s="128"/>
      <c r="AH18" s="128"/>
      <c r="AI18" s="147"/>
      <c r="AJ18" s="128"/>
      <c r="AK18" s="128"/>
      <c r="AL18" s="147"/>
      <c r="AM18" s="131"/>
      <c r="AN18" s="128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16"/>
      <c r="CK18" s="16"/>
      <c r="CL18" s="16"/>
      <c r="CM18" s="16"/>
      <c r="CN18" s="16"/>
      <c r="CO18" s="16"/>
      <c r="CP18" s="16"/>
      <c r="CQ18" s="128" t="n">
        <v>2</v>
      </c>
      <c r="CR18" s="128" t="n">
        <v>2</v>
      </c>
      <c r="CS18" s="131" t="s">
        <v>399</v>
      </c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  <c r="FB18" s="128" t="n">
        <v>2</v>
      </c>
      <c r="FC18" s="128" t="n">
        <v>2</v>
      </c>
      <c r="FD18" s="131" t="s">
        <v>378</v>
      </c>
      <c r="FE18" s="52"/>
      <c r="FF18" s="52"/>
      <c r="FG18" s="52"/>
      <c r="FH18" s="52"/>
      <c r="FI18" s="52"/>
      <c r="FJ18" s="52"/>
      <c r="FK18" s="52"/>
      <c r="FL18" s="52"/>
      <c r="FM18" s="52"/>
      <c r="FN18" s="52"/>
      <c r="FO18" s="52"/>
      <c r="FP18" s="52"/>
      <c r="FQ18" s="52"/>
      <c r="FR18" s="52"/>
      <c r="FS18" s="52"/>
      <c r="FT18" s="52"/>
      <c r="FU18" s="52"/>
      <c r="FV18" s="52"/>
      <c r="FW18" s="52"/>
      <c r="FX18" s="52"/>
      <c r="FY18" s="52"/>
      <c r="FZ18" s="52"/>
      <c r="GA18" s="52"/>
      <c r="GB18" s="52"/>
      <c r="GC18" s="52"/>
      <c r="GD18" s="52"/>
      <c r="GE18" s="52"/>
      <c r="GF18" s="52"/>
      <c r="GG18" s="52"/>
      <c r="GH18" s="52"/>
      <c r="GI18" s="52"/>
      <c r="GJ18" s="52"/>
      <c r="GK18" s="52"/>
      <c r="GL18" s="52"/>
      <c r="GM18" s="52"/>
      <c r="GN18" s="52"/>
      <c r="GO18" s="52"/>
      <c r="GP18" s="52"/>
      <c r="GQ18" s="52"/>
      <c r="GR18" s="52"/>
      <c r="GS18" s="52"/>
      <c r="GT18" s="52"/>
      <c r="GU18" s="52"/>
      <c r="GV18" s="52"/>
      <c r="GW18" s="52"/>
      <c r="GX18" s="52"/>
      <c r="GY18" s="52"/>
      <c r="GZ18" s="52"/>
      <c r="HA18" s="52"/>
      <c r="HB18" s="52"/>
      <c r="HC18" s="52"/>
      <c r="HD18" s="52"/>
      <c r="HE18" s="52"/>
      <c r="HF18" s="128" t="n">
        <v>2</v>
      </c>
      <c r="HG18" s="128" t="n">
        <v>2</v>
      </c>
      <c r="HH18" s="131" t="s">
        <v>378</v>
      </c>
      <c r="HI18" s="52"/>
      <c r="HJ18" s="52"/>
      <c r="HK18" s="52"/>
      <c r="HL18" s="52"/>
      <c r="HM18" s="52"/>
      <c r="HN18" s="52"/>
      <c r="HO18" s="52"/>
      <c r="HP18" s="52"/>
      <c r="HQ18" s="52"/>
      <c r="HR18" s="52"/>
      <c r="HS18" s="52"/>
      <c r="HT18" s="131"/>
      <c r="HU18" s="128"/>
      <c r="HV18" s="131"/>
      <c r="HW18" s="131"/>
      <c r="HX18" s="131"/>
      <c r="HY18" s="131"/>
      <c r="HZ18" s="131"/>
    </row>
    <row r="19" customFormat="false" ht="12.8" hidden="true" customHeight="false" outlineLevel="0" collapsed="false">
      <c r="A19" s="17" t="s">
        <v>51</v>
      </c>
      <c r="B19" s="17" t="s">
        <v>113</v>
      </c>
      <c r="C19" s="17" t="s">
        <v>114</v>
      </c>
      <c r="D19" s="17" t="s">
        <v>115</v>
      </c>
      <c r="E19" s="130" t="s">
        <v>89</v>
      </c>
      <c r="F19" s="17" t="s">
        <v>116</v>
      </c>
      <c r="G19" s="154" t="s">
        <v>604</v>
      </c>
      <c r="H19" s="17" t="s">
        <v>92</v>
      </c>
      <c r="I19" s="150"/>
      <c r="J19" s="150"/>
      <c r="K19" s="39" t="n">
        <v>1500</v>
      </c>
      <c r="L19" s="18" t="n">
        <v>5</v>
      </c>
      <c r="M19" s="18" t="n">
        <f aca="false">IF(AD19,1,0)+IF(AK19,1,0)+AN19+AU19+BB19+BI19+BP19+BW19+CD19+CK19+CR19+CY19+DF19+DM19+DT19+EA19+EH19+EO19+EV19+FC19+FJ19+FQ19+FX19+GE19+GL19+GS19+GZ19+HG19+HN19+HU19</f>
        <v>0</v>
      </c>
      <c r="N19" s="131"/>
      <c r="O19" s="147" t="n">
        <v>1858</v>
      </c>
      <c r="P19" s="147" t="n">
        <v>0</v>
      </c>
      <c r="Q19" s="147" t="n">
        <v>483</v>
      </c>
      <c r="R19" s="21" t="s">
        <v>46</v>
      </c>
      <c r="S19" s="18"/>
      <c r="T19" s="18"/>
      <c r="U19" s="18"/>
      <c r="V19" s="18"/>
      <c r="W19" s="18"/>
      <c r="X19" s="18"/>
      <c r="Y19" s="18"/>
      <c r="Z19" s="18"/>
      <c r="AA19" s="21" t="s">
        <v>541</v>
      </c>
      <c r="AB19" s="18"/>
      <c r="AC19" s="131"/>
      <c r="AD19" s="128"/>
      <c r="AE19" s="128"/>
      <c r="AF19" s="128"/>
      <c r="AG19" s="128"/>
      <c r="AH19" s="128"/>
      <c r="AI19" s="147"/>
      <c r="AJ19" s="128"/>
      <c r="AK19" s="128"/>
      <c r="AL19" s="147"/>
      <c r="AM19" s="131"/>
      <c r="AN19" s="128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128" t="n">
        <v>12</v>
      </c>
      <c r="BP19" s="128" t="n">
        <v>1</v>
      </c>
      <c r="BQ19" s="131" t="s">
        <v>383</v>
      </c>
      <c r="BR19" s="131" t="s">
        <v>574</v>
      </c>
      <c r="BS19" s="131" t="s">
        <v>467</v>
      </c>
      <c r="BT19" s="131" t="s">
        <v>605</v>
      </c>
      <c r="BU19" s="131" t="s">
        <v>395</v>
      </c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16"/>
      <c r="CK19" s="16"/>
      <c r="CL19" s="16"/>
      <c r="CM19" s="16"/>
      <c r="CN19" s="16"/>
      <c r="CO19" s="16"/>
      <c r="CP19" s="16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128" t="n">
        <v>12</v>
      </c>
      <c r="DF19" s="128" t="n">
        <v>2</v>
      </c>
      <c r="DG19" s="131" t="s">
        <v>381</v>
      </c>
      <c r="DH19" s="131" t="s">
        <v>382</v>
      </c>
      <c r="DI19" s="131" t="s">
        <v>383</v>
      </c>
      <c r="DJ19" s="131" t="s">
        <v>397</v>
      </c>
      <c r="DK19" s="131" t="s">
        <v>473</v>
      </c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  <c r="FB19" s="128" t="n">
        <v>12</v>
      </c>
      <c r="FC19" s="128" t="n">
        <v>2</v>
      </c>
      <c r="FD19" s="131" t="s">
        <v>572</v>
      </c>
      <c r="FE19" s="131" t="s">
        <v>383</v>
      </c>
      <c r="FF19" s="131" t="s">
        <v>573</v>
      </c>
      <c r="FG19" s="131" t="s">
        <v>606</v>
      </c>
      <c r="FH19" s="131" t="s">
        <v>607</v>
      </c>
      <c r="FI19" s="52"/>
      <c r="FJ19" s="52"/>
      <c r="FK19" s="52"/>
      <c r="FL19" s="52"/>
      <c r="FM19" s="52"/>
      <c r="FN19" s="52"/>
      <c r="FO19" s="52"/>
      <c r="FP19" s="52"/>
      <c r="FQ19" s="52"/>
      <c r="FR19" s="52"/>
      <c r="FS19" s="52"/>
      <c r="FT19" s="52"/>
      <c r="FU19" s="52"/>
      <c r="FV19" s="52"/>
      <c r="FW19" s="52"/>
      <c r="FX19" s="52"/>
      <c r="FY19" s="52"/>
      <c r="FZ19" s="52"/>
      <c r="GA19" s="52"/>
      <c r="GB19" s="52"/>
      <c r="GC19" s="52"/>
      <c r="GD19" s="128" t="n">
        <v>12</v>
      </c>
      <c r="GE19" s="128" t="n">
        <v>1</v>
      </c>
      <c r="GF19" s="131" t="s">
        <v>381</v>
      </c>
      <c r="GG19" s="131" t="s">
        <v>382</v>
      </c>
      <c r="GH19" s="131" t="s">
        <v>383</v>
      </c>
      <c r="GI19" s="131" t="s">
        <v>397</v>
      </c>
      <c r="GJ19" s="131" t="s">
        <v>473</v>
      </c>
      <c r="GK19" s="128" t="n">
        <v>12</v>
      </c>
      <c r="GL19" s="128" t="n">
        <v>1</v>
      </c>
      <c r="GM19" s="131" t="s">
        <v>608</v>
      </c>
      <c r="GN19" s="131" t="s">
        <v>609</v>
      </c>
      <c r="GO19" s="131" t="s">
        <v>610</v>
      </c>
      <c r="GP19" s="131" t="s">
        <v>611</v>
      </c>
      <c r="GQ19" s="52"/>
      <c r="GR19" s="52"/>
      <c r="GS19" s="52"/>
      <c r="GT19" s="52"/>
      <c r="GU19" s="52"/>
      <c r="GV19" s="52"/>
      <c r="GW19" s="52"/>
      <c r="GX19" s="52"/>
      <c r="GY19" s="52"/>
      <c r="GZ19" s="52"/>
      <c r="HA19" s="52"/>
      <c r="HB19" s="52"/>
      <c r="HC19" s="52"/>
      <c r="HD19" s="52"/>
      <c r="HE19" s="52"/>
      <c r="HF19" s="52"/>
      <c r="HG19" s="52"/>
      <c r="HH19" s="52"/>
      <c r="HI19" s="52"/>
      <c r="HJ19" s="52"/>
      <c r="HK19" s="52"/>
      <c r="HL19" s="52"/>
      <c r="HM19" s="52"/>
      <c r="HN19" s="52"/>
      <c r="HO19" s="52"/>
      <c r="HP19" s="52"/>
      <c r="HQ19" s="52"/>
      <c r="HR19" s="52"/>
      <c r="HS19" s="52"/>
      <c r="HT19" s="131"/>
      <c r="HU19" s="128"/>
      <c r="HV19" s="131"/>
      <c r="HW19" s="131"/>
      <c r="HX19" s="131"/>
      <c r="HY19" s="131"/>
      <c r="HZ19" s="131"/>
    </row>
    <row r="20" customFormat="false" ht="12.8" hidden="true" customHeight="false" outlineLevel="0" collapsed="false">
      <c r="A20" s="17" t="s">
        <v>51</v>
      </c>
      <c r="B20" s="17" t="s">
        <v>81</v>
      </c>
      <c r="C20" s="130" t="s">
        <v>117</v>
      </c>
      <c r="D20" s="17" t="s">
        <v>118</v>
      </c>
      <c r="E20" s="130" t="s">
        <v>89</v>
      </c>
      <c r="F20" s="17" t="s">
        <v>112</v>
      </c>
      <c r="G20" s="154" t="s">
        <v>600</v>
      </c>
      <c r="H20" s="17" t="s">
        <v>92</v>
      </c>
      <c r="I20" s="150"/>
      <c r="J20" s="150"/>
      <c r="K20" s="39" t="n">
        <v>1500</v>
      </c>
      <c r="L20" s="18" t="n">
        <v>6</v>
      </c>
      <c r="M20" s="18" t="n">
        <f aca="false">IF(AD20,1,0)+IF(AK20,1,0)+AN20+AU20+BB20+BI20+BP20+BW20+CD20+CK20+CR20+CY20+DF20+DM20+DT20+EA20+EH20+EO20+EV20+FC20+FJ20+FQ20+FX20+GE20+GL20+GS20+GZ20+HG20+HN20+HU20</f>
        <v>0</v>
      </c>
      <c r="N20" s="131"/>
      <c r="O20" s="147" t="n">
        <v>2640</v>
      </c>
      <c r="P20" s="147" t="n">
        <v>580</v>
      </c>
      <c r="Q20" s="147" t="n">
        <v>184</v>
      </c>
      <c r="R20" s="21" t="s">
        <v>45</v>
      </c>
      <c r="S20" s="18"/>
      <c r="T20" s="18"/>
      <c r="U20" s="18"/>
      <c r="V20" s="18"/>
      <c r="W20" s="18"/>
      <c r="X20" s="18"/>
      <c r="Y20" s="21" t="s">
        <v>541</v>
      </c>
      <c r="Z20" s="18"/>
      <c r="AA20" s="18"/>
      <c r="AB20" s="18"/>
      <c r="AC20" s="23" t="s">
        <v>612</v>
      </c>
      <c r="AD20" s="128" t="n">
        <v>15</v>
      </c>
      <c r="AE20" s="21" t="s">
        <v>613</v>
      </c>
      <c r="AF20" s="128"/>
      <c r="AG20" s="128"/>
      <c r="AH20" s="128"/>
      <c r="AI20" s="147" t="s">
        <v>614</v>
      </c>
      <c r="AJ20" s="128"/>
      <c r="AK20" s="128"/>
      <c r="AL20" s="147"/>
      <c r="AM20" s="131"/>
      <c r="AN20" s="128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128" t="n">
        <v>10</v>
      </c>
      <c r="BP20" s="128" t="n">
        <v>1</v>
      </c>
      <c r="BQ20" s="131" t="s">
        <v>383</v>
      </c>
      <c r="BR20" s="131" t="s">
        <v>574</v>
      </c>
      <c r="BS20" s="131" t="s">
        <v>467</v>
      </c>
      <c r="BT20" s="131" t="s">
        <v>468</v>
      </c>
      <c r="BU20" s="131" t="s">
        <v>380</v>
      </c>
      <c r="BV20" s="128" t="n">
        <v>10</v>
      </c>
      <c r="BW20" s="128" t="n">
        <v>1</v>
      </c>
      <c r="BX20" s="131" t="s">
        <v>399</v>
      </c>
      <c r="BY20" s="131" t="s">
        <v>615</v>
      </c>
      <c r="BZ20" s="131" t="s">
        <v>380</v>
      </c>
      <c r="CA20" s="131" t="s">
        <v>596</v>
      </c>
      <c r="CB20" s="131" t="s">
        <v>597</v>
      </c>
      <c r="CC20" s="128" t="n">
        <v>10</v>
      </c>
      <c r="CD20" s="128" t="n">
        <v>1</v>
      </c>
      <c r="CE20" s="131" t="s">
        <v>384</v>
      </c>
      <c r="CF20" s="131" t="s">
        <v>616</v>
      </c>
      <c r="CG20" s="131" t="s">
        <v>468</v>
      </c>
      <c r="CH20" s="131" t="s">
        <v>617</v>
      </c>
      <c r="CI20" s="131" t="s">
        <v>596</v>
      </c>
      <c r="CJ20" s="16"/>
      <c r="CK20" s="16"/>
      <c r="CL20" s="16"/>
      <c r="CM20" s="16"/>
      <c r="CN20" s="16"/>
      <c r="CO20" s="16"/>
      <c r="CP20" s="16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128" t="n">
        <v>10</v>
      </c>
      <c r="DF20" s="128" t="n">
        <v>2</v>
      </c>
      <c r="DG20" s="131" t="s">
        <v>381</v>
      </c>
      <c r="DH20" s="131" t="s">
        <v>382</v>
      </c>
      <c r="DI20" s="131" t="s">
        <v>383</v>
      </c>
      <c r="DJ20" s="131" t="s">
        <v>384</v>
      </c>
      <c r="DK20" s="131" t="s">
        <v>399</v>
      </c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128" t="n">
        <v>10</v>
      </c>
      <c r="FC20" s="128" t="n">
        <v>2</v>
      </c>
      <c r="FD20" s="131" t="s">
        <v>572</v>
      </c>
      <c r="FE20" s="131" t="s">
        <v>383</v>
      </c>
      <c r="FF20" s="131" t="s">
        <v>573</v>
      </c>
      <c r="FG20" s="131" t="s">
        <v>574</v>
      </c>
      <c r="FH20" s="131" t="s">
        <v>378</v>
      </c>
      <c r="FI20" s="131"/>
      <c r="FJ20" s="131"/>
      <c r="FK20" s="131"/>
      <c r="FL20" s="131"/>
      <c r="FM20" s="131"/>
      <c r="FN20" s="131"/>
      <c r="FO20" s="131"/>
      <c r="FP20" s="52"/>
      <c r="FQ20" s="52"/>
      <c r="FR20" s="52"/>
      <c r="FS20" s="52"/>
      <c r="FT20" s="52"/>
      <c r="FU20" s="52"/>
      <c r="FV20" s="52"/>
      <c r="FW20" s="52"/>
      <c r="FX20" s="52"/>
      <c r="FY20" s="52"/>
      <c r="FZ20" s="52"/>
      <c r="GA20" s="52"/>
      <c r="GB20" s="52"/>
      <c r="GC20" s="52"/>
      <c r="GD20" s="128" t="n">
        <v>10</v>
      </c>
      <c r="GE20" s="128" t="n">
        <v>1</v>
      </c>
      <c r="GF20" s="131" t="s">
        <v>381</v>
      </c>
      <c r="GG20" s="131" t="s">
        <v>382</v>
      </c>
      <c r="GH20" s="131" t="s">
        <v>383</v>
      </c>
      <c r="GI20" s="131" t="s">
        <v>384</v>
      </c>
      <c r="GJ20" s="131" t="s">
        <v>399</v>
      </c>
      <c r="GK20" s="131"/>
      <c r="GL20" s="131"/>
      <c r="GM20" s="131"/>
      <c r="GN20" s="131"/>
      <c r="GO20" s="131"/>
      <c r="GP20" s="131"/>
      <c r="GQ20" s="131"/>
      <c r="GR20" s="52"/>
      <c r="GS20" s="52"/>
      <c r="GT20" s="52"/>
      <c r="GU20" s="52"/>
      <c r="GV20" s="52"/>
      <c r="GW20" s="52"/>
      <c r="GX20" s="52"/>
      <c r="GY20" s="52"/>
      <c r="GZ20" s="52"/>
      <c r="HA20" s="52"/>
      <c r="HB20" s="52"/>
      <c r="HC20" s="52"/>
      <c r="HD20" s="52"/>
      <c r="HE20" s="52"/>
      <c r="HF20" s="52"/>
      <c r="HG20" s="52"/>
      <c r="HH20" s="52"/>
      <c r="HI20" s="52"/>
      <c r="HJ20" s="52"/>
      <c r="HK20" s="52"/>
      <c r="HL20" s="52"/>
      <c r="HM20" s="52"/>
      <c r="HN20" s="52"/>
      <c r="HO20" s="52"/>
      <c r="HP20" s="52"/>
      <c r="HQ20" s="52"/>
      <c r="HR20" s="52"/>
      <c r="HS20" s="52"/>
      <c r="HT20" s="131"/>
      <c r="HU20" s="128"/>
      <c r="HV20" s="131"/>
      <c r="HW20" s="131"/>
      <c r="HX20" s="131"/>
      <c r="HY20" s="131"/>
      <c r="HZ20" s="131"/>
    </row>
    <row r="21" customFormat="false" ht="12.8" hidden="true" customHeight="false" outlineLevel="0" collapsed="false">
      <c r="A21" s="17" t="s">
        <v>51</v>
      </c>
      <c r="B21" s="17" t="s">
        <v>81</v>
      </c>
      <c r="C21" s="17" t="s">
        <v>119</v>
      </c>
      <c r="D21" s="17" t="s">
        <v>120</v>
      </c>
      <c r="E21" s="130" t="s">
        <v>89</v>
      </c>
      <c r="F21" s="17" t="s">
        <v>121</v>
      </c>
      <c r="G21" s="154" t="s">
        <v>587</v>
      </c>
      <c r="H21" s="17" t="s">
        <v>92</v>
      </c>
      <c r="I21" s="150"/>
      <c r="J21" s="150"/>
      <c r="K21" s="39" t="n">
        <v>1500</v>
      </c>
      <c r="L21" s="18" t="n">
        <v>6</v>
      </c>
      <c r="M21" s="18" t="n">
        <f aca="false">IF(AD21,1,0)+IF(AK21,1,0)+AN21+AU21+BB21+BI21+BP21+BW21+CD21+CK21+CR21+CY21+DF21+DM21+DT21+EA21+EH21+EO21+EV21+FC21+FJ21+FQ21+FX21+GE21+GL21+GS21+GZ21+HG21+HN21+HU21</f>
        <v>0</v>
      </c>
      <c r="N21" s="131"/>
      <c r="O21" s="147" t="n">
        <v>2250</v>
      </c>
      <c r="P21" s="147" t="n">
        <v>0</v>
      </c>
      <c r="Q21" s="147" t="n">
        <v>630</v>
      </c>
      <c r="R21" s="21" t="s">
        <v>44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23" t="s">
        <v>618</v>
      </c>
      <c r="AD21" s="128" t="n">
        <v>15</v>
      </c>
      <c r="AE21" s="128"/>
      <c r="AF21" s="128" t="n">
        <v>60</v>
      </c>
      <c r="AG21" s="128" t="n">
        <v>15</v>
      </c>
      <c r="AH21" s="128" t="n">
        <v>10</v>
      </c>
      <c r="AI21" s="147" t="s">
        <v>619</v>
      </c>
      <c r="AJ21" s="128"/>
      <c r="AK21" s="128"/>
      <c r="AL21" s="147"/>
      <c r="AM21" s="131"/>
      <c r="AN21" s="128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128" t="n">
        <v>10</v>
      </c>
      <c r="CK21" s="128" t="n">
        <v>1</v>
      </c>
      <c r="CL21" s="131" t="s">
        <v>383</v>
      </c>
      <c r="CM21" s="131" t="s">
        <v>574</v>
      </c>
      <c r="CN21" s="131" t="s">
        <v>467</v>
      </c>
      <c r="CO21" s="131" t="s">
        <v>468</v>
      </c>
      <c r="CP21" s="131" t="s">
        <v>380</v>
      </c>
      <c r="CQ21" s="128" t="n">
        <v>10</v>
      </c>
      <c r="CR21" s="128" t="n">
        <v>2</v>
      </c>
      <c r="CS21" s="131" t="s">
        <v>381</v>
      </c>
      <c r="CT21" s="131" t="s">
        <v>382</v>
      </c>
      <c r="CU21" s="131" t="s">
        <v>383</v>
      </c>
      <c r="CV21" s="131" t="s">
        <v>384</v>
      </c>
      <c r="CW21" s="131" t="s">
        <v>399</v>
      </c>
      <c r="CX21" s="131"/>
      <c r="CY21" s="131"/>
      <c r="CZ21" s="131"/>
      <c r="DA21" s="131"/>
      <c r="DB21" s="131"/>
      <c r="DC21" s="131"/>
      <c r="DD21" s="131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128" t="s">
        <v>620</v>
      </c>
      <c r="EV21" s="128" t="n">
        <v>2</v>
      </c>
      <c r="EW21" s="131" t="s">
        <v>572</v>
      </c>
      <c r="EX21" s="131" t="s">
        <v>383</v>
      </c>
      <c r="EY21" s="131" t="s">
        <v>573</v>
      </c>
      <c r="EZ21" s="131" t="s">
        <v>574</v>
      </c>
      <c r="FA21" s="131" t="s">
        <v>378</v>
      </c>
      <c r="FB21" s="128" t="n">
        <v>10</v>
      </c>
      <c r="FC21" s="128" t="n">
        <v>2</v>
      </c>
      <c r="FD21" s="131" t="s">
        <v>572</v>
      </c>
      <c r="FE21" s="131" t="s">
        <v>383</v>
      </c>
      <c r="FF21" s="131" t="s">
        <v>573</v>
      </c>
      <c r="FG21" s="131" t="s">
        <v>574</v>
      </c>
      <c r="FH21" s="131" t="s">
        <v>378</v>
      </c>
      <c r="FI21" s="131"/>
      <c r="FJ21" s="131"/>
      <c r="FK21" s="131"/>
      <c r="FL21" s="131"/>
      <c r="FM21" s="131"/>
      <c r="FN21" s="131"/>
      <c r="FO21" s="131"/>
      <c r="FP21" s="52"/>
      <c r="FQ21" s="52"/>
      <c r="FR21" s="52"/>
      <c r="FS21" s="52"/>
      <c r="FT21" s="52"/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  <c r="GG21" s="52"/>
      <c r="GH21" s="52"/>
      <c r="GI21" s="52"/>
      <c r="GJ21" s="52"/>
      <c r="GK21" s="52"/>
      <c r="GL21" s="52"/>
      <c r="GM21" s="52"/>
      <c r="GN21" s="52"/>
      <c r="GO21" s="52"/>
      <c r="GP21" s="52"/>
      <c r="GQ21" s="52"/>
      <c r="GR21" s="52"/>
      <c r="GS21" s="52"/>
      <c r="GT21" s="52"/>
      <c r="GU21" s="52"/>
      <c r="GV21" s="52"/>
      <c r="GW21" s="52"/>
      <c r="GX21" s="52"/>
      <c r="GY21" s="52"/>
      <c r="GZ21" s="52"/>
      <c r="HA21" s="52"/>
      <c r="HB21" s="52"/>
      <c r="HC21" s="52"/>
      <c r="HD21" s="52"/>
      <c r="HE21" s="52"/>
      <c r="HF21" s="52"/>
      <c r="HG21" s="52"/>
      <c r="HH21" s="52"/>
      <c r="HI21" s="52"/>
      <c r="HJ21" s="52"/>
      <c r="HK21" s="52"/>
      <c r="HL21" s="52"/>
      <c r="HM21" s="39" t="n">
        <v>10</v>
      </c>
      <c r="HN21" s="128" t="n">
        <v>1</v>
      </c>
      <c r="HO21" s="131" t="s">
        <v>572</v>
      </c>
      <c r="HP21" s="131" t="s">
        <v>383</v>
      </c>
      <c r="HQ21" s="131" t="s">
        <v>573</v>
      </c>
      <c r="HR21" s="131" t="s">
        <v>574</v>
      </c>
      <c r="HS21" s="131" t="s">
        <v>378</v>
      </c>
      <c r="HT21" s="131"/>
      <c r="HU21" s="128"/>
      <c r="HV21" s="131"/>
      <c r="HW21" s="131"/>
      <c r="HX21" s="131"/>
      <c r="HY21" s="131"/>
      <c r="HZ21" s="131"/>
    </row>
    <row r="22" customFormat="false" ht="12.8" hidden="true" customHeight="false" outlineLevel="0" collapsed="false">
      <c r="A22" s="17" t="s">
        <v>51</v>
      </c>
      <c r="B22" s="17" t="s">
        <v>93</v>
      </c>
      <c r="C22" s="34" t="s">
        <v>122</v>
      </c>
      <c r="D22" s="17" t="s">
        <v>123</v>
      </c>
      <c r="E22" s="130" t="s">
        <v>89</v>
      </c>
      <c r="F22" s="17" t="s">
        <v>101</v>
      </c>
      <c r="G22" s="154" t="s">
        <v>587</v>
      </c>
      <c r="H22" s="17" t="s">
        <v>92</v>
      </c>
      <c r="I22" s="150"/>
      <c r="J22" s="150"/>
      <c r="K22" s="39" t="n">
        <v>1500</v>
      </c>
      <c r="L22" s="18" t="n">
        <v>6</v>
      </c>
      <c r="M22" s="18" t="n">
        <f aca="false">IF(AD22,1,0)+IF(AK22,1,0)+AN22+AU22+BB22+BI22+BP22+BW22+CD22+CK22+CR22+CY22+DF22+DM22+DT22+EA22+EH22+EO22+EV22+FC22+FJ22+FQ22+FX22+GE22+GL22+GS22+GZ22+HG22+HN22+HU22</f>
        <v>0</v>
      </c>
      <c r="N22" s="131"/>
      <c r="O22" s="147" t="n">
        <v>2520</v>
      </c>
      <c r="P22" s="147" t="n">
        <v>237</v>
      </c>
      <c r="Q22" s="147" t="n">
        <v>418</v>
      </c>
      <c r="R22" s="21" t="s">
        <v>44</v>
      </c>
      <c r="S22" s="21" t="s">
        <v>44</v>
      </c>
      <c r="T22" s="128"/>
      <c r="U22" s="18"/>
      <c r="V22" s="18"/>
      <c r="W22" s="18"/>
      <c r="X22" s="18"/>
      <c r="Y22" s="21" t="s">
        <v>541</v>
      </c>
      <c r="Z22" s="18"/>
      <c r="AA22" s="18"/>
      <c r="AB22" s="18"/>
      <c r="AC22" s="23" t="s">
        <v>621</v>
      </c>
      <c r="AD22" s="128" t="n">
        <v>15</v>
      </c>
      <c r="AE22" s="128"/>
      <c r="AF22" s="128" t="n">
        <v>90</v>
      </c>
      <c r="AG22" s="128" t="n">
        <v>15</v>
      </c>
      <c r="AH22" s="128"/>
      <c r="AI22" s="147" t="s">
        <v>622</v>
      </c>
      <c r="AJ22" s="128"/>
      <c r="AK22" s="128"/>
      <c r="AL22" s="147"/>
      <c r="AM22" s="131"/>
      <c r="AN22" s="128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128" t="n">
        <v>10</v>
      </c>
      <c r="CK22" s="128" t="n">
        <v>1</v>
      </c>
      <c r="CL22" s="131" t="s">
        <v>383</v>
      </c>
      <c r="CM22" s="131" t="s">
        <v>574</v>
      </c>
      <c r="CN22" s="131" t="s">
        <v>467</v>
      </c>
      <c r="CO22" s="131" t="s">
        <v>468</v>
      </c>
      <c r="CP22" s="131" t="s">
        <v>380</v>
      </c>
      <c r="CQ22" s="128" t="n">
        <v>10</v>
      </c>
      <c r="CR22" s="128" t="n">
        <v>2</v>
      </c>
      <c r="CS22" s="131" t="s">
        <v>381</v>
      </c>
      <c r="CT22" s="131" t="s">
        <v>382</v>
      </c>
      <c r="CU22" s="131" t="s">
        <v>383</v>
      </c>
      <c r="CV22" s="131" t="s">
        <v>384</v>
      </c>
      <c r="CW22" s="131" t="s">
        <v>399</v>
      </c>
      <c r="CX22" s="131"/>
      <c r="CY22" s="131"/>
      <c r="CZ22" s="131"/>
      <c r="DA22" s="131"/>
      <c r="DB22" s="131"/>
      <c r="DC22" s="131"/>
      <c r="DD22" s="131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128" t="s">
        <v>620</v>
      </c>
      <c r="EV22" s="128" t="n">
        <v>2</v>
      </c>
      <c r="EW22" s="131" t="s">
        <v>572</v>
      </c>
      <c r="EX22" s="131" t="s">
        <v>383</v>
      </c>
      <c r="EY22" s="131" t="s">
        <v>573</v>
      </c>
      <c r="EZ22" s="131" t="s">
        <v>574</v>
      </c>
      <c r="FA22" s="131" t="s">
        <v>378</v>
      </c>
      <c r="FB22" s="128" t="n">
        <v>10</v>
      </c>
      <c r="FC22" s="128" t="n">
        <v>2</v>
      </c>
      <c r="FD22" s="131" t="s">
        <v>572</v>
      </c>
      <c r="FE22" s="131" t="s">
        <v>383</v>
      </c>
      <c r="FF22" s="131" t="s">
        <v>573</v>
      </c>
      <c r="FG22" s="131" t="s">
        <v>574</v>
      </c>
      <c r="FH22" s="131" t="s">
        <v>378</v>
      </c>
      <c r="FI22" s="131"/>
      <c r="FJ22" s="131"/>
      <c r="FK22" s="131"/>
      <c r="FL22" s="131"/>
      <c r="FM22" s="131"/>
      <c r="FN22" s="131"/>
      <c r="FO22" s="131"/>
      <c r="FP22" s="52"/>
      <c r="FQ22" s="52"/>
      <c r="FR22" s="52"/>
      <c r="FS22" s="52"/>
      <c r="FT22" s="52"/>
      <c r="FU22" s="52"/>
      <c r="FV22" s="52"/>
      <c r="FW22" s="52"/>
      <c r="FX22" s="52"/>
      <c r="FY22" s="52"/>
      <c r="FZ22" s="52"/>
      <c r="GA22" s="52"/>
      <c r="GB22" s="52"/>
      <c r="GC22" s="52"/>
      <c r="GD22" s="52"/>
      <c r="GE22" s="52"/>
      <c r="GF22" s="52"/>
      <c r="GG22" s="52"/>
      <c r="GH22" s="52"/>
      <c r="GI22" s="52"/>
      <c r="GJ22" s="52"/>
      <c r="GK22" s="52"/>
      <c r="GL22" s="52"/>
      <c r="GM22" s="52"/>
      <c r="GN22" s="52"/>
      <c r="GO22" s="52"/>
      <c r="GP22" s="52"/>
      <c r="GQ22" s="52"/>
      <c r="GR22" s="52"/>
      <c r="GS22" s="52"/>
      <c r="GT22" s="52"/>
      <c r="GU22" s="52"/>
      <c r="GV22" s="52"/>
      <c r="GW22" s="52"/>
      <c r="GX22" s="52"/>
      <c r="GY22" s="52"/>
      <c r="GZ22" s="52"/>
      <c r="HA22" s="52"/>
      <c r="HB22" s="52"/>
      <c r="HC22" s="52"/>
      <c r="HD22" s="52"/>
      <c r="HE22" s="52"/>
      <c r="HF22" s="128" t="n">
        <v>10</v>
      </c>
      <c r="HG22" s="128" t="n">
        <v>1</v>
      </c>
      <c r="HH22" s="131" t="s">
        <v>572</v>
      </c>
      <c r="HI22" s="131" t="s">
        <v>383</v>
      </c>
      <c r="HJ22" s="131" t="s">
        <v>573</v>
      </c>
      <c r="HK22" s="131" t="s">
        <v>574</v>
      </c>
      <c r="HL22" s="131" t="s">
        <v>378</v>
      </c>
      <c r="HM22" s="52"/>
      <c r="HN22" s="52"/>
      <c r="HO22" s="52"/>
      <c r="HP22" s="52"/>
      <c r="HQ22" s="52"/>
      <c r="HR22" s="52"/>
      <c r="HS22" s="52"/>
      <c r="HT22" s="131"/>
      <c r="HU22" s="128"/>
      <c r="HV22" s="131"/>
      <c r="HW22" s="131"/>
      <c r="HX22" s="131"/>
      <c r="HY22" s="131"/>
      <c r="HZ22" s="131"/>
    </row>
    <row r="23" customFormat="false" ht="12.8" hidden="true" customHeight="false" outlineLevel="0" collapsed="false">
      <c r="A23" s="17" t="s">
        <v>51</v>
      </c>
      <c r="B23" s="17" t="s">
        <v>93</v>
      </c>
      <c r="C23" s="130" t="s">
        <v>124</v>
      </c>
      <c r="D23" s="17" t="s">
        <v>125</v>
      </c>
      <c r="E23" s="130" t="s">
        <v>89</v>
      </c>
      <c r="F23" s="17" t="s">
        <v>126</v>
      </c>
      <c r="G23" s="154" t="s">
        <v>623</v>
      </c>
      <c r="H23" s="148" t="s">
        <v>92</v>
      </c>
      <c r="I23" s="150"/>
      <c r="J23" s="150"/>
      <c r="K23" s="39" t="n">
        <v>1500</v>
      </c>
      <c r="L23" s="18" t="n">
        <v>6</v>
      </c>
      <c r="M23" s="18" t="n">
        <f aca="false">IF(AD23,1,0)+IF(AK23,1,0)+AN23+AU23+BB23+BI23+BP23+BW23+CD23+CK23+CR23+CY23+DF23+DM23+DT23+EA23+EH23+EO23+EV23+FC23+FJ23+FQ23+FX23+GE23+GL23+GS23+GZ23+HG23+HN23+HU23</f>
        <v>0</v>
      </c>
      <c r="N23" s="131"/>
      <c r="O23" s="147" t="n">
        <v>2400</v>
      </c>
      <c r="P23" s="147" t="n">
        <v>0</v>
      </c>
      <c r="Q23" s="147" t="n">
        <v>240</v>
      </c>
      <c r="R23" s="21" t="s">
        <v>45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31"/>
      <c r="AD23" s="128"/>
      <c r="AE23" s="128"/>
      <c r="AF23" s="128"/>
      <c r="AG23" s="128"/>
      <c r="AH23" s="128"/>
      <c r="AI23" s="147"/>
      <c r="AJ23" s="128"/>
      <c r="AK23" s="128"/>
      <c r="AL23" s="147"/>
      <c r="AM23" s="131"/>
      <c r="AN23" s="128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128" t="n">
        <v>10</v>
      </c>
      <c r="BP23" s="128" t="n">
        <v>1</v>
      </c>
      <c r="BQ23" s="131" t="s">
        <v>383</v>
      </c>
      <c r="BR23" s="131" t="s">
        <v>574</v>
      </c>
      <c r="BS23" s="131" t="s">
        <v>467</v>
      </c>
      <c r="BT23" s="131" t="s">
        <v>468</v>
      </c>
      <c r="BU23" s="131" t="s">
        <v>380</v>
      </c>
      <c r="BV23" s="128" t="n">
        <v>10</v>
      </c>
      <c r="BW23" s="128" t="n">
        <v>1</v>
      </c>
      <c r="BX23" s="131" t="s">
        <v>399</v>
      </c>
      <c r="BY23" s="131" t="s">
        <v>615</v>
      </c>
      <c r="BZ23" s="131" t="s">
        <v>380</v>
      </c>
      <c r="CA23" s="131" t="s">
        <v>596</v>
      </c>
      <c r="CB23" s="131" t="s">
        <v>597</v>
      </c>
      <c r="CC23" s="128" t="n">
        <v>10</v>
      </c>
      <c r="CD23" s="128" t="n">
        <v>2</v>
      </c>
      <c r="CE23" s="131" t="s">
        <v>384</v>
      </c>
      <c r="CF23" s="131" t="s">
        <v>616</v>
      </c>
      <c r="CG23" s="131" t="s">
        <v>468</v>
      </c>
      <c r="CH23" s="131" t="s">
        <v>617</v>
      </c>
      <c r="CI23" s="131" t="s">
        <v>596</v>
      </c>
      <c r="CJ23" s="16"/>
      <c r="CK23" s="16"/>
      <c r="CL23" s="16"/>
      <c r="CM23" s="16"/>
      <c r="CN23" s="16"/>
      <c r="CO23" s="16"/>
      <c r="CP23" s="16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128" t="n">
        <v>10</v>
      </c>
      <c r="DF23" s="128" t="n">
        <v>2</v>
      </c>
      <c r="DG23" s="131" t="s">
        <v>381</v>
      </c>
      <c r="DH23" s="131" t="s">
        <v>382</v>
      </c>
      <c r="DI23" s="131" t="s">
        <v>383</v>
      </c>
      <c r="DJ23" s="131" t="s">
        <v>384</v>
      </c>
      <c r="DK23" s="131" t="s">
        <v>399</v>
      </c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128" t="n">
        <v>10</v>
      </c>
      <c r="FC23" s="128" t="n">
        <v>2</v>
      </c>
      <c r="FD23" s="131" t="s">
        <v>572</v>
      </c>
      <c r="FE23" s="131" t="s">
        <v>383</v>
      </c>
      <c r="FF23" s="131" t="s">
        <v>573</v>
      </c>
      <c r="FG23" s="131" t="s">
        <v>574</v>
      </c>
      <c r="FH23" s="131" t="s">
        <v>378</v>
      </c>
      <c r="FI23" s="131"/>
      <c r="FJ23" s="131"/>
      <c r="FK23" s="131"/>
      <c r="FL23" s="131"/>
      <c r="FM23" s="131"/>
      <c r="FN23" s="131"/>
      <c r="FO23" s="131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128" t="n">
        <v>10</v>
      </c>
      <c r="GE23" s="128" t="n">
        <v>1</v>
      </c>
      <c r="GF23" s="131" t="s">
        <v>381</v>
      </c>
      <c r="GG23" s="131" t="s">
        <v>382</v>
      </c>
      <c r="GH23" s="131" t="s">
        <v>383</v>
      </c>
      <c r="GI23" s="131" t="s">
        <v>384</v>
      </c>
      <c r="GJ23" s="131" t="s">
        <v>399</v>
      </c>
      <c r="GK23" s="131"/>
      <c r="GL23" s="131"/>
      <c r="GM23" s="131"/>
      <c r="GN23" s="131"/>
      <c r="GO23" s="131"/>
      <c r="GP23" s="131"/>
      <c r="GQ23" s="131"/>
      <c r="GR23" s="52"/>
      <c r="GS23" s="52"/>
      <c r="GT23" s="52"/>
      <c r="GU23" s="52"/>
      <c r="GV23" s="52"/>
      <c r="GW23" s="52"/>
      <c r="GX23" s="52"/>
      <c r="GY23" s="52"/>
      <c r="GZ23" s="52"/>
      <c r="HA23" s="52"/>
      <c r="HB23" s="52"/>
      <c r="HC23" s="52"/>
      <c r="HD23" s="52"/>
      <c r="HE23" s="52"/>
      <c r="HF23" s="52"/>
      <c r="HG23" s="52"/>
      <c r="HH23" s="52"/>
      <c r="HI23" s="52"/>
      <c r="HJ23" s="52"/>
      <c r="HK23" s="52"/>
      <c r="HL23" s="52"/>
      <c r="HM23" s="52"/>
      <c r="HN23" s="52"/>
      <c r="HO23" s="52"/>
      <c r="HP23" s="52"/>
      <c r="HQ23" s="52"/>
      <c r="HR23" s="52"/>
      <c r="HS23" s="52"/>
      <c r="HT23" s="131"/>
      <c r="HU23" s="128"/>
      <c r="HV23" s="131"/>
      <c r="HW23" s="131"/>
      <c r="HX23" s="131"/>
      <c r="HY23" s="131"/>
      <c r="HZ23" s="131"/>
    </row>
    <row r="24" customFormat="false" ht="12.8" hidden="true" customHeight="false" outlineLevel="0" collapsed="false">
      <c r="A24" s="17" t="s">
        <v>51</v>
      </c>
      <c r="B24" s="17" t="s">
        <v>93</v>
      </c>
      <c r="C24" s="130" t="s">
        <v>124</v>
      </c>
      <c r="D24" s="17" t="s">
        <v>125</v>
      </c>
      <c r="E24" s="130" t="s">
        <v>89</v>
      </c>
      <c r="F24" s="17" t="s">
        <v>126</v>
      </c>
      <c r="G24" s="154" t="s">
        <v>624</v>
      </c>
      <c r="H24" s="150"/>
      <c r="I24" s="150"/>
      <c r="J24" s="150"/>
      <c r="K24" s="39" t="n">
        <v>1500</v>
      </c>
      <c r="L24" s="18" t="n">
        <v>5</v>
      </c>
      <c r="M24" s="18" t="n">
        <f aca="false">IF(AD24,1,0)+IF(AK24,1,0)+AN24+AU24+BB24+BI24+BP24+BW24+CD24+CK24+CR24+CY24+DF24+DM24+DT24+EA24+EH24+EO24+EV24+FC24+FJ24+FQ24+FX24+GE24+GL24+GS24+GZ24+HG24+HN24+HU24</f>
        <v>0</v>
      </c>
      <c r="N24" s="131"/>
      <c r="O24" s="147" t="n">
        <v>800</v>
      </c>
      <c r="P24" s="147" t="n">
        <v>1600</v>
      </c>
      <c r="Q24" s="147" t="n">
        <v>0</v>
      </c>
      <c r="R24" s="21" t="s">
        <v>44</v>
      </c>
      <c r="S24" s="18"/>
      <c r="T24" s="18"/>
      <c r="U24" s="18"/>
      <c r="V24" s="18"/>
      <c r="W24" s="18"/>
      <c r="X24" s="18"/>
      <c r="Y24" s="21" t="s">
        <v>541</v>
      </c>
      <c r="Z24" s="18"/>
      <c r="AA24" s="18"/>
      <c r="AB24" s="18"/>
      <c r="AC24" s="23" t="s">
        <v>589</v>
      </c>
      <c r="AD24" s="128" t="n">
        <v>6</v>
      </c>
      <c r="AE24" s="21" t="s">
        <v>590</v>
      </c>
      <c r="AF24" s="128"/>
      <c r="AG24" s="128" t="n">
        <v>15</v>
      </c>
      <c r="AH24" s="128" t="n">
        <v>30</v>
      </c>
      <c r="AI24" s="147" t="s">
        <v>591</v>
      </c>
      <c r="AJ24" s="128"/>
      <c r="AK24" s="128"/>
      <c r="AL24" s="147"/>
      <c r="AM24" s="131"/>
      <c r="AN24" s="128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16"/>
      <c r="CK24" s="16"/>
      <c r="CL24" s="16"/>
      <c r="CM24" s="16"/>
      <c r="CN24" s="16"/>
      <c r="CO24" s="16"/>
      <c r="CP24" s="16"/>
      <c r="CQ24" s="128" t="n">
        <v>3</v>
      </c>
      <c r="CR24" s="128" t="n">
        <v>1</v>
      </c>
      <c r="CS24" s="131" t="s">
        <v>473</v>
      </c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128" t="n">
        <v>3</v>
      </c>
      <c r="EH24" s="128" t="n">
        <v>1</v>
      </c>
      <c r="EI24" s="131" t="s">
        <v>625</v>
      </c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128" t="n">
        <v>3</v>
      </c>
      <c r="FC24" s="128" t="n">
        <v>2</v>
      </c>
      <c r="FD24" s="131" t="s">
        <v>607</v>
      </c>
      <c r="FE24" s="52"/>
      <c r="FF24" s="52"/>
      <c r="FG24" s="52"/>
      <c r="FH24" s="52"/>
      <c r="FI24" s="52"/>
      <c r="FJ24" s="52"/>
      <c r="FK24" s="52"/>
      <c r="FL24" s="52"/>
      <c r="FM24" s="52"/>
      <c r="FN24" s="52"/>
      <c r="FO24" s="52"/>
      <c r="FP24" s="52"/>
      <c r="FQ24" s="52"/>
      <c r="FR24" s="52"/>
      <c r="FS24" s="52"/>
      <c r="FT24" s="52"/>
      <c r="FU24" s="52"/>
      <c r="FV24" s="52"/>
      <c r="FW24" s="52"/>
      <c r="FX24" s="52"/>
      <c r="FY24" s="52"/>
      <c r="FZ24" s="52"/>
      <c r="GA24" s="52"/>
      <c r="GB24" s="52"/>
      <c r="GC24" s="52"/>
      <c r="GD24" s="52"/>
      <c r="GE24" s="52"/>
      <c r="GF24" s="52"/>
      <c r="GG24" s="52"/>
      <c r="GH24" s="52"/>
      <c r="GI24" s="52"/>
      <c r="GJ24" s="52"/>
      <c r="GK24" s="52"/>
      <c r="GL24" s="52"/>
      <c r="GM24" s="52"/>
      <c r="GN24" s="52"/>
      <c r="GO24" s="52"/>
      <c r="GP24" s="52"/>
      <c r="GQ24" s="52"/>
      <c r="GR24" s="52"/>
      <c r="GS24" s="52"/>
      <c r="GT24" s="52"/>
      <c r="GU24" s="52"/>
      <c r="GV24" s="52"/>
      <c r="GW24" s="52"/>
      <c r="GX24" s="52"/>
      <c r="GY24" s="52"/>
      <c r="GZ24" s="52"/>
      <c r="HA24" s="52"/>
      <c r="HB24" s="52"/>
      <c r="HC24" s="52"/>
      <c r="HD24" s="52"/>
      <c r="HE24" s="52"/>
      <c r="HF24" s="128" t="n">
        <v>3</v>
      </c>
      <c r="HG24" s="128" t="n">
        <v>2</v>
      </c>
      <c r="HH24" s="131" t="s">
        <v>607</v>
      </c>
      <c r="HI24" s="52"/>
      <c r="HJ24" s="52"/>
      <c r="HK24" s="52"/>
      <c r="HL24" s="52"/>
      <c r="HM24" s="52"/>
      <c r="HN24" s="52"/>
      <c r="HO24" s="52"/>
      <c r="HP24" s="52"/>
      <c r="HQ24" s="52"/>
      <c r="HR24" s="52"/>
      <c r="HS24" s="52"/>
      <c r="HT24" s="131"/>
      <c r="HU24" s="128"/>
      <c r="HV24" s="131"/>
      <c r="HW24" s="131"/>
      <c r="HX24" s="131"/>
      <c r="HY24" s="131"/>
      <c r="HZ24" s="131"/>
    </row>
    <row r="25" customFormat="false" ht="12.8" hidden="true" customHeight="false" outlineLevel="0" collapsed="false">
      <c r="A25" s="17" t="s">
        <v>51</v>
      </c>
      <c r="B25" s="17" t="s">
        <v>93</v>
      </c>
      <c r="C25" s="130" t="s">
        <v>124</v>
      </c>
      <c r="D25" s="17" t="s">
        <v>127</v>
      </c>
      <c r="E25" s="130" t="s">
        <v>87</v>
      </c>
      <c r="F25" s="17" t="s">
        <v>128</v>
      </c>
      <c r="G25" s="154" t="s">
        <v>626</v>
      </c>
      <c r="H25" s="148" t="s">
        <v>92</v>
      </c>
      <c r="I25" s="150"/>
      <c r="J25" s="150"/>
      <c r="K25" s="39" t="n">
        <v>1500</v>
      </c>
      <c r="L25" s="18" t="n">
        <v>4</v>
      </c>
      <c r="M25" s="18" t="n">
        <f aca="false">IF(AD25,1,0)+IF(AK25,1,0)+AN25+AU25+BB25+BI25+BP25+BW25+CD25+CK25+CR25+CY25+DF25+DM25+DT25+EA25+EH25+EO25+EV25+FC25+FJ25+FQ25+FX25+GE25+GL25+GS25+GZ25+HG25+HN25+HU25</f>
        <v>0</v>
      </c>
      <c r="N25" s="131"/>
      <c r="O25" s="147" t="n">
        <v>2250</v>
      </c>
      <c r="P25" s="147" t="n">
        <v>0</v>
      </c>
      <c r="Q25" s="147" t="n">
        <v>247</v>
      </c>
      <c r="R25" s="21" t="s">
        <v>44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31"/>
      <c r="AD25" s="128"/>
      <c r="AE25" s="128"/>
      <c r="AF25" s="128"/>
      <c r="AG25" s="128"/>
      <c r="AH25" s="128"/>
      <c r="AI25" s="147"/>
      <c r="AJ25" s="128"/>
      <c r="AK25" s="128"/>
      <c r="AL25" s="147"/>
      <c r="AM25" s="131"/>
      <c r="AN25" s="128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16"/>
      <c r="CK25" s="16"/>
      <c r="CL25" s="16"/>
      <c r="CM25" s="16"/>
      <c r="CN25" s="16"/>
      <c r="CO25" s="16"/>
      <c r="CP25" s="16"/>
      <c r="CQ25" s="128" t="n">
        <v>12</v>
      </c>
      <c r="CR25" s="128" t="n">
        <v>2</v>
      </c>
      <c r="CS25" s="131" t="s">
        <v>381</v>
      </c>
      <c r="CT25" s="131" t="s">
        <v>382</v>
      </c>
      <c r="CU25" s="131" t="s">
        <v>383</v>
      </c>
      <c r="CV25" s="131" t="s">
        <v>397</v>
      </c>
      <c r="CW25" s="131" t="s">
        <v>473</v>
      </c>
      <c r="CX25" s="131"/>
      <c r="CY25" s="131"/>
      <c r="CZ25" s="131"/>
      <c r="DA25" s="131"/>
      <c r="DB25" s="131"/>
      <c r="DC25" s="131"/>
      <c r="DD25" s="131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128" t="n">
        <v>12</v>
      </c>
      <c r="FC25" s="128" t="n">
        <v>2</v>
      </c>
      <c r="FD25" s="131" t="s">
        <v>572</v>
      </c>
      <c r="FE25" s="131" t="s">
        <v>383</v>
      </c>
      <c r="FF25" s="131" t="s">
        <v>573</v>
      </c>
      <c r="FG25" s="131" t="s">
        <v>606</v>
      </c>
      <c r="FH25" s="131" t="s">
        <v>607</v>
      </c>
      <c r="FI25" s="131"/>
      <c r="FJ25" s="131"/>
      <c r="FK25" s="131"/>
      <c r="FL25" s="131"/>
      <c r="FM25" s="131"/>
      <c r="FN25" s="131"/>
      <c r="FO25" s="131"/>
      <c r="FP25" s="52"/>
      <c r="FQ25" s="52"/>
      <c r="FR25" s="52"/>
      <c r="FS25" s="52"/>
      <c r="FT25" s="52"/>
      <c r="FU25" s="52"/>
      <c r="FV25" s="52"/>
      <c r="FW25" s="52"/>
      <c r="FX25" s="52"/>
      <c r="FY25" s="52"/>
      <c r="FZ25" s="52"/>
      <c r="GA25" s="52"/>
      <c r="GB25" s="52"/>
      <c r="GC25" s="52"/>
      <c r="GD25" s="52"/>
      <c r="GE25" s="52"/>
      <c r="GF25" s="52"/>
      <c r="GG25" s="52"/>
      <c r="GH25" s="52"/>
      <c r="GI25" s="52"/>
      <c r="GJ25" s="52"/>
      <c r="GK25" s="52"/>
      <c r="GL25" s="52"/>
      <c r="GM25" s="52"/>
      <c r="GN25" s="52"/>
      <c r="GO25" s="52"/>
      <c r="GP25" s="52"/>
      <c r="GQ25" s="52"/>
      <c r="GR25" s="52"/>
      <c r="GS25" s="52"/>
      <c r="GT25" s="52"/>
      <c r="GU25" s="52"/>
      <c r="GV25" s="52"/>
      <c r="GW25" s="52"/>
      <c r="GX25" s="52"/>
      <c r="GY25" s="52"/>
      <c r="GZ25" s="52"/>
      <c r="HA25" s="52"/>
      <c r="HB25" s="52"/>
      <c r="HC25" s="52"/>
      <c r="HD25" s="52"/>
      <c r="HE25" s="52"/>
      <c r="HF25" s="128" t="n">
        <v>12</v>
      </c>
      <c r="HG25" s="128" t="n">
        <v>2</v>
      </c>
      <c r="HH25" s="131" t="s">
        <v>572</v>
      </c>
      <c r="HI25" s="131" t="s">
        <v>383</v>
      </c>
      <c r="HJ25" s="131" t="s">
        <v>573</v>
      </c>
      <c r="HK25" s="131" t="s">
        <v>606</v>
      </c>
      <c r="HL25" s="131" t="s">
        <v>607</v>
      </c>
      <c r="HM25" s="52"/>
      <c r="HN25" s="52"/>
      <c r="HO25" s="52"/>
      <c r="HP25" s="52"/>
      <c r="HQ25" s="52"/>
      <c r="HR25" s="52"/>
      <c r="HS25" s="52"/>
      <c r="HT25" s="131"/>
      <c r="HU25" s="128"/>
      <c r="HV25" s="131"/>
      <c r="HW25" s="131"/>
      <c r="HX25" s="131"/>
      <c r="HY25" s="131"/>
      <c r="HZ25" s="131"/>
    </row>
    <row r="26" customFormat="false" ht="12.8" hidden="true" customHeight="false" outlineLevel="0" collapsed="false">
      <c r="A26" s="17" t="s">
        <v>51</v>
      </c>
      <c r="B26" s="17" t="s">
        <v>93</v>
      </c>
      <c r="C26" s="130" t="s">
        <v>124</v>
      </c>
      <c r="D26" s="17" t="s">
        <v>127</v>
      </c>
      <c r="E26" s="130" t="s">
        <v>87</v>
      </c>
      <c r="F26" s="17" t="s">
        <v>128</v>
      </c>
      <c r="G26" s="154" t="s">
        <v>624</v>
      </c>
      <c r="H26" s="150"/>
      <c r="I26" s="150"/>
      <c r="J26" s="150"/>
      <c r="K26" s="39" t="n">
        <v>1500</v>
      </c>
      <c r="L26" s="18" t="n">
        <v>5</v>
      </c>
      <c r="M26" s="18" t="n">
        <f aca="false">IF(AD26,1,0)+IF(AK26,1,0)+AN26+AU26+BB26+BI26+BP26+BW26+CD26+CK26+CR26+CY26+DF26+DM26+DT26+EA26+EH26+EO26+EV26+FC26+FJ26+FQ26+FX26+GE26+GL26+GS26+GZ26+HG26+HN26+HU26</f>
        <v>0</v>
      </c>
      <c r="N26" s="131"/>
      <c r="O26" s="147" t="n">
        <v>800</v>
      </c>
      <c r="P26" s="147" t="n">
        <v>1600</v>
      </c>
      <c r="Q26" s="147" t="n">
        <v>0</v>
      </c>
      <c r="R26" s="21" t="s">
        <v>44</v>
      </c>
      <c r="S26" s="18"/>
      <c r="T26" s="18"/>
      <c r="U26" s="18"/>
      <c r="V26" s="18"/>
      <c r="W26" s="18"/>
      <c r="X26" s="18"/>
      <c r="Y26" s="21" t="s">
        <v>541</v>
      </c>
      <c r="Z26" s="18"/>
      <c r="AA26" s="18"/>
      <c r="AB26" s="18"/>
      <c r="AC26" s="23" t="s">
        <v>589</v>
      </c>
      <c r="AD26" s="128" t="n">
        <v>8</v>
      </c>
      <c r="AE26" s="21" t="s">
        <v>590</v>
      </c>
      <c r="AF26" s="128"/>
      <c r="AG26" s="128" t="n">
        <v>15</v>
      </c>
      <c r="AH26" s="128" t="n">
        <v>30</v>
      </c>
      <c r="AI26" s="147" t="s">
        <v>591</v>
      </c>
      <c r="AJ26" s="128"/>
      <c r="AK26" s="128"/>
      <c r="AL26" s="147"/>
      <c r="AM26" s="131"/>
      <c r="AN26" s="128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16"/>
      <c r="CK26" s="16"/>
      <c r="CL26" s="16"/>
      <c r="CM26" s="16"/>
      <c r="CN26" s="16"/>
      <c r="CO26" s="16"/>
      <c r="CP26" s="16"/>
      <c r="CQ26" s="128" t="n">
        <v>5</v>
      </c>
      <c r="CR26" s="128" t="n">
        <v>1</v>
      </c>
      <c r="CS26" s="131" t="s">
        <v>390</v>
      </c>
      <c r="CT26" s="131" t="s">
        <v>391</v>
      </c>
      <c r="CU26" s="131" t="s">
        <v>410</v>
      </c>
      <c r="CV26" s="131" t="s">
        <v>411</v>
      </c>
      <c r="CW26" s="131" t="s">
        <v>415</v>
      </c>
      <c r="CX26" s="131"/>
      <c r="CY26" s="131"/>
      <c r="CZ26" s="131"/>
      <c r="DA26" s="131"/>
      <c r="DB26" s="131"/>
      <c r="DC26" s="131"/>
      <c r="DD26" s="131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128" t="n">
        <v>5</v>
      </c>
      <c r="EH26" s="128" t="n">
        <v>1</v>
      </c>
      <c r="EI26" s="131" t="s">
        <v>391</v>
      </c>
      <c r="EJ26" s="131" t="s">
        <v>411</v>
      </c>
      <c r="EK26" s="131" t="s">
        <v>453</v>
      </c>
      <c r="EL26" s="131" t="s">
        <v>446</v>
      </c>
      <c r="EM26" s="131" t="s">
        <v>584</v>
      </c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128" t="n">
        <v>5</v>
      </c>
      <c r="FC26" s="128" t="n">
        <v>2</v>
      </c>
      <c r="FD26" s="131" t="s">
        <v>451</v>
      </c>
      <c r="FE26" s="131" t="s">
        <v>410</v>
      </c>
      <c r="FF26" s="131" t="s">
        <v>452</v>
      </c>
      <c r="FG26" s="131" t="s">
        <v>453</v>
      </c>
      <c r="FH26" s="131" t="s">
        <v>389</v>
      </c>
      <c r="FI26" s="131"/>
      <c r="FJ26" s="131"/>
      <c r="FK26" s="131"/>
      <c r="FL26" s="131"/>
      <c r="FM26" s="131"/>
      <c r="FN26" s="131"/>
      <c r="FO26" s="131"/>
      <c r="FP26" s="52"/>
      <c r="FQ26" s="52"/>
      <c r="FR26" s="52"/>
      <c r="FS26" s="52"/>
      <c r="FT26" s="52"/>
      <c r="FU26" s="52"/>
      <c r="FV26" s="52"/>
      <c r="FW26" s="52"/>
      <c r="FX26" s="52"/>
      <c r="FY26" s="52"/>
      <c r="FZ26" s="52"/>
      <c r="GA26" s="52"/>
      <c r="GB26" s="52"/>
      <c r="GC26" s="52"/>
      <c r="GD26" s="52"/>
      <c r="GE26" s="52"/>
      <c r="GF26" s="52"/>
      <c r="GG26" s="52"/>
      <c r="GH26" s="52"/>
      <c r="GI26" s="52"/>
      <c r="GJ26" s="52"/>
      <c r="GK26" s="52"/>
      <c r="GL26" s="52"/>
      <c r="GM26" s="52"/>
      <c r="GN26" s="52"/>
      <c r="GO26" s="52"/>
      <c r="GP26" s="52"/>
      <c r="GQ26" s="52"/>
      <c r="GR26" s="52"/>
      <c r="GS26" s="52"/>
      <c r="GT26" s="52"/>
      <c r="GU26" s="52"/>
      <c r="GV26" s="52"/>
      <c r="GW26" s="52"/>
      <c r="GX26" s="52"/>
      <c r="GY26" s="52"/>
      <c r="GZ26" s="52"/>
      <c r="HA26" s="52"/>
      <c r="HB26" s="52"/>
      <c r="HC26" s="52"/>
      <c r="HD26" s="52"/>
      <c r="HE26" s="52"/>
      <c r="HF26" s="128" t="n">
        <v>5</v>
      </c>
      <c r="HG26" s="128" t="n">
        <v>2</v>
      </c>
      <c r="HH26" s="131" t="s">
        <v>451</v>
      </c>
      <c r="HI26" s="131" t="s">
        <v>410</v>
      </c>
      <c r="HJ26" s="131" t="s">
        <v>452</v>
      </c>
      <c r="HK26" s="131" t="s">
        <v>453</v>
      </c>
      <c r="HL26" s="131" t="s">
        <v>389</v>
      </c>
      <c r="HM26" s="52"/>
      <c r="HN26" s="52"/>
      <c r="HO26" s="52"/>
      <c r="HP26" s="52"/>
      <c r="HQ26" s="52"/>
      <c r="HR26" s="52"/>
      <c r="HS26" s="52"/>
      <c r="HT26" s="131"/>
      <c r="HU26" s="128"/>
      <c r="HV26" s="131"/>
      <c r="HW26" s="131"/>
      <c r="HX26" s="131"/>
      <c r="HY26" s="131"/>
      <c r="HZ26" s="131"/>
    </row>
    <row r="27" customFormat="false" ht="12.8" hidden="true" customHeight="false" outlineLevel="0" collapsed="false">
      <c r="A27" s="35" t="s">
        <v>51</v>
      </c>
      <c r="B27" s="35" t="s">
        <v>93</v>
      </c>
      <c r="C27" s="34" t="s">
        <v>129</v>
      </c>
      <c r="D27" s="35" t="s">
        <v>108</v>
      </c>
      <c r="E27" s="34" t="s">
        <v>89</v>
      </c>
      <c r="F27" s="35" t="s">
        <v>130</v>
      </c>
      <c r="G27" s="154" t="s">
        <v>592</v>
      </c>
      <c r="H27" s="148" t="s">
        <v>92</v>
      </c>
      <c r="I27" s="130"/>
      <c r="J27" s="150"/>
      <c r="K27" s="39" t="n">
        <v>1500</v>
      </c>
      <c r="L27" s="18" t="n">
        <v>6</v>
      </c>
      <c r="M27" s="18" t="n">
        <f aca="false">IF(AD27,1,0)+IF(AK27,1,0)+AN27+AU27+BB27+BI27+BP27+BW27+CD27+CK27+CR27+CY27+DF27+DM27+DT27+EA27+EH27+EO27+EV27+FC27+FJ27+FQ27+FX27+GE27+GL27+GS27+GZ27+HG27+HN27+HU27</f>
        <v>0</v>
      </c>
      <c r="N27" s="131"/>
      <c r="O27" s="147" t="n">
        <v>2400</v>
      </c>
      <c r="P27" s="147" t="n">
        <v>3192</v>
      </c>
      <c r="Q27" s="147" t="n">
        <v>48</v>
      </c>
      <c r="R27" s="21" t="s">
        <v>602</v>
      </c>
      <c r="S27" s="18"/>
      <c r="T27" s="18"/>
      <c r="U27" s="18"/>
      <c r="V27" s="21" t="s">
        <v>541</v>
      </c>
      <c r="W27" s="18"/>
      <c r="X27" s="18"/>
      <c r="Y27" s="18"/>
      <c r="Z27" s="18"/>
      <c r="AA27" s="18"/>
      <c r="AB27" s="18"/>
      <c r="AC27" s="23" t="s">
        <v>618</v>
      </c>
      <c r="AD27" s="128" t="n">
        <v>18</v>
      </c>
      <c r="AE27" s="128"/>
      <c r="AF27" s="128" t="n">
        <v>60</v>
      </c>
      <c r="AG27" s="128" t="n">
        <v>15</v>
      </c>
      <c r="AH27" s="128" t="n">
        <v>10</v>
      </c>
      <c r="AI27" s="147" t="s">
        <v>619</v>
      </c>
      <c r="AJ27" s="128"/>
      <c r="AK27" s="128"/>
      <c r="AL27" s="147"/>
      <c r="AM27" s="131"/>
      <c r="AN27" s="128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128" t="n">
        <v>5</v>
      </c>
      <c r="CK27" s="128" t="n">
        <v>2</v>
      </c>
      <c r="CL27" s="131" t="s">
        <v>410</v>
      </c>
      <c r="CM27" s="131" t="s">
        <v>453</v>
      </c>
      <c r="CN27" s="131" t="s">
        <v>489</v>
      </c>
      <c r="CO27" s="131" t="s">
        <v>447</v>
      </c>
      <c r="CP27" s="131" t="s">
        <v>579</v>
      </c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128" t="n">
        <v>10</v>
      </c>
      <c r="DM27" s="128" t="n">
        <v>2</v>
      </c>
      <c r="DN27" s="131" t="s">
        <v>381</v>
      </c>
      <c r="DO27" s="131" t="s">
        <v>382</v>
      </c>
      <c r="DP27" s="131" t="s">
        <v>383</v>
      </c>
      <c r="DQ27" s="131" t="s">
        <v>384</v>
      </c>
      <c r="DR27" s="131" t="s">
        <v>399</v>
      </c>
      <c r="DS27" s="131"/>
      <c r="DT27" s="131"/>
      <c r="DU27" s="131"/>
      <c r="DV27" s="131"/>
      <c r="DW27" s="131"/>
      <c r="DX27" s="131"/>
      <c r="DY27" s="131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2"/>
      <c r="FB27" s="128" t="n">
        <v>10</v>
      </c>
      <c r="FC27" s="128" t="n">
        <v>2</v>
      </c>
      <c r="FD27" s="131" t="s">
        <v>572</v>
      </c>
      <c r="FE27" s="131" t="s">
        <v>383</v>
      </c>
      <c r="FF27" s="131" t="s">
        <v>573</v>
      </c>
      <c r="FG27" s="131" t="s">
        <v>574</v>
      </c>
      <c r="FH27" s="131" t="s">
        <v>378</v>
      </c>
      <c r="FI27" s="131"/>
      <c r="FJ27" s="131"/>
      <c r="FK27" s="131"/>
      <c r="FL27" s="131"/>
      <c r="FM27" s="131"/>
      <c r="FN27" s="131"/>
      <c r="FO27" s="131"/>
      <c r="FP27" s="131"/>
      <c r="FQ27" s="131"/>
      <c r="FR27" s="131"/>
      <c r="FS27" s="131"/>
      <c r="FT27" s="131"/>
      <c r="FU27" s="131"/>
      <c r="FV27" s="131"/>
      <c r="FW27" s="131"/>
      <c r="FX27" s="131"/>
      <c r="FY27" s="131"/>
      <c r="FZ27" s="131"/>
      <c r="GA27" s="131"/>
      <c r="GB27" s="131"/>
      <c r="GC27" s="131"/>
      <c r="GD27" s="52"/>
      <c r="GE27" s="52"/>
      <c r="GF27" s="52"/>
      <c r="GG27" s="52"/>
      <c r="GH27" s="52"/>
      <c r="GI27" s="52"/>
      <c r="GJ27" s="52"/>
      <c r="GK27" s="52"/>
      <c r="GL27" s="52"/>
      <c r="GM27" s="52"/>
      <c r="GN27" s="52"/>
      <c r="GO27" s="52"/>
      <c r="GP27" s="52"/>
      <c r="GQ27" s="52"/>
      <c r="GR27" s="128" t="n">
        <v>10</v>
      </c>
      <c r="GS27" s="128" t="n">
        <v>1</v>
      </c>
      <c r="GT27" s="131" t="s">
        <v>381</v>
      </c>
      <c r="GU27" s="131" t="s">
        <v>382</v>
      </c>
      <c r="GV27" s="131" t="s">
        <v>383</v>
      </c>
      <c r="GW27" s="131" t="s">
        <v>384</v>
      </c>
      <c r="GX27" s="131" t="s">
        <v>399</v>
      </c>
      <c r="GY27" s="131"/>
      <c r="GZ27" s="131"/>
      <c r="HA27" s="131"/>
      <c r="HB27" s="131"/>
      <c r="HC27" s="131"/>
      <c r="HD27" s="131"/>
      <c r="HE27" s="131"/>
      <c r="HF27" s="52"/>
      <c r="HG27" s="52"/>
      <c r="HH27" s="52"/>
      <c r="HI27" s="52"/>
      <c r="HJ27" s="52"/>
      <c r="HK27" s="52"/>
      <c r="HL27" s="52"/>
      <c r="HM27" s="52"/>
      <c r="HN27" s="52"/>
      <c r="HO27" s="52"/>
      <c r="HP27" s="52"/>
      <c r="HQ27" s="52"/>
      <c r="HR27" s="52"/>
      <c r="HS27" s="52"/>
      <c r="HT27" s="131"/>
      <c r="HU27" s="128"/>
      <c r="HV27" s="131"/>
      <c r="HW27" s="131"/>
      <c r="HX27" s="131"/>
      <c r="HY27" s="131"/>
      <c r="HZ27" s="131"/>
    </row>
    <row r="28" customFormat="false" ht="12.8" hidden="true" customHeight="false" outlineLevel="0" collapsed="false">
      <c r="A28" s="16" t="s">
        <v>52</v>
      </c>
      <c r="B28" s="16" t="s">
        <v>98</v>
      </c>
      <c r="C28" s="16" t="s">
        <v>132</v>
      </c>
      <c r="D28" s="16" t="s">
        <v>133</v>
      </c>
      <c r="E28" s="156" t="s">
        <v>89</v>
      </c>
      <c r="F28" s="16" t="s">
        <v>134</v>
      </c>
      <c r="G28" s="154" t="s">
        <v>627</v>
      </c>
      <c r="H28" s="17" t="s">
        <v>92</v>
      </c>
      <c r="I28" s="150"/>
      <c r="J28" s="150"/>
      <c r="K28" s="128" t="n">
        <v>3500</v>
      </c>
      <c r="L28" s="18" t="n">
        <v>5</v>
      </c>
      <c r="M28" s="18" t="n">
        <f aca="false">IF(AD28,1,0)+IF(AK28,1,0)+AN28+AU28+BB28+BI28+BP28+BW28+CD28+CK28+CR28+CY28+DF28+DM28+DT28+EA28+EH28+EO28+EV28+FC28+FJ28+FQ28+FX28+GE28+GL28+GS28+GZ28+HG28+HN28+HU28</f>
        <v>0</v>
      </c>
      <c r="N28" s="131"/>
      <c r="O28" s="147" t="n">
        <v>1575</v>
      </c>
      <c r="P28" s="147" t="n">
        <v>352</v>
      </c>
      <c r="Q28" s="147" t="n">
        <v>315</v>
      </c>
      <c r="R28" s="21" t="s">
        <v>44</v>
      </c>
      <c r="S28" s="18"/>
      <c r="T28" s="18"/>
      <c r="U28" s="18"/>
      <c r="V28" s="18"/>
      <c r="W28" s="18"/>
      <c r="X28" s="18"/>
      <c r="Y28" s="21" t="s">
        <v>541</v>
      </c>
      <c r="Z28" s="18"/>
      <c r="AA28" s="18"/>
      <c r="AB28" s="18"/>
      <c r="AC28" s="131"/>
      <c r="AD28" s="128"/>
      <c r="AE28" s="128"/>
      <c r="AF28" s="128"/>
      <c r="AG28" s="128"/>
      <c r="AH28" s="128"/>
      <c r="AI28" s="147"/>
      <c r="AJ28" s="128"/>
      <c r="AK28" s="128"/>
      <c r="AL28" s="147"/>
      <c r="AM28" s="131"/>
      <c r="AN28" s="128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16"/>
      <c r="CK28" s="16"/>
      <c r="CL28" s="16"/>
      <c r="CM28" s="16"/>
      <c r="CN28" s="16"/>
      <c r="CO28" s="16"/>
      <c r="CP28" s="16"/>
      <c r="CQ28" s="128" t="n">
        <v>10</v>
      </c>
      <c r="CR28" s="128" t="n">
        <v>2</v>
      </c>
      <c r="CS28" s="131" t="s">
        <v>381</v>
      </c>
      <c r="CT28" s="131" t="s">
        <v>382</v>
      </c>
      <c r="CU28" s="131" t="s">
        <v>383</v>
      </c>
      <c r="CV28" s="131" t="s">
        <v>384</v>
      </c>
      <c r="CW28" s="131" t="s">
        <v>399</v>
      </c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2"/>
      <c r="FB28" s="128" t="n">
        <v>10</v>
      </c>
      <c r="FC28" s="128" t="n">
        <v>4</v>
      </c>
      <c r="FD28" s="131" t="s">
        <v>572</v>
      </c>
      <c r="FE28" s="131" t="s">
        <v>383</v>
      </c>
      <c r="FF28" s="131" t="s">
        <v>573</v>
      </c>
      <c r="FG28" s="131" t="s">
        <v>574</v>
      </c>
      <c r="FH28" s="131" t="s">
        <v>378</v>
      </c>
      <c r="FI28" s="131"/>
      <c r="FJ28" s="131"/>
      <c r="FK28" s="131"/>
      <c r="FL28" s="131"/>
      <c r="FM28" s="131"/>
      <c r="FN28" s="131"/>
      <c r="FO28" s="131"/>
      <c r="FP28" s="128" t="n">
        <v>10</v>
      </c>
      <c r="FQ28" s="128" t="n">
        <v>1</v>
      </c>
      <c r="FR28" s="131" t="s">
        <v>381</v>
      </c>
      <c r="FS28" s="131" t="s">
        <v>382</v>
      </c>
      <c r="FT28" s="131" t="s">
        <v>383</v>
      </c>
      <c r="FU28" s="131" t="s">
        <v>384</v>
      </c>
      <c r="FV28" s="131" t="s">
        <v>399</v>
      </c>
      <c r="FW28" s="131"/>
      <c r="FX28" s="131"/>
      <c r="FY28" s="131"/>
      <c r="FZ28" s="131"/>
      <c r="GA28" s="131"/>
      <c r="GB28" s="131"/>
      <c r="GC28" s="131"/>
      <c r="GD28" s="52"/>
      <c r="GE28" s="52"/>
      <c r="GF28" s="52"/>
      <c r="GG28" s="52"/>
      <c r="GH28" s="52"/>
      <c r="GI28" s="52"/>
      <c r="GJ28" s="52"/>
      <c r="GK28" s="52"/>
      <c r="GL28" s="52"/>
      <c r="GM28" s="52"/>
      <c r="GN28" s="52"/>
      <c r="GO28" s="52"/>
      <c r="GP28" s="52"/>
      <c r="GQ28" s="52"/>
      <c r="GR28" s="52"/>
      <c r="GS28" s="52"/>
      <c r="GT28" s="52"/>
      <c r="GU28" s="52"/>
      <c r="GV28" s="52"/>
      <c r="GW28" s="52"/>
      <c r="GX28" s="52"/>
      <c r="GY28" s="52"/>
      <c r="GZ28" s="52"/>
      <c r="HA28" s="52"/>
      <c r="HB28" s="52"/>
      <c r="HC28" s="52"/>
      <c r="HD28" s="52"/>
      <c r="HE28" s="52"/>
      <c r="HF28" s="52"/>
      <c r="HG28" s="52"/>
      <c r="HH28" s="52"/>
      <c r="HI28" s="52"/>
      <c r="HJ28" s="52"/>
      <c r="HK28" s="52"/>
      <c r="HL28" s="52"/>
      <c r="HM28" s="52"/>
      <c r="HN28" s="52"/>
      <c r="HO28" s="52"/>
      <c r="HP28" s="52"/>
      <c r="HQ28" s="52"/>
      <c r="HR28" s="52"/>
      <c r="HS28" s="52"/>
      <c r="HT28" s="131"/>
      <c r="HU28" s="128"/>
      <c r="HV28" s="131"/>
      <c r="HW28" s="131"/>
      <c r="HX28" s="131"/>
      <c r="HY28" s="131"/>
      <c r="HZ28" s="131"/>
    </row>
    <row r="29" customFormat="false" ht="12.8" hidden="true" customHeight="false" outlineLevel="0" collapsed="false">
      <c r="A29" s="16" t="s">
        <v>52</v>
      </c>
      <c r="B29" s="16" t="s">
        <v>98</v>
      </c>
      <c r="C29" s="16" t="s">
        <v>132</v>
      </c>
      <c r="D29" s="16" t="s">
        <v>133</v>
      </c>
      <c r="E29" s="156" t="s">
        <v>89</v>
      </c>
      <c r="F29" s="16" t="s">
        <v>134</v>
      </c>
      <c r="G29" s="154" t="s">
        <v>628</v>
      </c>
      <c r="H29" s="16"/>
      <c r="I29" s="150"/>
      <c r="J29" s="150"/>
      <c r="K29" s="128" t="n">
        <v>3500</v>
      </c>
      <c r="L29" s="18" t="n">
        <v>4</v>
      </c>
      <c r="M29" s="18" t="n">
        <f aca="false">IF(AD29,1,0)+IF(AK29,1,0)+AN29+AU29+BB29+BI29+BP29+BW29+CD29+CK29+CR29+CY29+DF29+DM29+DT29+EA29+EH29+EO29+EV29+FC29+FJ29+FQ29+FX29+GE29+GL29+GS29+GZ29+HG29+HN29+HU29</f>
        <v>0</v>
      </c>
      <c r="N29" s="131"/>
      <c r="O29" s="147" t="n">
        <v>0</v>
      </c>
      <c r="P29" s="147" t="n">
        <v>1368</v>
      </c>
      <c r="Q29" s="147" t="n">
        <v>0</v>
      </c>
      <c r="R29" s="21" t="s">
        <v>44</v>
      </c>
      <c r="S29" s="18"/>
      <c r="T29" s="18"/>
      <c r="U29" s="18"/>
      <c r="V29" s="18"/>
      <c r="W29" s="18"/>
      <c r="X29" s="18"/>
      <c r="Y29" s="21" t="s">
        <v>541</v>
      </c>
      <c r="Z29" s="18"/>
      <c r="AA29" s="18"/>
      <c r="AB29" s="18"/>
      <c r="AC29" s="131"/>
      <c r="AD29" s="128"/>
      <c r="AE29" s="128"/>
      <c r="AF29" s="128"/>
      <c r="AG29" s="128"/>
      <c r="AH29" s="128"/>
      <c r="AI29" s="147"/>
      <c r="AJ29" s="128"/>
      <c r="AK29" s="128"/>
      <c r="AL29" s="147"/>
      <c r="AM29" s="131"/>
      <c r="AN29" s="128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16"/>
      <c r="CK29" s="16"/>
      <c r="CL29" s="16"/>
      <c r="CM29" s="16"/>
      <c r="CN29" s="16"/>
      <c r="CO29" s="16"/>
      <c r="CP29" s="16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  <c r="FB29" s="128" t="n">
        <v>3</v>
      </c>
      <c r="FC29" s="128" t="n">
        <v>2</v>
      </c>
      <c r="FD29" s="131" t="s">
        <v>607</v>
      </c>
      <c r="FE29" s="52"/>
      <c r="FF29" s="52"/>
      <c r="FG29" s="52"/>
      <c r="FH29" s="52"/>
      <c r="FI29" s="52"/>
      <c r="FJ29" s="52"/>
      <c r="FK29" s="52"/>
      <c r="FL29" s="52"/>
      <c r="FM29" s="52"/>
      <c r="FN29" s="52"/>
      <c r="FO29" s="52"/>
      <c r="FP29" s="52"/>
      <c r="FQ29" s="52"/>
      <c r="FR29" s="52"/>
      <c r="FS29" s="52"/>
      <c r="FT29" s="52"/>
      <c r="FU29" s="52"/>
      <c r="FV29" s="52"/>
      <c r="FW29" s="52"/>
      <c r="FX29" s="52"/>
      <c r="FY29" s="52"/>
      <c r="FZ29" s="52"/>
      <c r="GA29" s="52"/>
      <c r="GB29" s="52"/>
      <c r="GC29" s="52"/>
      <c r="GD29" s="52"/>
      <c r="GE29" s="52"/>
      <c r="GF29" s="52"/>
      <c r="GG29" s="52"/>
      <c r="GH29" s="52"/>
      <c r="GI29" s="52"/>
      <c r="GJ29" s="52"/>
      <c r="GK29" s="52"/>
      <c r="GL29" s="52"/>
      <c r="GM29" s="52"/>
      <c r="GN29" s="52"/>
      <c r="GO29" s="52"/>
      <c r="GP29" s="52"/>
      <c r="GQ29" s="52"/>
      <c r="GR29" s="52"/>
      <c r="GS29" s="52"/>
      <c r="GT29" s="52"/>
      <c r="GU29" s="52"/>
      <c r="GV29" s="52"/>
      <c r="GW29" s="52"/>
      <c r="GX29" s="52"/>
      <c r="GY29" s="52"/>
      <c r="GZ29" s="52"/>
      <c r="HA29" s="52"/>
      <c r="HB29" s="52"/>
      <c r="HC29" s="52"/>
      <c r="HD29" s="52"/>
      <c r="HE29" s="52"/>
      <c r="HF29" s="128" t="n">
        <v>3</v>
      </c>
      <c r="HG29" s="128" t="n">
        <v>3</v>
      </c>
      <c r="HH29" s="131" t="s">
        <v>607</v>
      </c>
      <c r="HI29" s="52"/>
      <c r="HJ29" s="52"/>
      <c r="HK29" s="52"/>
      <c r="HL29" s="52"/>
      <c r="HM29" s="52"/>
      <c r="HN29" s="52"/>
      <c r="HO29" s="52"/>
      <c r="HP29" s="52"/>
      <c r="HQ29" s="52"/>
      <c r="HR29" s="52"/>
      <c r="HS29" s="52"/>
      <c r="HT29" s="131"/>
      <c r="HU29" s="128"/>
      <c r="HV29" s="131"/>
      <c r="HW29" s="131"/>
      <c r="HX29" s="131"/>
      <c r="HY29" s="131"/>
      <c r="HZ29" s="131"/>
    </row>
    <row r="30" customFormat="false" ht="12.8" hidden="true" customHeight="false" outlineLevel="0" collapsed="false">
      <c r="A30" s="16" t="s">
        <v>52</v>
      </c>
      <c r="B30" s="16" t="s">
        <v>98</v>
      </c>
      <c r="C30" s="16" t="s">
        <v>132</v>
      </c>
      <c r="D30" s="16" t="s">
        <v>136</v>
      </c>
      <c r="E30" s="156" t="s">
        <v>87</v>
      </c>
      <c r="F30" s="16" t="s">
        <v>137</v>
      </c>
      <c r="G30" s="154"/>
      <c r="H30" s="150"/>
      <c r="I30" s="150"/>
      <c r="J30" s="150"/>
      <c r="K30" s="128" t="n">
        <v>3500</v>
      </c>
      <c r="L30" s="18"/>
      <c r="M30" s="18" t="n">
        <f aca="false">IF(AD30,1,0)+IF(AK30,1,0)+AN30+AU30+BB30+BI30+BP30+BW30+CD30+CK30+CR30+CY30+DF30+DM30+DT30+EA30+EH30+EO30+EV30+FC30+FJ30+FQ30+FX30+GE30+GL30+GS30+GZ30+HG30+HN30+HU30</f>
        <v>0</v>
      </c>
      <c r="N30" s="131"/>
      <c r="O30" s="147"/>
      <c r="P30" s="147"/>
      <c r="Q30" s="147"/>
      <c r="R30" s="12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31"/>
      <c r="AD30" s="128"/>
      <c r="AE30" s="128"/>
      <c r="AF30" s="128"/>
      <c r="AG30" s="128"/>
      <c r="AH30" s="128"/>
      <c r="AI30" s="147"/>
      <c r="AJ30" s="128"/>
      <c r="AK30" s="128"/>
      <c r="AL30" s="147"/>
      <c r="AM30" s="131"/>
      <c r="AN30" s="128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16"/>
      <c r="CK30" s="16"/>
      <c r="CL30" s="16"/>
      <c r="CM30" s="16"/>
      <c r="CN30" s="16"/>
      <c r="CO30" s="16"/>
      <c r="CP30" s="16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  <c r="FB30" s="52"/>
      <c r="FC30" s="52"/>
      <c r="FD30" s="52"/>
      <c r="FE30" s="52"/>
      <c r="FF30" s="52"/>
      <c r="FG30" s="52"/>
      <c r="FH30" s="52"/>
      <c r="FI30" s="52"/>
      <c r="FJ30" s="52"/>
      <c r="FK30" s="52"/>
      <c r="FL30" s="52"/>
      <c r="FM30" s="52"/>
      <c r="FN30" s="52"/>
      <c r="FO30" s="52"/>
      <c r="FP30" s="52"/>
      <c r="FQ30" s="52"/>
      <c r="FR30" s="52"/>
      <c r="FS30" s="52"/>
      <c r="FT30" s="52"/>
      <c r="FU30" s="52"/>
      <c r="FV30" s="52"/>
      <c r="FW30" s="52"/>
      <c r="FX30" s="52"/>
      <c r="FY30" s="52"/>
      <c r="FZ30" s="52"/>
      <c r="GA30" s="52"/>
      <c r="GB30" s="52"/>
      <c r="GC30" s="52"/>
      <c r="GD30" s="52"/>
      <c r="GE30" s="52"/>
      <c r="GF30" s="52"/>
      <c r="GG30" s="52"/>
      <c r="GH30" s="52"/>
      <c r="GI30" s="52"/>
      <c r="GJ30" s="52"/>
      <c r="GK30" s="52"/>
      <c r="GL30" s="52"/>
      <c r="GM30" s="52"/>
      <c r="GN30" s="52"/>
      <c r="GO30" s="52"/>
      <c r="GP30" s="52"/>
      <c r="GQ30" s="52"/>
      <c r="GR30" s="52"/>
      <c r="GS30" s="52"/>
      <c r="GT30" s="52"/>
      <c r="GU30" s="52"/>
      <c r="GV30" s="52"/>
      <c r="GW30" s="52"/>
      <c r="GX30" s="52"/>
      <c r="GY30" s="52"/>
      <c r="GZ30" s="52"/>
      <c r="HA30" s="52"/>
      <c r="HB30" s="52"/>
      <c r="HC30" s="52"/>
      <c r="HD30" s="52"/>
      <c r="HE30" s="52"/>
      <c r="HF30" s="52"/>
      <c r="HG30" s="52"/>
      <c r="HH30" s="52"/>
      <c r="HI30" s="52"/>
      <c r="HJ30" s="52"/>
      <c r="HK30" s="52"/>
      <c r="HL30" s="52"/>
      <c r="HM30" s="52"/>
      <c r="HN30" s="52"/>
      <c r="HO30" s="52"/>
      <c r="HP30" s="52"/>
      <c r="HQ30" s="52"/>
      <c r="HR30" s="52"/>
      <c r="HS30" s="52"/>
      <c r="HT30" s="131"/>
      <c r="HU30" s="128"/>
      <c r="HV30" s="131"/>
      <c r="HW30" s="131"/>
      <c r="HX30" s="131"/>
      <c r="HY30" s="131"/>
      <c r="HZ30" s="131"/>
    </row>
    <row r="31" customFormat="false" ht="12.8" hidden="true" customHeight="false" outlineLevel="0" collapsed="false">
      <c r="A31" s="16" t="s">
        <v>52</v>
      </c>
      <c r="B31" s="16" t="s">
        <v>98</v>
      </c>
      <c r="C31" s="16" t="s">
        <v>132</v>
      </c>
      <c r="D31" s="16" t="s">
        <v>138</v>
      </c>
      <c r="E31" s="156" t="s">
        <v>88</v>
      </c>
      <c r="F31" s="17" t="s">
        <v>139</v>
      </c>
      <c r="G31" s="154" t="s">
        <v>627</v>
      </c>
      <c r="H31" s="17" t="s">
        <v>92</v>
      </c>
      <c r="I31" s="150"/>
      <c r="J31" s="150"/>
      <c r="K31" s="128" t="n">
        <v>3500</v>
      </c>
      <c r="L31" s="18" t="n">
        <v>4</v>
      </c>
      <c r="M31" s="18" t="n">
        <f aca="false">IF(AD31,1,0)+IF(AK31,1,0)+AN31+AU31+BB31+BI31+BP31+BW31+CD31+CK31+CR31+CY31+DF31+DM31+DT31+EA31+EH31+EO31+EV31+FC31+FJ31+FQ31+FX31+GE31+GL31+GS31+GZ31+HG31+HN31+HU31</f>
        <v>0</v>
      </c>
      <c r="N31" s="131"/>
      <c r="O31" s="147"/>
      <c r="P31" s="147"/>
      <c r="Q31" s="147"/>
      <c r="R31" s="12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31"/>
      <c r="AD31" s="128"/>
      <c r="AE31" s="128"/>
      <c r="AF31" s="128"/>
      <c r="AG31" s="128"/>
      <c r="AH31" s="128"/>
      <c r="AI31" s="147"/>
      <c r="AJ31" s="128"/>
      <c r="AK31" s="128"/>
      <c r="AL31" s="147"/>
      <c r="AM31" s="131"/>
      <c r="AN31" s="128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16"/>
      <c r="CK31" s="16"/>
      <c r="CL31" s="16"/>
      <c r="CM31" s="16"/>
      <c r="CN31" s="16"/>
      <c r="CO31" s="16"/>
      <c r="CP31" s="16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52"/>
      <c r="EY31" s="52"/>
      <c r="EZ31" s="52"/>
      <c r="FA31" s="52"/>
      <c r="FB31" s="52"/>
      <c r="FC31" s="52"/>
      <c r="FD31" s="52"/>
      <c r="FE31" s="52"/>
      <c r="FF31" s="52"/>
      <c r="FG31" s="52"/>
      <c r="FH31" s="52"/>
      <c r="FI31" s="52"/>
      <c r="FJ31" s="52"/>
      <c r="FK31" s="52"/>
      <c r="FL31" s="52"/>
      <c r="FM31" s="52"/>
      <c r="FN31" s="52"/>
      <c r="FO31" s="52"/>
      <c r="FP31" s="52"/>
      <c r="FQ31" s="52"/>
      <c r="FR31" s="52"/>
      <c r="FS31" s="52"/>
      <c r="FT31" s="52"/>
      <c r="FU31" s="52"/>
      <c r="FV31" s="52"/>
      <c r="FW31" s="52"/>
      <c r="FX31" s="52"/>
      <c r="FY31" s="52"/>
      <c r="FZ31" s="52"/>
      <c r="GA31" s="52"/>
      <c r="GB31" s="52"/>
      <c r="GC31" s="52"/>
      <c r="GD31" s="52"/>
      <c r="GE31" s="52"/>
      <c r="GF31" s="52"/>
      <c r="GG31" s="52"/>
      <c r="GH31" s="52"/>
      <c r="GI31" s="52"/>
      <c r="GJ31" s="52"/>
      <c r="GK31" s="52"/>
      <c r="GL31" s="52"/>
      <c r="GM31" s="52"/>
      <c r="GN31" s="52"/>
      <c r="GO31" s="52"/>
      <c r="GP31" s="52"/>
      <c r="GQ31" s="52"/>
      <c r="GR31" s="52"/>
      <c r="GS31" s="52"/>
      <c r="GT31" s="52"/>
      <c r="GU31" s="52"/>
      <c r="GV31" s="52"/>
      <c r="GW31" s="52"/>
      <c r="GX31" s="52"/>
      <c r="GY31" s="52"/>
      <c r="GZ31" s="52"/>
      <c r="HA31" s="52"/>
      <c r="HB31" s="52"/>
      <c r="HC31" s="52"/>
      <c r="HD31" s="52"/>
      <c r="HE31" s="52"/>
      <c r="HF31" s="52"/>
      <c r="HG31" s="52"/>
      <c r="HH31" s="52"/>
      <c r="HI31" s="52"/>
      <c r="HJ31" s="52"/>
      <c r="HK31" s="52"/>
      <c r="HL31" s="52"/>
      <c r="HM31" s="52"/>
      <c r="HN31" s="52"/>
      <c r="HO31" s="52"/>
      <c r="HP31" s="52"/>
      <c r="HQ31" s="52"/>
      <c r="HR31" s="52"/>
      <c r="HS31" s="52"/>
      <c r="HT31" s="131"/>
      <c r="HU31" s="128"/>
      <c r="HV31" s="131"/>
      <c r="HW31" s="131"/>
      <c r="HX31" s="131"/>
      <c r="HY31" s="131"/>
      <c r="HZ31" s="131"/>
    </row>
    <row r="32" customFormat="false" ht="12.8" hidden="true" customHeight="false" outlineLevel="0" collapsed="false">
      <c r="A32" s="16" t="s">
        <v>52</v>
      </c>
      <c r="B32" s="16" t="s">
        <v>98</v>
      </c>
      <c r="C32" s="16" t="s">
        <v>132</v>
      </c>
      <c r="D32" s="16" t="s">
        <v>138</v>
      </c>
      <c r="E32" s="156" t="s">
        <v>88</v>
      </c>
      <c r="F32" s="17" t="s">
        <v>139</v>
      </c>
      <c r="G32" s="154" t="s">
        <v>628</v>
      </c>
      <c r="H32" s="16"/>
      <c r="I32" s="150"/>
      <c r="J32" s="150"/>
      <c r="K32" s="128" t="n">
        <v>3500</v>
      </c>
      <c r="L32" s="18" t="n">
        <v>4</v>
      </c>
      <c r="M32" s="18" t="n">
        <f aca="false">IF(AD32,1,0)+IF(AK32,1,0)+AN32+AU32+BB32+BI32+BP32+BW32+CD32+CK32+CR32+CY32+DF32+DM32+DT32+EA32+EH32+EO32+EV32+FC32+FJ32+FQ32+FX32+GE32+GL32+GS32+GZ32+HG32+HN32+HU32</f>
        <v>0</v>
      </c>
      <c r="N32" s="131"/>
      <c r="O32" s="147"/>
      <c r="P32" s="147"/>
      <c r="Q32" s="147"/>
      <c r="R32" s="12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31"/>
      <c r="AD32" s="128"/>
      <c r="AE32" s="128"/>
      <c r="AF32" s="128"/>
      <c r="AG32" s="128"/>
      <c r="AH32" s="128"/>
      <c r="AI32" s="147"/>
      <c r="AJ32" s="128"/>
      <c r="AK32" s="128"/>
      <c r="AL32" s="147"/>
      <c r="AM32" s="131"/>
      <c r="AN32" s="128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16"/>
      <c r="CK32" s="16"/>
      <c r="CL32" s="16"/>
      <c r="CM32" s="16"/>
      <c r="CN32" s="16"/>
      <c r="CO32" s="16"/>
      <c r="CP32" s="16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  <c r="FB32" s="52"/>
      <c r="FC32" s="52"/>
      <c r="FD32" s="52"/>
      <c r="FE32" s="52"/>
      <c r="FF32" s="52"/>
      <c r="FG32" s="52"/>
      <c r="FH32" s="52"/>
      <c r="FI32" s="52"/>
      <c r="FJ32" s="52"/>
      <c r="FK32" s="52"/>
      <c r="FL32" s="52"/>
      <c r="FM32" s="52"/>
      <c r="FN32" s="52"/>
      <c r="FO32" s="52"/>
      <c r="FP32" s="52"/>
      <c r="FQ32" s="52"/>
      <c r="FR32" s="52"/>
      <c r="FS32" s="52"/>
      <c r="FT32" s="52"/>
      <c r="FU32" s="52"/>
      <c r="FV32" s="52"/>
      <c r="FW32" s="52"/>
      <c r="FX32" s="52"/>
      <c r="FY32" s="52"/>
      <c r="FZ32" s="52"/>
      <c r="GA32" s="52"/>
      <c r="GB32" s="52"/>
      <c r="GC32" s="52"/>
      <c r="GD32" s="52"/>
      <c r="GE32" s="52"/>
      <c r="GF32" s="52"/>
      <c r="GG32" s="52"/>
      <c r="GH32" s="52"/>
      <c r="GI32" s="52"/>
      <c r="GJ32" s="52"/>
      <c r="GK32" s="52"/>
      <c r="GL32" s="52"/>
      <c r="GM32" s="52"/>
      <c r="GN32" s="52"/>
      <c r="GO32" s="52"/>
      <c r="GP32" s="52"/>
      <c r="GQ32" s="52"/>
      <c r="GR32" s="52"/>
      <c r="GS32" s="52"/>
      <c r="GT32" s="52"/>
      <c r="GU32" s="52"/>
      <c r="GV32" s="52"/>
      <c r="GW32" s="52"/>
      <c r="GX32" s="52"/>
      <c r="GY32" s="52"/>
      <c r="GZ32" s="52"/>
      <c r="HA32" s="52"/>
      <c r="HB32" s="52"/>
      <c r="HC32" s="52"/>
      <c r="HD32" s="52"/>
      <c r="HE32" s="52"/>
      <c r="HF32" s="52"/>
      <c r="HG32" s="52"/>
      <c r="HH32" s="52"/>
      <c r="HI32" s="52"/>
      <c r="HJ32" s="52"/>
      <c r="HK32" s="52"/>
      <c r="HL32" s="52"/>
      <c r="HM32" s="52"/>
      <c r="HN32" s="52"/>
      <c r="HO32" s="52"/>
      <c r="HP32" s="52"/>
      <c r="HQ32" s="52"/>
      <c r="HR32" s="52"/>
      <c r="HS32" s="52"/>
      <c r="HT32" s="131"/>
      <c r="HU32" s="128"/>
      <c r="HV32" s="131"/>
      <c r="HW32" s="131"/>
      <c r="HX32" s="131"/>
      <c r="HY32" s="131"/>
      <c r="HZ32" s="131"/>
    </row>
    <row r="33" customFormat="false" ht="12.8" hidden="true" customHeight="false" outlineLevel="0" collapsed="false">
      <c r="A33" s="16" t="s">
        <v>52</v>
      </c>
      <c r="B33" s="17" t="s">
        <v>98</v>
      </c>
      <c r="C33" s="16" t="s">
        <v>140</v>
      </c>
      <c r="D33" s="16" t="s">
        <v>141</v>
      </c>
      <c r="E33" s="156" t="s">
        <v>89</v>
      </c>
      <c r="F33" s="16" t="s">
        <v>116</v>
      </c>
      <c r="G33" s="154" t="s">
        <v>629</v>
      </c>
      <c r="H33" s="17" t="s">
        <v>92</v>
      </c>
      <c r="I33" s="150"/>
      <c r="J33" s="150"/>
      <c r="K33" s="128" t="n">
        <v>3500</v>
      </c>
      <c r="L33" s="18" t="n">
        <v>6</v>
      </c>
      <c r="M33" s="18" t="n">
        <f aca="false">IF(AD33,1,0)+IF(AK33,1,0)+AN33+AU33+BB33+BI33+BP33+BW33+CD33+CK33+CR33+CY33+DF33+DM33+DT33+EA33+EH33+EO33+EV33+FC33+FJ33+FQ33+FX33+GE33+GL33+GS33+GZ33+HG33+HN33+HU33</f>
        <v>0</v>
      </c>
      <c r="N33" s="131"/>
      <c r="O33" s="147" t="n">
        <v>2800</v>
      </c>
      <c r="P33" s="147" t="n">
        <v>313</v>
      </c>
      <c r="Q33" s="147" t="n">
        <v>280</v>
      </c>
      <c r="R33" s="21" t="s">
        <v>46</v>
      </c>
      <c r="S33" s="18"/>
      <c r="T33" s="18"/>
      <c r="U33" s="18"/>
      <c r="V33" s="18"/>
      <c r="W33" s="18"/>
      <c r="X33" s="18"/>
      <c r="Y33" s="21" t="s">
        <v>541</v>
      </c>
      <c r="Z33" s="18"/>
      <c r="AA33" s="21" t="s">
        <v>541</v>
      </c>
      <c r="AB33" s="18"/>
      <c r="AC33" s="23" t="s">
        <v>630</v>
      </c>
      <c r="AD33" s="128" t="n">
        <v>15</v>
      </c>
      <c r="AE33" s="21" t="s">
        <v>631</v>
      </c>
      <c r="AF33" s="128"/>
      <c r="AG33" s="128"/>
      <c r="AH33" s="128"/>
      <c r="AI33" s="147" t="s">
        <v>632</v>
      </c>
      <c r="AJ33" s="128"/>
      <c r="AK33" s="128"/>
      <c r="AL33" s="147"/>
      <c r="AM33" s="128" t="n">
        <v>10</v>
      </c>
      <c r="AN33" s="128" t="n">
        <v>1</v>
      </c>
      <c r="AO33" s="131" t="s">
        <v>633</v>
      </c>
      <c r="AP33" s="131" t="s">
        <v>634</v>
      </c>
      <c r="AQ33" s="131" t="s">
        <v>635</v>
      </c>
      <c r="AR33" s="131" t="s">
        <v>636</v>
      </c>
      <c r="AS33" s="131" t="s">
        <v>563</v>
      </c>
      <c r="AT33" s="131"/>
      <c r="AU33" s="131"/>
      <c r="AV33" s="131"/>
      <c r="AW33" s="131"/>
      <c r="AX33" s="131"/>
      <c r="AY33" s="131"/>
      <c r="AZ33" s="131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16"/>
      <c r="CK33" s="16"/>
      <c r="CL33" s="16"/>
      <c r="CM33" s="16"/>
      <c r="CN33" s="16"/>
      <c r="CO33" s="16"/>
      <c r="CP33" s="16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128" t="n">
        <v>10</v>
      </c>
      <c r="DF33" s="128" t="n">
        <v>2</v>
      </c>
      <c r="DG33" s="131" t="s">
        <v>381</v>
      </c>
      <c r="DH33" s="131" t="s">
        <v>382</v>
      </c>
      <c r="DI33" s="131" t="s">
        <v>383</v>
      </c>
      <c r="DJ33" s="131" t="s">
        <v>384</v>
      </c>
      <c r="DK33" s="131" t="s">
        <v>399</v>
      </c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128" t="n">
        <v>10</v>
      </c>
      <c r="EO33" s="128" t="n">
        <v>1</v>
      </c>
      <c r="EP33" s="131" t="s">
        <v>383</v>
      </c>
      <c r="EQ33" s="131" t="s">
        <v>574</v>
      </c>
      <c r="ER33" s="131" t="s">
        <v>467</v>
      </c>
      <c r="ES33" s="131" t="s">
        <v>468</v>
      </c>
      <c r="ET33" s="131" t="s">
        <v>380</v>
      </c>
      <c r="EU33" s="52"/>
      <c r="EV33" s="52"/>
      <c r="EW33" s="52"/>
      <c r="EX33" s="52"/>
      <c r="EY33" s="52"/>
      <c r="EZ33" s="52"/>
      <c r="FA33" s="52"/>
      <c r="FB33" s="128" t="n">
        <v>10</v>
      </c>
      <c r="FC33" s="128" t="n">
        <v>2</v>
      </c>
      <c r="FD33" s="131" t="s">
        <v>572</v>
      </c>
      <c r="FE33" s="131" t="s">
        <v>383</v>
      </c>
      <c r="FF33" s="131" t="s">
        <v>573</v>
      </c>
      <c r="FG33" s="131" t="s">
        <v>574</v>
      </c>
      <c r="FH33" s="131" t="s">
        <v>378</v>
      </c>
      <c r="FI33" s="131"/>
      <c r="FJ33" s="131"/>
      <c r="FK33" s="131"/>
      <c r="FL33" s="131"/>
      <c r="FM33" s="131"/>
      <c r="FN33" s="131"/>
      <c r="FO33" s="131"/>
      <c r="FP33" s="52"/>
      <c r="FQ33" s="52"/>
      <c r="FR33" s="52"/>
      <c r="FS33" s="52"/>
      <c r="FT33" s="52"/>
      <c r="FU33" s="52"/>
      <c r="FV33" s="52"/>
      <c r="FW33" s="52"/>
      <c r="FX33" s="52"/>
      <c r="FY33" s="52"/>
      <c r="FZ33" s="52"/>
      <c r="GA33" s="52"/>
      <c r="GB33" s="52"/>
      <c r="GC33" s="52"/>
      <c r="GD33" s="128" t="n">
        <v>10</v>
      </c>
      <c r="GE33" s="128" t="n">
        <v>1</v>
      </c>
      <c r="GF33" s="131" t="s">
        <v>381</v>
      </c>
      <c r="GG33" s="131" t="s">
        <v>382</v>
      </c>
      <c r="GH33" s="131" t="s">
        <v>383</v>
      </c>
      <c r="GI33" s="131" t="s">
        <v>384</v>
      </c>
      <c r="GJ33" s="131" t="s">
        <v>399</v>
      </c>
      <c r="GK33" s="128"/>
      <c r="GL33" s="128"/>
      <c r="GM33" s="131"/>
      <c r="GN33" s="131"/>
      <c r="GO33" s="131"/>
      <c r="GP33" s="131"/>
      <c r="GQ33" s="131"/>
      <c r="GR33" s="52"/>
      <c r="GS33" s="52"/>
      <c r="GT33" s="52"/>
      <c r="GU33" s="52"/>
      <c r="GV33" s="52"/>
      <c r="GW33" s="52"/>
      <c r="GX33" s="52"/>
      <c r="GY33" s="52"/>
      <c r="GZ33" s="52"/>
      <c r="HA33" s="52"/>
      <c r="HB33" s="52"/>
      <c r="HC33" s="52"/>
      <c r="HD33" s="52"/>
      <c r="HE33" s="52"/>
      <c r="HF33" s="52"/>
      <c r="HG33" s="52"/>
      <c r="HH33" s="52"/>
      <c r="HI33" s="52"/>
      <c r="HJ33" s="52"/>
      <c r="HK33" s="52"/>
      <c r="HL33" s="52"/>
      <c r="HM33" s="52"/>
      <c r="HN33" s="52"/>
      <c r="HO33" s="52"/>
      <c r="HP33" s="52"/>
      <c r="HQ33" s="52"/>
      <c r="HR33" s="52"/>
      <c r="HS33" s="52"/>
      <c r="HT33" s="131"/>
      <c r="HU33" s="128"/>
      <c r="HV33" s="131"/>
      <c r="HW33" s="131"/>
      <c r="HX33" s="131"/>
      <c r="HY33" s="131"/>
      <c r="HZ33" s="131"/>
    </row>
    <row r="34" customFormat="false" ht="12.8" hidden="true" customHeight="false" outlineLevel="0" collapsed="false">
      <c r="A34" s="16" t="s">
        <v>52</v>
      </c>
      <c r="B34" s="17" t="s">
        <v>98</v>
      </c>
      <c r="C34" s="16" t="s">
        <v>140</v>
      </c>
      <c r="D34" s="16" t="s">
        <v>141</v>
      </c>
      <c r="E34" s="156" t="s">
        <v>89</v>
      </c>
      <c r="F34" s="16" t="s">
        <v>116</v>
      </c>
      <c r="G34" s="154" t="s">
        <v>587</v>
      </c>
      <c r="H34" s="16"/>
      <c r="I34" s="150"/>
      <c r="J34" s="150"/>
      <c r="K34" s="128" t="n">
        <v>3500</v>
      </c>
      <c r="L34" s="18" t="n">
        <v>3</v>
      </c>
      <c r="M34" s="18" t="n">
        <f aca="false">IF(AD34,1,0)+IF(AK34,1,0)+AN34+AU34+BB34+BI34+BP34+BW34+CD34+CK34+CR34+CY34+DF34+DM34+DT34+EA34+EH34+EO34+EV34+FC34+FJ34+FQ34+FX34+GE34+GL34+GS34+GZ34+HG34+HN34+HU34</f>
        <v>0</v>
      </c>
      <c r="N34" s="131"/>
      <c r="O34" s="147" t="n">
        <v>720</v>
      </c>
      <c r="P34" s="147" t="n">
        <v>403</v>
      </c>
      <c r="Q34" s="147" t="n">
        <v>50</v>
      </c>
      <c r="R34" s="21" t="s">
        <v>44</v>
      </c>
      <c r="S34" s="18"/>
      <c r="T34" s="18"/>
      <c r="U34" s="18"/>
      <c r="V34" s="18"/>
      <c r="W34" s="18"/>
      <c r="X34" s="18"/>
      <c r="Y34" s="21" t="s">
        <v>541</v>
      </c>
      <c r="Z34" s="18"/>
      <c r="AA34" s="18"/>
      <c r="AB34" s="18"/>
      <c r="AC34" s="23" t="s">
        <v>637</v>
      </c>
      <c r="AD34" s="128" t="n">
        <v>8</v>
      </c>
      <c r="AE34" s="128"/>
      <c r="AF34" s="128" t="n">
        <v>30</v>
      </c>
      <c r="AG34" s="128" t="n">
        <v>25</v>
      </c>
      <c r="AH34" s="128"/>
      <c r="AI34" s="147" t="s">
        <v>638</v>
      </c>
      <c r="AJ34" s="128"/>
      <c r="AK34" s="128"/>
      <c r="AL34" s="147"/>
      <c r="AM34" s="131"/>
      <c r="AN34" s="128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16"/>
      <c r="CK34" s="16"/>
      <c r="CL34" s="16"/>
      <c r="CM34" s="16"/>
      <c r="CN34" s="16"/>
      <c r="CO34" s="16"/>
      <c r="CP34" s="16"/>
      <c r="CQ34" s="128" t="n">
        <v>5</v>
      </c>
      <c r="CR34" s="128" t="n">
        <v>1</v>
      </c>
      <c r="CS34" s="131" t="s">
        <v>390</v>
      </c>
      <c r="CT34" s="131" t="s">
        <v>391</v>
      </c>
      <c r="CU34" s="131" t="s">
        <v>410</v>
      </c>
      <c r="CV34" s="131" t="s">
        <v>411</v>
      </c>
      <c r="CW34" s="131" t="s">
        <v>415</v>
      </c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  <c r="EM34" s="52"/>
      <c r="EN34" s="52"/>
      <c r="EO34" s="52"/>
      <c r="EP34" s="52"/>
      <c r="EQ34" s="52"/>
      <c r="ER34" s="52"/>
      <c r="ES34" s="52"/>
      <c r="ET34" s="52"/>
      <c r="EU34" s="52"/>
      <c r="EV34" s="52"/>
      <c r="EW34" s="52"/>
      <c r="EX34" s="52"/>
      <c r="EY34" s="52"/>
      <c r="EZ34" s="52"/>
      <c r="FA34" s="52"/>
      <c r="FB34" s="128" t="n">
        <v>5</v>
      </c>
      <c r="FC34" s="128" t="n">
        <v>2</v>
      </c>
      <c r="FD34" s="131" t="s">
        <v>451</v>
      </c>
      <c r="FE34" s="131" t="s">
        <v>410</v>
      </c>
      <c r="FF34" s="131" t="s">
        <v>452</v>
      </c>
      <c r="FG34" s="131" t="s">
        <v>453</v>
      </c>
      <c r="FH34" s="131" t="s">
        <v>389</v>
      </c>
      <c r="FI34" s="131"/>
      <c r="FJ34" s="131"/>
      <c r="FK34" s="131"/>
      <c r="FL34" s="131"/>
      <c r="FM34" s="131"/>
      <c r="FN34" s="131"/>
      <c r="FO34" s="131"/>
      <c r="FP34" s="52"/>
      <c r="FQ34" s="52"/>
      <c r="FR34" s="52"/>
      <c r="FS34" s="52"/>
      <c r="FT34" s="52"/>
      <c r="FU34" s="52"/>
      <c r="FV34" s="52"/>
      <c r="FW34" s="52"/>
      <c r="FX34" s="52"/>
      <c r="FY34" s="52"/>
      <c r="FZ34" s="52"/>
      <c r="GA34" s="52"/>
      <c r="GB34" s="52"/>
      <c r="GC34" s="52"/>
      <c r="GD34" s="52"/>
      <c r="GE34" s="52"/>
      <c r="GF34" s="52"/>
      <c r="GG34" s="52"/>
      <c r="GH34" s="52"/>
      <c r="GI34" s="52"/>
      <c r="GJ34" s="52"/>
      <c r="GK34" s="52"/>
      <c r="GL34" s="52"/>
      <c r="GM34" s="52"/>
      <c r="GN34" s="52"/>
      <c r="GO34" s="52"/>
      <c r="GP34" s="52"/>
      <c r="GQ34" s="52"/>
      <c r="GR34" s="52"/>
      <c r="GS34" s="52"/>
      <c r="GT34" s="52"/>
      <c r="GU34" s="52"/>
      <c r="GV34" s="52"/>
      <c r="GW34" s="52"/>
      <c r="GX34" s="52"/>
      <c r="GY34" s="52"/>
      <c r="GZ34" s="52"/>
      <c r="HA34" s="52"/>
      <c r="HB34" s="52"/>
      <c r="HC34" s="52"/>
      <c r="HD34" s="52"/>
      <c r="HE34" s="52"/>
      <c r="HF34" s="128" t="n">
        <v>5</v>
      </c>
      <c r="HG34" s="128" t="n">
        <v>1</v>
      </c>
      <c r="HH34" s="131" t="s">
        <v>451</v>
      </c>
      <c r="HI34" s="131" t="s">
        <v>410</v>
      </c>
      <c r="HJ34" s="131" t="s">
        <v>452</v>
      </c>
      <c r="HK34" s="131" t="s">
        <v>453</v>
      </c>
      <c r="HL34" s="131" t="s">
        <v>389</v>
      </c>
      <c r="HM34" s="52"/>
      <c r="HN34" s="52"/>
      <c r="HO34" s="52"/>
      <c r="HP34" s="52"/>
      <c r="HQ34" s="52"/>
      <c r="HR34" s="52"/>
      <c r="HS34" s="52"/>
      <c r="HT34" s="131"/>
      <c r="HU34" s="128"/>
      <c r="HV34" s="131"/>
      <c r="HW34" s="131"/>
      <c r="HX34" s="131"/>
      <c r="HY34" s="131"/>
      <c r="HZ34" s="131"/>
    </row>
    <row r="35" customFormat="false" ht="12.8" hidden="true" customHeight="false" outlineLevel="0" collapsed="false">
      <c r="A35" s="16" t="s">
        <v>52</v>
      </c>
      <c r="B35" s="16" t="s">
        <v>98</v>
      </c>
      <c r="C35" s="16" t="s">
        <v>140</v>
      </c>
      <c r="D35" s="16" t="s">
        <v>142</v>
      </c>
      <c r="E35" s="156" t="s">
        <v>87</v>
      </c>
      <c r="F35" s="16" t="s">
        <v>143</v>
      </c>
      <c r="G35" s="154"/>
      <c r="H35" s="150"/>
      <c r="I35" s="150"/>
      <c r="J35" s="150"/>
      <c r="K35" s="128" t="n">
        <v>3500</v>
      </c>
      <c r="L35" s="18"/>
      <c r="M35" s="18" t="n">
        <f aca="false">IF(AD35,1,0)+IF(AK35,1,0)+AN35+AU35+BB35+BI35+BP35+BW35+CD35+CK35+CR35+CY35+DF35+DM35+DT35+EA35+EH35+EO35+EV35+FC35+FJ35+FQ35+FX35+GE35+GL35+GS35+GZ35+HG35+HN35+HU35</f>
        <v>0</v>
      </c>
      <c r="N35" s="131"/>
      <c r="O35" s="147"/>
      <c r="P35" s="147"/>
      <c r="Q35" s="147"/>
      <c r="R35" s="12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31"/>
      <c r="AD35" s="128"/>
      <c r="AE35" s="128"/>
      <c r="AF35" s="128"/>
      <c r="AG35" s="128"/>
      <c r="AH35" s="128"/>
      <c r="AI35" s="147"/>
      <c r="AJ35" s="128"/>
      <c r="AK35" s="128"/>
      <c r="AL35" s="147"/>
      <c r="AM35" s="131"/>
      <c r="AN35" s="128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16"/>
      <c r="CK35" s="16"/>
      <c r="CL35" s="16"/>
      <c r="CM35" s="16"/>
      <c r="CN35" s="16"/>
      <c r="CO35" s="16"/>
      <c r="CP35" s="16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2"/>
      <c r="FB35" s="52"/>
      <c r="FC35" s="52"/>
      <c r="FD35" s="52"/>
      <c r="FE35" s="52"/>
      <c r="FF35" s="52"/>
      <c r="FG35" s="52"/>
      <c r="FH35" s="52"/>
      <c r="FI35" s="52"/>
      <c r="FJ35" s="52"/>
      <c r="FK35" s="52"/>
      <c r="FL35" s="52"/>
      <c r="FM35" s="52"/>
      <c r="FN35" s="52"/>
      <c r="FO35" s="52"/>
      <c r="FP35" s="52"/>
      <c r="FQ35" s="52"/>
      <c r="FR35" s="52"/>
      <c r="FS35" s="52"/>
      <c r="FT35" s="52"/>
      <c r="FU35" s="52"/>
      <c r="FV35" s="52"/>
      <c r="FW35" s="52"/>
      <c r="FX35" s="52"/>
      <c r="FY35" s="52"/>
      <c r="FZ35" s="52"/>
      <c r="GA35" s="52"/>
      <c r="GB35" s="52"/>
      <c r="GC35" s="52"/>
      <c r="GD35" s="52"/>
      <c r="GE35" s="52"/>
      <c r="GF35" s="52"/>
      <c r="GG35" s="52"/>
      <c r="GH35" s="52"/>
      <c r="GI35" s="52"/>
      <c r="GJ35" s="52"/>
      <c r="GK35" s="52"/>
      <c r="GL35" s="52"/>
      <c r="GM35" s="52"/>
      <c r="GN35" s="52"/>
      <c r="GO35" s="52"/>
      <c r="GP35" s="52"/>
      <c r="GQ35" s="52"/>
      <c r="GR35" s="52"/>
      <c r="GS35" s="52"/>
      <c r="GT35" s="52"/>
      <c r="GU35" s="52"/>
      <c r="GV35" s="52"/>
      <c r="GW35" s="52"/>
      <c r="GX35" s="52"/>
      <c r="GY35" s="52"/>
      <c r="GZ35" s="52"/>
      <c r="HA35" s="52"/>
      <c r="HB35" s="52"/>
      <c r="HC35" s="52"/>
      <c r="HD35" s="52"/>
      <c r="HE35" s="52"/>
      <c r="HF35" s="52"/>
      <c r="HG35" s="52"/>
      <c r="HH35" s="52"/>
      <c r="HI35" s="52"/>
      <c r="HJ35" s="52"/>
      <c r="HK35" s="52"/>
      <c r="HL35" s="52"/>
      <c r="HM35" s="52"/>
      <c r="HN35" s="52"/>
      <c r="HO35" s="52"/>
      <c r="HP35" s="52"/>
      <c r="HQ35" s="52"/>
      <c r="HR35" s="52"/>
      <c r="HS35" s="52"/>
      <c r="HT35" s="131"/>
      <c r="HU35" s="128"/>
      <c r="HV35" s="131"/>
      <c r="HW35" s="131"/>
      <c r="HX35" s="131"/>
      <c r="HY35" s="131"/>
      <c r="HZ35" s="131"/>
    </row>
    <row r="36" customFormat="false" ht="12.8" hidden="true" customHeight="false" outlineLevel="0" collapsed="false">
      <c r="A36" s="16" t="s">
        <v>52</v>
      </c>
      <c r="B36" s="16" t="s">
        <v>98</v>
      </c>
      <c r="C36" s="16" t="s">
        <v>140</v>
      </c>
      <c r="D36" s="16" t="s">
        <v>144</v>
      </c>
      <c r="E36" s="156" t="s">
        <v>88</v>
      </c>
      <c r="F36" s="16" t="s">
        <v>145</v>
      </c>
      <c r="G36" s="154" t="s">
        <v>639</v>
      </c>
      <c r="H36" s="150"/>
      <c r="I36" s="150"/>
      <c r="J36" s="150"/>
      <c r="K36" s="128" t="n">
        <v>3500</v>
      </c>
      <c r="L36" s="18"/>
      <c r="M36" s="18" t="n">
        <f aca="false">IF(AD36,1,0)+IF(AK36,1,0)+AN36+AU36+BB36+BI36+BP36+BW36+CD36+CK36+CR36+CY36+DF36+DM36+DT36+EA36+EH36+EO36+EV36+FC36+FJ36+FQ36+FX36+GE36+GL36+GS36+GZ36+HG36+HN36+HU36</f>
        <v>0</v>
      </c>
      <c r="N36" s="131"/>
      <c r="O36" s="147"/>
      <c r="P36" s="147"/>
      <c r="Q36" s="147"/>
      <c r="R36" s="21" t="s">
        <v>46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31"/>
      <c r="AD36" s="128"/>
      <c r="AE36" s="128"/>
      <c r="AF36" s="128"/>
      <c r="AG36" s="128"/>
      <c r="AH36" s="128"/>
      <c r="AI36" s="147"/>
      <c r="AJ36" s="128"/>
      <c r="AK36" s="128"/>
      <c r="AL36" s="147"/>
      <c r="AM36" s="131"/>
      <c r="AN36" s="128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128" t="n">
        <v>10</v>
      </c>
      <c r="BW36" s="128" t="n">
        <v>1</v>
      </c>
      <c r="BX36" s="131" t="s">
        <v>399</v>
      </c>
      <c r="BY36" s="131" t="s">
        <v>615</v>
      </c>
      <c r="BZ36" s="131" t="s">
        <v>380</v>
      </c>
      <c r="CA36" s="131" t="s">
        <v>596</v>
      </c>
      <c r="CB36" s="131" t="s">
        <v>597</v>
      </c>
      <c r="CC36" s="52"/>
      <c r="CD36" s="52"/>
      <c r="CE36" s="52"/>
      <c r="CF36" s="52"/>
      <c r="CG36" s="52"/>
      <c r="CH36" s="52"/>
      <c r="CI36" s="52"/>
      <c r="CJ36" s="16"/>
      <c r="CK36" s="16"/>
      <c r="CL36" s="16"/>
      <c r="CM36" s="16"/>
      <c r="CN36" s="16"/>
      <c r="CO36" s="16"/>
      <c r="CP36" s="16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2"/>
      <c r="FB36" s="52"/>
      <c r="FC36" s="52"/>
      <c r="FD36" s="52"/>
      <c r="FE36" s="52"/>
      <c r="FF36" s="52"/>
      <c r="FG36" s="52"/>
      <c r="FH36" s="52"/>
      <c r="FI36" s="52"/>
      <c r="FJ36" s="52"/>
      <c r="FK36" s="52"/>
      <c r="FL36" s="52"/>
      <c r="FM36" s="52"/>
      <c r="FN36" s="52"/>
      <c r="FO36" s="52"/>
      <c r="FP36" s="52"/>
      <c r="FQ36" s="52"/>
      <c r="FR36" s="52"/>
      <c r="FS36" s="52"/>
      <c r="FT36" s="52"/>
      <c r="FU36" s="52"/>
      <c r="FV36" s="52"/>
      <c r="FW36" s="52"/>
      <c r="FX36" s="52"/>
      <c r="FY36" s="52"/>
      <c r="FZ36" s="52"/>
      <c r="GA36" s="52"/>
      <c r="GB36" s="52"/>
      <c r="GC36" s="52"/>
      <c r="GD36" s="52"/>
      <c r="GE36" s="52"/>
      <c r="GF36" s="52"/>
      <c r="GG36" s="52"/>
      <c r="GH36" s="52"/>
      <c r="GI36" s="52"/>
      <c r="GJ36" s="52"/>
      <c r="GK36" s="52"/>
      <c r="GL36" s="52"/>
      <c r="GM36" s="52"/>
      <c r="GN36" s="52"/>
      <c r="GO36" s="52"/>
      <c r="GP36" s="52"/>
      <c r="GQ36" s="52"/>
      <c r="GR36" s="52"/>
      <c r="GS36" s="52"/>
      <c r="GT36" s="52"/>
      <c r="GU36" s="52"/>
      <c r="GV36" s="52"/>
      <c r="GW36" s="52"/>
      <c r="GX36" s="52"/>
      <c r="GY36" s="52"/>
      <c r="GZ36" s="52"/>
      <c r="HA36" s="52"/>
      <c r="HB36" s="52"/>
      <c r="HC36" s="52"/>
      <c r="HD36" s="52"/>
      <c r="HE36" s="52"/>
      <c r="HF36" s="52"/>
      <c r="HG36" s="52"/>
      <c r="HH36" s="52"/>
      <c r="HI36" s="52"/>
      <c r="HJ36" s="52"/>
      <c r="HK36" s="52"/>
      <c r="HL36" s="52"/>
      <c r="HM36" s="52"/>
      <c r="HN36" s="52"/>
      <c r="HO36" s="52"/>
      <c r="HP36" s="52"/>
      <c r="HQ36" s="52"/>
      <c r="HR36" s="52"/>
      <c r="HS36" s="52"/>
      <c r="HT36" s="131"/>
      <c r="HU36" s="128"/>
      <c r="HV36" s="131"/>
      <c r="HW36" s="131"/>
      <c r="HX36" s="131"/>
      <c r="HY36" s="131"/>
      <c r="HZ36" s="131"/>
    </row>
    <row r="37" customFormat="false" ht="12.8" hidden="true" customHeight="false" outlineLevel="0" collapsed="false">
      <c r="A37" s="16" t="s">
        <v>52</v>
      </c>
      <c r="B37" s="17" t="s">
        <v>113</v>
      </c>
      <c r="C37" s="17" t="s">
        <v>146</v>
      </c>
      <c r="D37" s="17" t="s">
        <v>147</v>
      </c>
      <c r="E37" s="130" t="s">
        <v>89</v>
      </c>
      <c r="F37" s="16" t="s">
        <v>148</v>
      </c>
      <c r="G37" s="154" t="s">
        <v>640</v>
      </c>
      <c r="H37" s="148" t="s">
        <v>92</v>
      </c>
      <c r="I37" s="150"/>
      <c r="J37" s="150"/>
      <c r="K37" s="128" t="n">
        <v>3500</v>
      </c>
      <c r="L37" s="18" t="n">
        <v>5</v>
      </c>
      <c r="M37" s="18" t="n">
        <f aca="false">IF(AD37,1,0)+IF(AK37,1,0)+AN37+AU37+BB37+BI37+BP37+BW37+CD37+CK37+CR37+CY37+DF37+DM37+DT37+EA37+EH37+EO37+EV37+FC37+FJ37+FQ37+FX37+GE37+GL37+GS37+GZ37+HG37+HN37+HU37</f>
        <v>0</v>
      </c>
      <c r="N37" s="131"/>
      <c r="O37" s="147" t="n">
        <v>3000</v>
      </c>
      <c r="P37" s="147" t="n">
        <v>480</v>
      </c>
      <c r="Q37" s="147" t="n">
        <v>300</v>
      </c>
      <c r="R37" s="21" t="s">
        <v>44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23" t="s">
        <v>618</v>
      </c>
      <c r="AD37" s="128" t="n">
        <v>20</v>
      </c>
      <c r="AE37" s="128"/>
      <c r="AF37" s="128" t="n">
        <v>60</v>
      </c>
      <c r="AG37" s="128" t="n">
        <v>15</v>
      </c>
      <c r="AH37" s="128" t="n">
        <v>10</v>
      </c>
      <c r="AI37" s="147" t="s">
        <v>619</v>
      </c>
      <c r="AJ37" s="128"/>
      <c r="AK37" s="128"/>
      <c r="AL37" s="147"/>
      <c r="AM37" s="131"/>
      <c r="AN37" s="128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16"/>
      <c r="CK37" s="16"/>
      <c r="CL37" s="16"/>
      <c r="CM37" s="16"/>
      <c r="CN37" s="16"/>
      <c r="CO37" s="16"/>
      <c r="CP37" s="16"/>
      <c r="CQ37" s="128" t="n">
        <v>15</v>
      </c>
      <c r="CR37" s="128" t="n">
        <v>2</v>
      </c>
      <c r="CS37" s="131" t="s">
        <v>641</v>
      </c>
      <c r="CT37" s="131" t="s">
        <v>642</v>
      </c>
      <c r="CU37" s="131" t="s">
        <v>396</v>
      </c>
      <c r="CV37" s="131" t="s">
        <v>397</v>
      </c>
      <c r="CW37" s="131" t="s">
        <v>473</v>
      </c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  <c r="EY37" s="52"/>
      <c r="EZ37" s="52"/>
      <c r="FA37" s="52"/>
      <c r="FB37" s="128" t="n">
        <v>15</v>
      </c>
      <c r="FC37" s="128" t="n">
        <v>2</v>
      </c>
      <c r="FD37" s="131" t="s">
        <v>643</v>
      </c>
      <c r="FE37" s="131" t="s">
        <v>396</v>
      </c>
      <c r="FF37" s="131" t="s">
        <v>644</v>
      </c>
      <c r="FG37" s="131" t="s">
        <v>606</v>
      </c>
      <c r="FH37" s="131" t="s">
        <v>607</v>
      </c>
      <c r="FI37" s="131"/>
      <c r="FJ37" s="131"/>
      <c r="FK37" s="131"/>
      <c r="FL37" s="131"/>
      <c r="FM37" s="131"/>
      <c r="FN37" s="131"/>
      <c r="FO37" s="131"/>
      <c r="FP37" s="52"/>
      <c r="FQ37" s="52"/>
      <c r="FR37" s="52"/>
      <c r="FS37" s="52"/>
      <c r="FT37" s="52"/>
      <c r="FU37" s="52"/>
      <c r="FV37" s="52"/>
      <c r="FW37" s="52"/>
      <c r="FX37" s="52"/>
      <c r="FY37" s="52"/>
      <c r="FZ37" s="52"/>
      <c r="GA37" s="52"/>
      <c r="GB37" s="52"/>
      <c r="GC37" s="52"/>
      <c r="GD37" s="52"/>
      <c r="GE37" s="52"/>
      <c r="GF37" s="52"/>
      <c r="GG37" s="52"/>
      <c r="GH37" s="52"/>
      <c r="GI37" s="52"/>
      <c r="GJ37" s="52"/>
      <c r="GK37" s="52"/>
      <c r="GL37" s="52"/>
      <c r="GM37" s="52"/>
      <c r="GN37" s="52"/>
      <c r="GO37" s="52"/>
      <c r="GP37" s="52"/>
      <c r="GQ37" s="52"/>
      <c r="GR37" s="52"/>
      <c r="GS37" s="52"/>
      <c r="GT37" s="52"/>
      <c r="GU37" s="52"/>
      <c r="GV37" s="52"/>
      <c r="GW37" s="52"/>
      <c r="GX37" s="52"/>
      <c r="GY37" s="52"/>
      <c r="GZ37" s="52"/>
      <c r="HA37" s="52"/>
      <c r="HB37" s="52"/>
      <c r="HC37" s="52"/>
      <c r="HD37" s="52"/>
      <c r="HE37" s="52"/>
      <c r="HF37" s="52"/>
      <c r="HG37" s="52"/>
      <c r="HH37" s="52"/>
      <c r="HI37" s="52"/>
      <c r="HJ37" s="52"/>
      <c r="HK37" s="52"/>
      <c r="HL37" s="52"/>
      <c r="HM37" s="39" t="n">
        <v>15</v>
      </c>
      <c r="HN37" s="128" t="n">
        <v>2</v>
      </c>
      <c r="HO37" s="131" t="s">
        <v>643</v>
      </c>
      <c r="HP37" s="131" t="s">
        <v>396</v>
      </c>
      <c r="HQ37" s="131" t="s">
        <v>644</v>
      </c>
      <c r="HR37" s="131" t="s">
        <v>606</v>
      </c>
      <c r="HS37" s="131" t="s">
        <v>607</v>
      </c>
      <c r="HT37" s="131"/>
      <c r="HU37" s="128"/>
      <c r="HV37" s="131"/>
      <c r="HW37" s="131"/>
      <c r="HX37" s="131"/>
      <c r="HY37" s="131"/>
      <c r="HZ37" s="131"/>
    </row>
    <row r="38" customFormat="false" ht="12.8" hidden="true" customHeight="false" outlineLevel="0" collapsed="false">
      <c r="A38" s="16" t="s">
        <v>52</v>
      </c>
      <c r="B38" s="17" t="s">
        <v>113</v>
      </c>
      <c r="C38" s="17" t="s">
        <v>146</v>
      </c>
      <c r="D38" s="17" t="s">
        <v>147</v>
      </c>
      <c r="E38" s="130" t="s">
        <v>89</v>
      </c>
      <c r="F38" s="16" t="s">
        <v>148</v>
      </c>
      <c r="G38" s="154" t="s">
        <v>645</v>
      </c>
      <c r="H38" s="150"/>
      <c r="I38" s="150"/>
      <c r="J38" s="150"/>
      <c r="K38" s="128" t="n">
        <v>3500</v>
      </c>
      <c r="L38" s="18" t="n">
        <v>3</v>
      </c>
      <c r="M38" s="18" t="n">
        <f aca="false">IF(AD38,1,0)+IF(AK38,1,0)+AN38+AU38+BB38+BI38+BP38+BW38+CD38+CK38+CR38+CY38+DF38+DM38+DT38+EA38+EH38+EO38+EV38+FC38+FJ38+FQ38+FX38+GE38+GL38+GS38+GZ38+HG38+HN38+HU38</f>
        <v>0</v>
      </c>
      <c r="N38" s="131"/>
      <c r="O38" s="147" t="n">
        <v>675</v>
      </c>
      <c r="P38" s="147" t="n">
        <v>222</v>
      </c>
      <c r="Q38" s="147" t="n">
        <v>33</v>
      </c>
      <c r="R38" s="21" t="s">
        <v>44</v>
      </c>
      <c r="S38" s="18"/>
      <c r="T38" s="18"/>
      <c r="U38" s="18"/>
      <c r="V38" s="18"/>
      <c r="W38" s="18"/>
      <c r="X38" s="18"/>
      <c r="Y38" s="21" t="s">
        <v>541</v>
      </c>
      <c r="Z38" s="18"/>
      <c r="AA38" s="18"/>
      <c r="AB38" s="18"/>
      <c r="AC38" s="131"/>
      <c r="AD38" s="128"/>
      <c r="AE38" s="128"/>
      <c r="AF38" s="128"/>
      <c r="AG38" s="128"/>
      <c r="AH38" s="128"/>
      <c r="AI38" s="147"/>
      <c r="AJ38" s="128"/>
      <c r="AK38" s="128"/>
      <c r="AL38" s="147"/>
      <c r="AM38" s="131"/>
      <c r="AN38" s="128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16"/>
      <c r="CK38" s="16"/>
      <c r="CL38" s="16"/>
      <c r="CM38" s="16"/>
      <c r="CN38" s="16"/>
      <c r="CO38" s="16"/>
      <c r="CP38" s="16"/>
      <c r="CQ38" s="128" t="n">
        <v>5</v>
      </c>
      <c r="CR38" s="128" t="n">
        <v>2</v>
      </c>
      <c r="CS38" s="131" t="s">
        <v>390</v>
      </c>
      <c r="CT38" s="131" t="s">
        <v>391</v>
      </c>
      <c r="CU38" s="131" t="s">
        <v>410</v>
      </c>
      <c r="CV38" s="131" t="s">
        <v>411</v>
      </c>
      <c r="CW38" s="131" t="s">
        <v>415</v>
      </c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  <c r="FB38" s="52"/>
      <c r="FC38" s="52"/>
      <c r="FD38" s="52"/>
      <c r="FE38" s="52"/>
      <c r="FF38" s="52"/>
      <c r="FG38" s="52"/>
      <c r="FH38" s="52"/>
      <c r="FI38" s="52"/>
      <c r="FJ38" s="52"/>
      <c r="FK38" s="52"/>
      <c r="FL38" s="52"/>
      <c r="FM38" s="52"/>
      <c r="FN38" s="52"/>
      <c r="FO38" s="52"/>
      <c r="FP38" s="52"/>
      <c r="FQ38" s="52"/>
      <c r="FR38" s="52"/>
      <c r="FS38" s="52"/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  <c r="GG38" s="52"/>
      <c r="GH38" s="52"/>
      <c r="GI38" s="52"/>
      <c r="GJ38" s="52"/>
      <c r="GK38" s="52"/>
      <c r="GL38" s="52"/>
      <c r="GM38" s="52"/>
      <c r="GN38" s="52"/>
      <c r="GO38" s="52"/>
      <c r="GP38" s="52"/>
      <c r="GQ38" s="52"/>
      <c r="GR38" s="52"/>
      <c r="GS38" s="52"/>
      <c r="GT38" s="52"/>
      <c r="GU38" s="52"/>
      <c r="GV38" s="52"/>
      <c r="GW38" s="52"/>
      <c r="GX38" s="52"/>
      <c r="GY38" s="52"/>
      <c r="GZ38" s="52"/>
      <c r="HA38" s="52"/>
      <c r="HB38" s="52"/>
      <c r="HC38" s="52"/>
      <c r="HD38" s="52"/>
      <c r="HE38" s="52"/>
      <c r="HF38" s="128" t="n">
        <v>5</v>
      </c>
      <c r="HG38" s="128" t="n">
        <v>1</v>
      </c>
      <c r="HH38" s="131" t="s">
        <v>451</v>
      </c>
      <c r="HI38" s="131" t="s">
        <v>410</v>
      </c>
      <c r="HJ38" s="131" t="s">
        <v>452</v>
      </c>
      <c r="HK38" s="131" t="s">
        <v>453</v>
      </c>
      <c r="HL38" s="131" t="s">
        <v>389</v>
      </c>
      <c r="HM38" s="39" t="n">
        <v>5</v>
      </c>
      <c r="HN38" s="128" t="n">
        <v>1</v>
      </c>
      <c r="HO38" s="131" t="s">
        <v>451</v>
      </c>
      <c r="HP38" s="131" t="s">
        <v>410</v>
      </c>
      <c r="HQ38" s="131" t="s">
        <v>452</v>
      </c>
      <c r="HR38" s="131" t="s">
        <v>453</v>
      </c>
      <c r="HS38" s="131" t="s">
        <v>389</v>
      </c>
      <c r="HT38" s="131"/>
      <c r="HU38" s="128"/>
      <c r="HV38" s="131"/>
      <c r="HW38" s="131"/>
      <c r="HX38" s="131"/>
      <c r="HY38" s="131"/>
      <c r="HZ38" s="131"/>
    </row>
    <row r="39" customFormat="false" ht="12.8" hidden="true" customHeight="false" outlineLevel="0" collapsed="false">
      <c r="A39" s="16" t="s">
        <v>52</v>
      </c>
      <c r="B39" s="17" t="s">
        <v>113</v>
      </c>
      <c r="C39" s="17" t="s">
        <v>146</v>
      </c>
      <c r="D39" s="16" t="s">
        <v>149</v>
      </c>
      <c r="E39" s="130" t="s">
        <v>87</v>
      </c>
      <c r="F39" s="16" t="s">
        <v>143</v>
      </c>
      <c r="G39" s="154" t="s">
        <v>646</v>
      </c>
      <c r="H39" s="148" t="s">
        <v>92</v>
      </c>
      <c r="I39" s="150"/>
      <c r="J39" s="150"/>
      <c r="K39" s="128" t="n">
        <v>3500</v>
      </c>
      <c r="L39" s="18" t="n">
        <v>4</v>
      </c>
      <c r="M39" s="18" t="n">
        <f aca="false">IF(AD39,1,0)+IF(AK39,1,0)+AN39+AU39+BB39+BI39+BP39+BW39+CD39+CK39+CR39+CY39+DF39+DM39+DT39+EA39+EH39+EO39+EV39+FC39+FJ39+FQ39+FX39+GE39+GL39+GS39+GZ39+HG39+HN39+HU39</f>
        <v>0</v>
      </c>
      <c r="N39" s="131"/>
      <c r="O39" s="147" t="n">
        <v>3600</v>
      </c>
      <c r="P39" s="147" t="n">
        <v>0</v>
      </c>
      <c r="Q39" s="147" t="n">
        <v>612</v>
      </c>
      <c r="R39" s="21" t="s">
        <v>46</v>
      </c>
      <c r="S39" s="18"/>
      <c r="T39" s="18"/>
      <c r="U39" s="18"/>
      <c r="V39" s="18"/>
      <c r="W39" s="18"/>
      <c r="X39" s="18"/>
      <c r="Y39" s="18"/>
      <c r="Z39" s="18"/>
      <c r="AA39" s="21" t="s">
        <v>541</v>
      </c>
      <c r="AB39" s="18"/>
      <c r="AC39" s="23" t="s">
        <v>618</v>
      </c>
      <c r="AD39" s="128" t="n">
        <v>20</v>
      </c>
      <c r="AE39" s="128"/>
      <c r="AF39" s="128" t="n">
        <v>60</v>
      </c>
      <c r="AG39" s="128" t="n">
        <v>15</v>
      </c>
      <c r="AH39" s="128" t="n">
        <v>10</v>
      </c>
      <c r="AI39" s="147" t="s">
        <v>619</v>
      </c>
      <c r="AJ39" s="128"/>
      <c r="AK39" s="128"/>
      <c r="AL39" s="147"/>
      <c r="AM39" s="131"/>
      <c r="AN39" s="128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16"/>
      <c r="CK39" s="16"/>
      <c r="CL39" s="16"/>
      <c r="CM39" s="16"/>
      <c r="CN39" s="16"/>
      <c r="CO39" s="16"/>
      <c r="CP39" s="16"/>
      <c r="CQ39" s="52"/>
      <c r="CR39" s="52"/>
      <c r="CS39" s="52"/>
      <c r="CT39" s="52"/>
      <c r="CU39" s="52"/>
      <c r="CV39" s="52"/>
      <c r="CW39" s="52"/>
      <c r="CX39" s="131"/>
      <c r="CY39" s="128"/>
      <c r="CZ39" s="131"/>
      <c r="DA39" s="131"/>
      <c r="DB39" s="131"/>
      <c r="DC39" s="131"/>
      <c r="DD39" s="131"/>
      <c r="DE39" s="128" t="n">
        <v>15</v>
      </c>
      <c r="DF39" s="128" t="n">
        <v>2</v>
      </c>
      <c r="DG39" s="131" t="s">
        <v>641</v>
      </c>
      <c r="DH39" s="131" t="s">
        <v>642</v>
      </c>
      <c r="DI39" s="131" t="s">
        <v>396</v>
      </c>
      <c r="DJ39" s="131" t="s">
        <v>397</v>
      </c>
      <c r="DK39" s="131" t="s">
        <v>473</v>
      </c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  <c r="EY39" s="52"/>
      <c r="EZ39" s="52"/>
      <c r="FA39" s="52"/>
      <c r="FB39" s="52"/>
      <c r="FC39" s="52"/>
      <c r="FD39" s="52"/>
      <c r="FE39" s="52"/>
      <c r="FF39" s="52"/>
      <c r="FG39" s="52"/>
      <c r="FH39" s="52"/>
      <c r="FI39" s="52"/>
      <c r="FJ39" s="52"/>
      <c r="FK39" s="52"/>
      <c r="FL39" s="52"/>
      <c r="FM39" s="52"/>
      <c r="FN39" s="52"/>
      <c r="FO39" s="52"/>
      <c r="FP39" s="52"/>
      <c r="FQ39" s="52"/>
      <c r="FR39" s="52"/>
      <c r="FS39" s="52"/>
      <c r="FT39" s="52"/>
      <c r="FU39" s="52"/>
      <c r="FV39" s="52"/>
      <c r="FW39" s="52"/>
      <c r="FX39" s="52"/>
      <c r="FY39" s="52"/>
      <c r="FZ39" s="52"/>
      <c r="GA39" s="52"/>
      <c r="GB39" s="52"/>
      <c r="GC39" s="52"/>
      <c r="GD39" s="128"/>
      <c r="GE39" s="128"/>
      <c r="GF39" s="131"/>
      <c r="GG39" s="131"/>
      <c r="GH39" s="131"/>
      <c r="GI39" s="131"/>
      <c r="GJ39" s="131"/>
      <c r="GK39" s="128" t="n">
        <v>15</v>
      </c>
      <c r="GL39" s="128" t="n">
        <v>1</v>
      </c>
      <c r="GM39" s="131" t="s">
        <v>647</v>
      </c>
      <c r="GN39" s="131"/>
      <c r="GO39" s="131"/>
      <c r="GP39" s="131"/>
      <c r="GQ39" s="131"/>
      <c r="GR39" s="52"/>
      <c r="GS39" s="52"/>
      <c r="GT39" s="52"/>
      <c r="GU39" s="52"/>
      <c r="GV39" s="52"/>
      <c r="GW39" s="52"/>
      <c r="GX39" s="52"/>
      <c r="GY39" s="52"/>
      <c r="GZ39" s="52"/>
      <c r="HA39" s="52"/>
      <c r="HB39" s="52"/>
      <c r="HC39" s="52"/>
      <c r="HD39" s="52"/>
      <c r="HE39" s="52"/>
      <c r="HF39" s="52"/>
      <c r="HG39" s="52"/>
      <c r="HH39" s="52"/>
      <c r="HI39" s="52"/>
      <c r="HJ39" s="52"/>
      <c r="HK39" s="52"/>
      <c r="HL39" s="52"/>
      <c r="HM39" s="39" t="n">
        <v>15</v>
      </c>
      <c r="HN39" s="128" t="n">
        <v>2</v>
      </c>
      <c r="HO39" s="131" t="s">
        <v>643</v>
      </c>
      <c r="HP39" s="131" t="s">
        <v>396</v>
      </c>
      <c r="HQ39" s="131" t="s">
        <v>644</v>
      </c>
      <c r="HR39" s="131" t="s">
        <v>606</v>
      </c>
      <c r="HS39" s="131" t="s">
        <v>607</v>
      </c>
      <c r="HT39" s="131"/>
      <c r="HU39" s="128"/>
      <c r="HV39" s="131"/>
      <c r="HW39" s="131"/>
      <c r="HX39" s="131"/>
      <c r="HY39" s="131"/>
      <c r="HZ39" s="131"/>
    </row>
    <row r="40" customFormat="false" ht="12.8" hidden="true" customHeight="false" outlineLevel="0" collapsed="false">
      <c r="A40" s="16" t="s">
        <v>52</v>
      </c>
      <c r="B40" s="17" t="s">
        <v>113</v>
      </c>
      <c r="C40" s="17" t="s">
        <v>146</v>
      </c>
      <c r="D40" s="16" t="s">
        <v>149</v>
      </c>
      <c r="E40" s="130" t="s">
        <v>87</v>
      </c>
      <c r="F40" s="16" t="s">
        <v>143</v>
      </c>
      <c r="G40" s="154" t="s">
        <v>645</v>
      </c>
      <c r="H40" s="150"/>
      <c r="I40" s="150"/>
      <c r="J40" s="150"/>
      <c r="K40" s="128" t="n">
        <v>3500</v>
      </c>
      <c r="L40" s="18" t="n">
        <v>3</v>
      </c>
      <c r="M40" s="18" t="n">
        <f aca="false">IF(AD40,1,0)+IF(AK40,1,0)+AN40+AU40+BB40+BI40+BP40+BW40+CD40+CK40+CR40+CY40+DF40+DM40+DT40+EA40+EH40+EO40+EV40+FC40+FJ40+FQ40+FX40+GE40+GL40+GS40+GZ40+HG40+HN40+HU40</f>
        <v>0</v>
      </c>
      <c r="N40" s="131"/>
      <c r="O40" s="147" t="n">
        <v>1500</v>
      </c>
      <c r="P40" s="147" t="n">
        <v>300</v>
      </c>
      <c r="Q40" s="147" t="n">
        <v>150</v>
      </c>
      <c r="R40" s="21" t="s">
        <v>44</v>
      </c>
      <c r="S40" s="18"/>
      <c r="T40" s="18"/>
      <c r="U40" s="18"/>
      <c r="V40" s="18"/>
      <c r="W40" s="18"/>
      <c r="X40" s="18"/>
      <c r="Y40" s="21" t="s">
        <v>541</v>
      </c>
      <c r="Z40" s="18"/>
      <c r="AA40" s="18"/>
      <c r="AB40" s="18"/>
      <c r="AC40" s="131"/>
      <c r="AD40" s="128"/>
      <c r="AE40" s="128"/>
      <c r="AF40" s="128"/>
      <c r="AG40" s="128"/>
      <c r="AH40" s="128"/>
      <c r="AI40" s="147"/>
      <c r="AJ40" s="128"/>
      <c r="AK40" s="128"/>
      <c r="AL40" s="147"/>
      <c r="AM40" s="131"/>
      <c r="AN40" s="128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16"/>
      <c r="CK40" s="16"/>
      <c r="CL40" s="16"/>
      <c r="CM40" s="16"/>
      <c r="CN40" s="16"/>
      <c r="CO40" s="16"/>
      <c r="CP40" s="16"/>
      <c r="CQ40" s="128" t="n">
        <v>5</v>
      </c>
      <c r="CR40" s="128" t="n">
        <v>2</v>
      </c>
      <c r="CS40" s="131" t="s">
        <v>390</v>
      </c>
      <c r="CT40" s="131" t="s">
        <v>391</v>
      </c>
      <c r="CU40" s="131" t="s">
        <v>410</v>
      </c>
      <c r="CV40" s="131" t="s">
        <v>411</v>
      </c>
      <c r="CW40" s="131" t="s">
        <v>415</v>
      </c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  <c r="FB40" s="52"/>
      <c r="FC40" s="52"/>
      <c r="FD40" s="52"/>
      <c r="FE40" s="52"/>
      <c r="FF40" s="52"/>
      <c r="FG40" s="52"/>
      <c r="FH40" s="52"/>
      <c r="FI40" s="52"/>
      <c r="FJ40" s="52"/>
      <c r="FK40" s="52"/>
      <c r="FL40" s="52"/>
      <c r="FM40" s="52"/>
      <c r="FN40" s="52"/>
      <c r="FO40" s="52"/>
      <c r="FP40" s="52"/>
      <c r="FQ40" s="52"/>
      <c r="FR40" s="52"/>
      <c r="FS40" s="52"/>
      <c r="FT40" s="52"/>
      <c r="FU40" s="52"/>
      <c r="FV40" s="52"/>
      <c r="FW40" s="52"/>
      <c r="FX40" s="52"/>
      <c r="FY40" s="52"/>
      <c r="FZ40" s="52"/>
      <c r="GA40" s="52"/>
      <c r="GB40" s="52"/>
      <c r="GC40" s="52"/>
      <c r="GD40" s="52"/>
      <c r="GE40" s="52"/>
      <c r="GF40" s="52"/>
      <c r="GG40" s="52"/>
      <c r="GH40" s="52"/>
      <c r="GI40" s="52"/>
      <c r="GJ40" s="52"/>
      <c r="GK40" s="52"/>
      <c r="GL40" s="52"/>
      <c r="GM40" s="52"/>
      <c r="GN40" s="52"/>
      <c r="GO40" s="52"/>
      <c r="GP40" s="52"/>
      <c r="GQ40" s="52"/>
      <c r="GR40" s="52"/>
      <c r="GS40" s="52"/>
      <c r="GT40" s="52"/>
      <c r="GU40" s="52"/>
      <c r="GV40" s="52"/>
      <c r="GW40" s="52"/>
      <c r="GX40" s="52"/>
      <c r="GY40" s="52"/>
      <c r="GZ40" s="52"/>
      <c r="HA40" s="52"/>
      <c r="HB40" s="52"/>
      <c r="HC40" s="52"/>
      <c r="HD40" s="52"/>
      <c r="HE40" s="52"/>
      <c r="HF40" s="128" t="n">
        <v>5</v>
      </c>
      <c r="HG40" s="128" t="n">
        <v>1</v>
      </c>
      <c r="HH40" s="131" t="s">
        <v>451</v>
      </c>
      <c r="HI40" s="131" t="s">
        <v>410</v>
      </c>
      <c r="HJ40" s="131" t="s">
        <v>452</v>
      </c>
      <c r="HK40" s="131" t="s">
        <v>453</v>
      </c>
      <c r="HL40" s="131" t="s">
        <v>389</v>
      </c>
      <c r="HM40" s="39" t="n">
        <v>5</v>
      </c>
      <c r="HN40" s="128" t="n">
        <v>1</v>
      </c>
      <c r="HO40" s="131" t="s">
        <v>451</v>
      </c>
      <c r="HP40" s="131" t="s">
        <v>410</v>
      </c>
      <c r="HQ40" s="131" t="s">
        <v>452</v>
      </c>
      <c r="HR40" s="131" t="s">
        <v>453</v>
      </c>
      <c r="HS40" s="131" t="s">
        <v>389</v>
      </c>
      <c r="HT40" s="131"/>
      <c r="HU40" s="128"/>
      <c r="HV40" s="131"/>
      <c r="HW40" s="131"/>
      <c r="HX40" s="131"/>
      <c r="HY40" s="131"/>
      <c r="HZ40" s="131"/>
    </row>
    <row r="41" customFormat="false" ht="12.8" hidden="true" customHeight="false" outlineLevel="0" collapsed="false">
      <c r="A41" s="36" t="s">
        <v>52</v>
      </c>
      <c r="B41" s="35" t="s">
        <v>113</v>
      </c>
      <c r="C41" s="34" t="s">
        <v>151</v>
      </c>
      <c r="D41" s="35" t="s">
        <v>152</v>
      </c>
      <c r="E41" s="34" t="s">
        <v>89</v>
      </c>
      <c r="F41" s="35" t="s">
        <v>153</v>
      </c>
      <c r="G41" s="154" t="s">
        <v>648</v>
      </c>
      <c r="H41" s="150"/>
      <c r="I41" s="150"/>
      <c r="J41" s="150"/>
      <c r="K41" s="128" t="n">
        <v>3500</v>
      </c>
      <c r="L41" s="18" t="n">
        <v>3</v>
      </c>
      <c r="M41" s="18" t="n">
        <f aca="false">IF(AD41,1,0)+IF(AK41,1,0)+AN41+AU41+BB41+BI41+BP41+BW41+CD41+CK41+CR41+CY41+DF41+DM41+DT41+EA41+EH41+EO41+EV41+FC41+FJ41+FQ41+FX41+GE41+GL41+GS41+GZ41+HG41+HN41+HU41</f>
        <v>0</v>
      </c>
      <c r="N41" s="131"/>
      <c r="O41" s="147" t="n">
        <v>450</v>
      </c>
      <c r="P41" s="147" t="n">
        <v>165</v>
      </c>
      <c r="Q41" s="147" t="n">
        <v>18</v>
      </c>
      <c r="R41" s="21" t="s">
        <v>44</v>
      </c>
      <c r="S41" s="18"/>
      <c r="T41" s="18"/>
      <c r="U41" s="18"/>
      <c r="V41" s="18"/>
      <c r="W41" s="18"/>
      <c r="X41" s="18"/>
      <c r="Y41" s="21" t="s">
        <v>541</v>
      </c>
      <c r="Z41" s="18"/>
      <c r="AA41" s="18"/>
      <c r="AB41" s="18"/>
      <c r="AC41" s="131"/>
      <c r="AD41" s="128"/>
      <c r="AE41" s="128"/>
      <c r="AF41" s="128"/>
      <c r="AG41" s="128"/>
      <c r="AH41" s="128"/>
      <c r="AI41" s="147"/>
      <c r="AJ41" s="128"/>
      <c r="AK41" s="128"/>
      <c r="AL41" s="147"/>
      <c r="AM41" s="131"/>
      <c r="AN41" s="128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16"/>
      <c r="CK41" s="16"/>
      <c r="CL41" s="16"/>
      <c r="CM41" s="16"/>
      <c r="CN41" s="16"/>
      <c r="CO41" s="16"/>
      <c r="CP41" s="16"/>
      <c r="CQ41" s="128" t="n">
        <v>5</v>
      </c>
      <c r="CR41" s="128" t="n">
        <v>2</v>
      </c>
      <c r="CS41" s="131" t="s">
        <v>390</v>
      </c>
      <c r="CT41" s="131" t="s">
        <v>391</v>
      </c>
      <c r="CU41" s="131" t="s">
        <v>410</v>
      </c>
      <c r="CV41" s="131" t="s">
        <v>411</v>
      </c>
      <c r="CW41" s="131" t="s">
        <v>415</v>
      </c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  <c r="FF41" s="52"/>
      <c r="FG41" s="52"/>
      <c r="FH41" s="52"/>
      <c r="FI41" s="52"/>
      <c r="FJ41" s="52"/>
      <c r="FK41" s="52"/>
      <c r="FL41" s="52"/>
      <c r="FM41" s="52"/>
      <c r="FN41" s="52"/>
      <c r="FO41" s="52"/>
      <c r="FP41" s="52"/>
      <c r="FQ41" s="52"/>
      <c r="FR41" s="52"/>
      <c r="FS41" s="52"/>
      <c r="FT41" s="52"/>
      <c r="FU41" s="52"/>
      <c r="FV41" s="52"/>
      <c r="FW41" s="52"/>
      <c r="FX41" s="52"/>
      <c r="FY41" s="52"/>
      <c r="FZ41" s="52"/>
      <c r="GA41" s="52"/>
      <c r="GB41" s="52"/>
      <c r="GC41" s="52"/>
      <c r="GD41" s="52"/>
      <c r="GE41" s="52"/>
      <c r="GF41" s="52"/>
      <c r="GG41" s="52"/>
      <c r="GH41" s="52"/>
      <c r="GI41" s="52"/>
      <c r="GJ41" s="52"/>
      <c r="GK41" s="52"/>
      <c r="GL41" s="52"/>
      <c r="GM41" s="52"/>
      <c r="GN41" s="52"/>
      <c r="GO41" s="52"/>
      <c r="GP41" s="52"/>
      <c r="GQ41" s="52"/>
      <c r="GR41" s="52"/>
      <c r="GS41" s="52"/>
      <c r="GT41" s="52"/>
      <c r="GU41" s="52"/>
      <c r="GV41" s="52"/>
      <c r="GW41" s="52"/>
      <c r="GX41" s="52"/>
      <c r="GY41" s="52"/>
      <c r="GZ41" s="52"/>
      <c r="HA41" s="52"/>
      <c r="HB41" s="52"/>
      <c r="HC41" s="52"/>
      <c r="HD41" s="52"/>
      <c r="HE41" s="52"/>
      <c r="HF41" s="128" t="n">
        <v>5</v>
      </c>
      <c r="HG41" s="128" t="n">
        <v>1</v>
      </c>
      <c r="HH41" s="131" t="s">
        <v>451</v>
      </c>
      <c r="HI41" s="131" t="s">
        <v>410</v>
      </c>
      <c r="HJ41" s="131" t="s">
        <v>452</v>
      </c>
      <c r="HK41" s="131" t="s">
        <v>453</v>
      </c>
      <c r="HL41" s="131" t="s">
        <v>389</v>
      </c>
      <c r="HM41" s="128" t="n">
        <v>5</v>
      </c>
      <c r="HN41" s="128" t="n">
        <v>1</v>
      </c>
      <c r="HO41" s="131" t="s">
        <v>451</v>
      </c>
      <c r="HP41" s="131" t="s">
        <v>410</v>
      </c>
      <c r="HQ41" s="131" t="s">
        <v>452</v>
      </c>
      <c r="HR41" s="131" t="s">
        <v>453</v>
      </c>
      <c r="HS41" s="131" t="s">
        <v>389</v>
      </c>
      <c r="HT41" s="131"/>
      <c r="HU41" s="128"/>
      <c r="HV41" s="131"/>
      <c r="HW41" s="131"/>
      <c r="HX41" s="131"/>
      <c r="HY41" s="131"/>
      <c r="HZ41" s="131"/>
    </row>
    <row r="42" customFormat="false" ht="12.8" hidden="true" customHeight="false" outlineLevel="0" collapsed="false">
      <c r="A42" s="36" t="s">
        <v>52</v>
      </c>
      <c r="B42" s="35" t="s">
        <v>113</v>
      </c>
      <c r="C42" s="34" t="s">
        <v>151</v>
      </c>
      <c r="D42" s="35" t="s">
        <v>154</v>
      </c>
      <c r="E42" s="34" t="s">
        <v>87</v>
      </c>
      <c r="F42" s="35" t="s">
        <v>126</v>
      </c>
      <c r="G42" s="154" t="s">
        <v>649</v>
      </c>
      <c r="H42" s="148" t="s">
        <v>92</v>
      </c>
      <c r="I42" s="150"/>
      <c r="J42" s="150"/>
      <c r="K42" s="128" t="n">
        <v>3500</v>
      </c>
      <c r="L42" s="18" t="n">
        <v>4</v>
      </c>
      <c r="M42" s="18" t="n">
        <f aca="false">IF(AD42,1,0)+IF(AK42,1,0)+AN42+AU42+BB42+BI42+BP42+BW42+CD42+CK42+CR42+CY42+DF42+DM42+DT42+EA42+EH42+EO42+EV42+FC42+FJ42+FQ42+FX42+GE42+GL42+GS42+GZ42+HG42+HN42+HU42</f>
        <v>0</v>
      </c>
      <c r="N42" s="131"/>
      <c r="O42" s="147" t="n">
        <v>3200</v>
      </c>
      <c r="P42" s="147" t="n">
        <v>1100</v>
      </c>
      <c r="Q42" s="147" t="n">
        <v>0</v>
      </c>
      <c r="R42" s="21" t="s">
        <v>45</v>
      </c>
      <c r="S42" s="18"/>
      <c r="T42" s="18"/>
      <c r="U42" s="18"/>
      <c r="V42" s="18"/>
      <c r="W42" s="18"/>
      <c r="X42" s="18"/>
      <c r="Y42" s="21" t="s">
        <v>541</v>
      </c>
      <c r="Z42" s="18"/>
      <c r="AA42" s="18"/>
      <c r="AB42" s="18"/>
      <c r="AC42" s="131"/>
      <c r="AD42" s="128"/>
      <c r="AE42" s="128"/>
      <c r="AF42" s="128"/>
      <c r="AG42" s="128"/>
      <c r="AH42" s="128"/>
      <c r="AI42" s="147"/>
      <c r="AJ42" s="128"/>
      <c r="AK42" s="128"/>
      <c r="AL42" s="147"/>
      <c r="AM42" s="131"/>
      <c r="AN42" s="128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128" t="n">
        <v>15</v>
      </c>
      <c r="BP42" s="128" t="n">
        <v>1</v>
      </c>
      <c r="BQ42" s="131" t="s">
        <v>396</v>
      </c>
      <c r="BR42" s="131" t="s">
        <v>606</v>
      </c>
      <c r="BS42" s="131" t="s">
        <v>650</v>
      </c>
      <c r="BT42" s="131" t="s">
        <v>605</v>
      </c>
      <c r="BU42" s="131" t="s">
        <v>395</v>
      </c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16"/>
      <c r="CK42" s="16"/>
      <c r="CL42" s="16"/>
      <c r="CM42" s="16"/>
      <c r="CN42" s="16"/>
      <c r="CO42" s="16"/>
      <c r="CP42" s="16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128" t="n">
        <v>15</v>
      </c>
      <c r="DF42" s="128" t="n">
        <v>2</v>
      </c>
      <c r="DG42" s="131" t="s">
        <v>641</v>
      </c>
      <c r="DH42" s="131" t="s">
        <v>642</v>
      </c>
      <c r="DI42" s="131" t="s">
        <v>396</v>
      </c>
      <c r="DJ42" s="131" t="s">
        <v>397</v>
      </c>
      <c r="DK42" s="131" t="s">
        <v>473</v>
      </c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  <c r="FB42" s="128" t="n">
        <v>15</v>
      </c>
      <c r="FC42" s="128" t="n">
        <v>2</v>
      </c>
      <c r="FD42" s="131" t="s">
        <v>643</v>
      </c>
      <c r="FE42" s="131" t="s">
        <v>396</v>
      </c>
      <c r="FF42" s="131" t="s">
        <v>644</v>
      </c>
      <c r="FG42" s="131" t="s">
        <v>606</v>
      </c>
      <c r="FH42" s="131" t="s">
        <v>607</v>
      </c>
      <c r="FI42" s="52"/>
      <c r="FJ42" s="52"/>
      <c r="FK42" s="52"/>
      <c r="FL42" s="52"/>
      <c r="FM42" s="52"/>
      <c r="FN42" s="52"/>
      <c r="FO42" s="52"/>
      <c r="FP42" s="52"/>
      <c r="FQ42" s="52"/>
      <c r="FR42" s="52"/>
      <c r="FS42" s="52"/>
      <c r="FT42" s="52"/>
      <c r="FU42" s="52"/>
      <c r="FV42" s="52"/>
      <c r="FW42" s="52"/>
      <c r="FX42" s="52"/>
      <c r="FY42" s="52"/>
      <c r="FZ42" s="52"/>
      <c r="GA42" s="52"/>
      <c r="GB42" s="52"/>
      <c r="GC42" s="52"/>
      <c r="GD42" s="52"/>
      <c r="GE42" s="52"/>
      <c r="GF42" s="52"/>
      <c r="GG42" s="52"/>
      <c r="GH42" s="52"/>
      <c r="GI42" s="52"/>
      <c r="GJ42" s="52"/>
      <c r="GK42" s="52"/>
      <c r="GL42" s="52"/>
      <c r="GM42" s="52"/>
      <c r="GN42" s="52"/>
      <c r="GO42" s="52"/>
      <c r="GP42" s="52"/>
      <c r="GQ42" s="52"/>
      <c r="GR42" s="52"/>
      <c r="GS42" s="52"/>
      <c r="GT42" s="52"/>
      <c r="GU42" s="52"/>
      <c r="GV42" s="52"/>
      <c r="GW42" s="52"/>
      <c r="GX42" s="52"/>
      <c r="GY42" s="52"/>
      <c r="GZ42" s="52"/>
      <c r="HA42" s="52"/>
      <c r="HB42" s="52"/>
      <c r="HC42" s="52"/>
      <c r="HD42" s="52"/>
      <c r="HE42" s="52"/>
      <c r="HF42" s="39" t="n">
        <v>15</v>
      </c>
      <c r="HG42" s="128" t="n">
        <v>1</v>
      </c>
      <c r="HH42" s="131" t="s">
        <v>643</v>
      </c>
      <c r="HI42" s="131" t="s">
        <v>396</v>
      </c>
      <c r="HJ42" s="131" t="s">
        <v>644</v>
      </c>
      <c r="HK42" s="131" t="s">
        <v>606</v>
      </c>
      <c r="HL42" s="131" t="s">
        <v>607</v>
      </c>
      <c r="HM42" s="52"/>
      <c r="HN42" s="52"/>
      <c r="HO42" s="52"/>
      <c r="HP42" s="52"/>
      <c r="HQ42" s="52"/>
      <c r="HR42" s="52"/>
      <c r="HS42" s="52"/>
      <c r="HT42" s="131"/>
      <c r="HU42" s="128"/>
      <c r="HV42" s="131"/>
      <c r="HW42" s="131"/>
      <c r="HX42" s="131"/>
      <c r="HY42" s="131"/>
      <c r="HZ42" s="131"/>
    </row>
    <row r="43" customFormat="false" ht="12.8" hidden="true" customHeight="false" outlineLevel="0" collapsed="false">
      <c r="A43" s="36" t="s">
        <v>52</v>
      </c>
      <c r="B43" s="35" t="s">
        <v>113</v>
      </c>
      <c r="C43" s="34" t="s">
        <v>151</v>
      </c>
      <c r="D43" s="35" t="s">
        <v>154</v>
      </c>
      <c r="E43" s="34" t="s">
        <v>87</v>
      </c>
      <c r="F43" s="35" t="s">
        <v>126</v>
      </c>
      <c r="G43" s="154" t="s">
        <v>648</v>
      </c>
      <c r="H43" s="150"/>
      <c r="I43" s="150"/>
      <c r="J43" s="150"/>
      <c r="K43" s="128" t="n">
        <v>3500</v>
      </c>
      <c r="L43" s="18" t="n">
        <v>3</v>
      </c>
      <c r="M43" s="18" t="n">
        <f aca="false">IF(AD43,1,0)+IF(AK43,1,0)+AN43+AU43+BB43+BI43+BP43+BW43+CD43+CK43+CR43+CY43+DF43+DM43+DT43+EA43+EH43+EO43+EV43+FC43+FJ43+FQ43+FX43+GE43+GL43+GS43+GZ43+HG43+HN43+HU43</f>
        <v>0</v>
      </c>
      <c r="N43" s="131"/>
      <c r="O43" s="147" t="n">
        <v>450</v>
      </c>
      <c r="P43" s="147" t="n">
        <v>165</v>
      </c>
      <c r="Q43" s="147" t="n">
        <v>18</v>
      </c>
      <c r="R43" s="21" t="s">
        <v>44</v>
      </c>
      <c r="S43" s="18"/>
      <c r="T43" s="18"/>
      <c r="U43" s="18"/>
      <c r="V43" s="18"/>
      <c r="W43" s="18"/>
      <c r="X43" s="18"/>
      <c r="Y43" s="21" t="s">
        <v>541</v>
      </c>
      <c r="Z43" s="18"/>
      <c r="AA43" s="18"/>
      <c r="AB43" s="18"/>
      <c r="AC43" s="131"/>
      <c r="AD43" s="128"/>
      <c r="AE43" s="128"/>
      <c r="AF43" s="128"/>
      <c r="AG43" s="128"/>
      <c r="AH43" s="128"/>
      <c r="AI43" s="147"/>
      <c r="AJ43" s="128"/>
      <c r="AK43" s="128"/>
      <c r="AL43" s="147"/>
      <c r="AM43" s="131"/>
      <c r="AN43" s="128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16"/>
      <c r="CK43" s="16"/>
      <c r="CL43" s="16"/>
      <c r="CM43" s="16"/>
      <c r="CN43" s="16"/>
      <c r="CO43" s="16"/>
      <c r="CP43" s="16"/>
      <c r="CQ43" s="128" t="n">
        <v>5</v>
      </c>
      <c r="CR43" s="128" t="n">
        <v>2</v>
      </c>
      <c r="CS43" s="131" t="s">
        <v>390</v>
      </c>
      <c r="CT43" s="131" t="s">
        <v>391</v>
      </c>
      <c r="CU43" s="131" t="s">
        <v>410</v>
      </c>
      <c r="CV43" s="131" t="s">
        <v>411</v>
      </c>
      <c r="CW43" s="131" t="s">
        <v>415</v>
      </c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2"/>
      <c r="FB43" s="52"/>
      <c r="FC43" s="52"/>
      <c r="FD43" s="52"/>
      <c r="FE43" s="52"/>
      <c r="FF43" s="52"/>
      <c r="FG43" s="52"/>
      <c r="FH43" s="52"/>
      <c r="FI43" s="52"/>
      <c r="FJ43" s="52"/>
      <c r="FK43" s="52"/>
      <c r="FL43" s="52"/>
      <c r="FM43" s="52"/>
      <c r="FN43" s="52"/>
      <c r="FO43" s="52"/>
      <c r="FP43" s="52"/>
      <c r="FQ43" s="52"/>
      <c r="FR43" s="52"/>
      <c r="FS43" s="52"/>
      <c r="FT43" s="52"/>
      <c r="FU43" s="52"/>
      <c r="FV43" s="52"/>
      <c r="FW43" s="52"/>
      <c r="FX43" s="52"/>
      <c r="FY43" s="52"/>
      <c r="FZ43" s="52"/>
      <c r="GA43" s="52"/>
      <c r="GB43" s="52"/>
      <c r="GC43" s="52"/>
      <c r="GD43" s="52"/>
      <c r="GE43" s="52"/>
      <c r="GF43" s="52"/>
      <c r="GG43" s="52"/>
      <c r="GH43" s="52"/>
      <c r="GI43" s="52"/>
      <c r="GJ43" s="52"/>
      <c r="GK43" s="52"/>
      <c r="GL43" s="52"/>
      <c r="GM43" s="52"/>
      <c r="GN43" s="52"/>
      <c r="GO43" s="52"/>
      <c r="GP43" s="52"/>
      <c r="GQ43" s="52"/>
      <c r="GR43" s="52"/>
      <c r="GS43" s="52"/>
      <c r="GT43" s="52"/>
      <c r="GU43" s="52"/>
      <c r="GV43" s="52"/>
      <c r="GW43" s="52"/>
      <c r="GX43" s="52"/>
      <c r="GY43" s="52"/>
      <c r="GZ43" s="52"/>
      <c r="HA43" s="52"/>
      <c r="HB43" s="52"/>
      <c r="HC43" s="52"/>
      <c r="HD43" s="52"/>
      <c r="HE43" s="52"/>
      <c r="HF43" s="128" t="n">
        <v>5</v>
      </c>
      <c r="HG43" s="128" t="n">
        <v>1</v>
      </c>
      <c r="HH43" s="131" t="s">
        <v>451</v>
      </c>
      <c r="HI43" s="131" t="s">
        <v>410</v>
      </c>
      <c r="HJ43" s="131" t="s">
        <v>452</v>
      </c>
      <c r="HK43" s="131" t="s">
        <v>453</v>
      </c>
      <c r="HL43" s="131" t="s">
        <v>389</v>
      </c>
      <c r="HM43" s="128" t="n">
        <v>5</v>
      </c>
      <c r="HN43" s="128" t="n">
        <v>1</v>
      </c>
      <c r="HO43" s="131" t="s">
        <v>451</v>
      </c>
      <c r="HP43" s="131" t="s">
        <v>410</v>
      </c>
      <c r="HQ43" s="131" t="s">
        <v>452</v>
      </c>
      <c r="HR43" s="131" t="s">
        <v>453</v>
      </c>
      <c r="HS43" s="131" t="s">
        <v>389</v>
      </c>
      <c r="HT43" s="131"/>
      <c r="HU43" s="128"/>
      <c r="HV43" s="131"/>
      <c r="HW43" s="131"/>
      <c r="HX43" s="131"/>
      <c r="HY43" s="131"/>
      <c r="HZ43" s="131"/>
    </row>
    <row r="44" customFormat="false" ht="12.8" hidden="true" customHeight="false" outlineLevel="0" collapsed="false">
      <c r="A44" s="16" t="s">
        <v>52</v>
      </c>
      <c r="B44" s="17" t="s">
        <v>113</v>
      </c>
      <c r="C44" s="17" t="s">
        <v>155</v>
      </c>
      <c r="D44" s="16" t="s">
        <v>156</v>
      </c>
      <c r="E44" s="130" t="s">
        <v>89</v>
      </c>
      <c r="F44" s="16" t="s">
        <v>148</v>
      </c>
      <c r="G44" s="154" t="s">
        <v>651</v>
      </c>
      <c r="H44" s="148" t="s">
        <v>92</v>
      </c>
      <c r="I44" s="150"/>
      <c r="J44" s="150"/>
      <c r="K44" s="128" t="n">
        <v>3500</v>
      </c>
      <c r="L44" s="18" t="n">
        <v>5</v>
      </c>
      <c r="M44" s="18" t="n">
        <f aca="false">IF(AD44,1,0)+IF(AK44,1,0)+AN44+AU44+BB44+BI44+BP44+BW44+CD44+CK44+CR44+CY44+DF44+DM44+DT44+EA44+EH44+EO44+EV44+FC44+FJ44+FQ44+FX44+GE44+GL44+GS44+GZ44+HG44+HN44+HU44</f>
        <v>0</v>
      </c>
      <c r="N44" s="131"/>
      <c r="O44" s="147" t="n">
        <v>3000</v>
      </c>
      <c r="P44" s="147" t="n">
        <v>0</v>
      </c>
      <c r="Q44" s="147" t="n">
        <v>1612</v>
      </c>
      <c r="R44" s="21" t="s">
        <v>652</v>
      </c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23" t="s">
        <v>621</v>
      </c>
      <c r="AD44" s="128" t="n">
        <v>20</v>
      </c>
      <c r="AE44" s="128"/>
      <c r="AF44" s="128" t="n">
        <v>90</v>
      </c>
      <c r="AG44" s="128" t="n">
        <v>15</v>
      </c>
      <c r="AH44" s="128"/>
      <c r="AI44" s="147" t="s">
        <v>622</v>
      </c>
      <c r="AJ44" s="128"/>
      <c r="AK44" s="128"/>
      <c r="AL44" s="147"/>
      <c r="AM44" s="131"/>
      <c r="AN44" s="128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16"/>
      <c r="CK44" s="16"/>
      <c r="CL44" s="16"/>
      <c r="CM44" s="16"/>
      <c r="CN44" s="16"/>
      <c r="CO44" s="16"/>
      <c r="CP44" s="16"/>
      <c r="CQ44" s="52"/>
      <c r="CR44" s="52"/>
      <c r="CS44" s="52"/>
      <c r="CT44" s="52"/>
      <c r="CU44" s="52"/>
      <c r="CV44" s="52"/>
      <c r="CW44" s="52"/>
      <c r="CX44" s="128" t="n">
        <v>15</v>
      </c>
      <c r="CY44" s="128" t="n">
        <v>2</v>
      </c>
      <c r="CZ44" s="131" t="s">
        <v>641</v>
      </c>
      <c r="DA44" s="131" t="s">
        <v>642</v>
      </c>
      <c r="DB44" s="131" t="s">
        <v>396</v>
      </c>
      <c r="DC44" s="131" t="s">
        <v>397</v>
      </c>
      <c r="DD44" s="131" t="s">
        <v>473</v>
      </c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2"/>
      <c r="FE44" s="52"/>
      <c r="FF44" s="52"/>
      <c r="FG44" s="52"/>
      <c r="FH44" s="52"/>
      <c r="FI44" s="52"/>
      <c r="FJ44" s="52"/>
      <c r="FK44" s="52"/>
      <c r="FL44" s="52"/>
      <c r="FM44" s="52"/>
      <c r="FN44" s="52"/>
      <c r="FO44" s="52"/>
      <c r="FP44" s="52"/>
      <c r="FQ44" s="52"/>
      <c r="FR44" s="52"/>
      <c r="FS44" s="52"/>
      <c r="FT44" s="52"/>
      <c r="FU44" s="52"/>
      <c r="FV44" s="52"/>
      <c r="FW44" s="128" t="n">
        <v>15</v>
      </c>
      <c r="FX44" s="128" t="n">
        <v>2</v>
      </c>
      <c r="FY44" s="131" t="s">
        <v>641</v>
      </c>
      <c r="FZ44" s="131" t="s">
        <v>642</v>
      </c>
      <c r="GA44" s="131" t="s">
        <v>396</v>
      </c>
      <c r="GB44" s="131" t="s">
        <v>397</v>
      </c>
      <c r="GC44" s="131" t="s">
        <v>473</v>
      </c>
      <c r="GD44" s="52"/>
      <c r="GE44" s="52"/>
      <c r="GF44" s="52"/>
      <c r="GG44" s="52"/>
      <c r="GH44" s="52"/>
      <c r="GI44" s="52"/>
      <c r="GJ44" s="52"/>
      <c r="GK44" s="52"/>
      <c r="GL44" s="52"/>
      <c r="GM44" s="52"/>
      <c r="GN44" s="52"/>
      <c r="GO44" s="52"/>
      <c r="GP44" s="52"/>
      <c r="GQ44" s="52"/>
      <c r="GR44" s="52"/>
      <c r="GS44" s="52"/>
      <c r="GT44" s="52"/>
      <c r="GU44" s="52"/>
      <c r="GV44" s="52"/>
      <c r="GW44" s="52"/>
      <c r="GX44" s="52"/>
      <c r="GY44" s="52"/>
      <c r="GZ44" s="52"/>
      <c r="HA44" s="52"/>
      <c r="HB44" s="52"/>
      <c r="HC44" s="52"/>
      <c r="HD44" s="52"/>
      <c r="HE44" s="52"/>
      <c r="HF44" s="52"/>
      <c r="HG44" s="52"/>
      <c r="HH44" s="52"/>
      <c r="HI44" s="52"/>
      <c r="HJ44" s="52"/>
      <c r="HK44" s="52"/>
      <c r="HL44" s="52"/>
      <c r="HM44" s="39" t="n">
        <v>15</v>
      </c>
      <c r="HN44" s="128" t="n">
        <v>2</v>
      </c>
      <c r="HO44" s="131" t="s">
        <v>643</v>
      </c>
      <c r="HP44" s="131" t="s">
        <v>396</v>
      </c>
      <c r="HQ44" s="131" t="s">
        <v>644</v>
      </c>
      <c r="HR44" s="131" t="s">
        <v>606</v>
      </c>
      <c r="HS44" s="131" t="s">
        <v>607</v>
      </c>
      <c r="HT44" s="131"/>
      <c r="HU44" s="128"/>
      <c r="HV44" s="131"/>
      <c r="HW44" s="131"/>
      <c r="HX44" s="131"/>
      <c r="HY44" s="131"/>
      <c r="HZ44" s="131"/>
    </row>
    <row r="45" customFormat="false" ht="12.8" hidden="true" customHeight="false" outlineLevel="0" collapsed="false">
      <c r="A45" s="16" t="s">
        <v>52</v>
      </c>
      <c r="B45" s="17" t="s">
        <v>113</v>
      </c>
      <c r="C45" s="17" t="s">
        <v>155</v>
      </c>
      <c r="D45" s="16" t="s">
        <v>156</v>
      </c>
      <c r="E45" s="130" t="s">
        <v>89</v>
      </c>
      <c r="F45" s="16" t="s">
        <v>148</v>
      </c>
      <c r="G45" s="154" t="s">
        <v>587</v>
      </c>
      <c r="H45" s="150"/>
      <c r="I45" s="150"/>
      <c r="J45" s="150"/>
      <c r="K45" s="128" t="n">
        <v>3500</v>
      </c>
      <c r="L45" s="18" t="n">
        <v>3</v>
      </c>
      <c r="M45" s="18" t="n">
        <f aca="false">IF(AD45,1,0)+IF(AK45,1,0)+AN45+AU45+BB45+BI45+BP45+BW45+CD45+CK45+CR45+CY45+DF45+DM45+DT45+EA45+EH45+EO45+EV45+FC45+FJ45+FQ45+FX45+GE45+GL45+GS45+GZ45+HG45+HN45+HU45</f>
        <v>0</v>
      </c>
      <c r="N45" s="131"/>
      <c r="O45" s="147" t="n">
        <v>600</v>
      </c>
      <c r="P45" s="147" t="n">
        <v>316</v>
      </c>
      <c r="Q45" s="147" t="n">
        <v>65</v>
      </c>
      <c r="R45" s="21" t="s">
        <v>44</v>
      </c>
      <c r="S45" s="18"/>
      <c r="T45" s="18"/>
      <c r="U45" s="18"/>
      <c r="V45" s="18"/>
      <c r="W45" s="18"/>
      <c r="X45" s="18"/>
      <c r="Y45" s="21" t="s">
        <v>541</v>
      </c>
      <c r="Z45" s="18"/>
      <c r="AA45" s="18"/>
      <c r="AB45" s="18"/>
      <c r="AC45" s="131"/>
      <c r="AD45" s="128"/>
      <c r="AE45" s="128"/>
      <c r="AF45" s="128"/>
      <c r="AG45" s="128"/>
      <c r="AH45" s="128"/>
      <c r="AI45" s="147"/>
      <c r="AJ45" s="128"/>
      <c r="AK45" s="128"/>
      <c r="AL45" s="147"/>
      <c r="AM45" s="131"/>
      <c r="AN45" s="128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16"/>
      <c r="CK45" s="16"/>
      <c r="CL45" s="16"/>
      <c r="CM45" s="16"/>
      <c r="CN45" s="16"/>
      <c r="CO45" s="16"/>
      <c r="CP45" s="16"/>
      <c r="CQ45" s="128" t="n">
        <v>5</v>
      </c>
      <c r="CR45" s="128" t="n">
        <v>2</v>
      </c>
      <c r="CS45" s="131" t="s">
        <v>390</v>
      </c>
      <c r="CT45" s="131" t="s">
        <v>391</v>
      </c>
      <c r="CU45" s="131" t="s">
        <v>410</v>
      </c>
      <c r="CV45" s="131" t="s">
        <v>411</v>
      </c>
      <c r="CW45" s="131" t="s">
        <v>415</v>
      </c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  <c r="EY45" s="52"/>
      <c r="EZ45" s="52"/>
      <c r="FA45" s="52"/>
      <c r="FB45" s="52"/>
      <c r="FC45" s="52"/>
      <c r="FD45" s="52"/>
      <c r="FE45" s="52"/>
      <c r="FF45" s="52"/>
      <c r="FG45" s="52"/>
      <c r="FH45" s="52"/>
      <c r="FI45" s="52"/>
      <c r="FJ45" s="52"/>
      <c r="FK45" s="52"/>
      <c r="FL45" s="52"/>
      <c r="FM45" s="52"/>
      <c r="FN45" s="52"/>
      <c r="FO45" s="52"/>
      <c r="FP45" s="52"/>
      <c r="FQ45" s="52"/>
      <c r="FR45" s="52"/>
      <c r="FS45" s="52"/>
      <c r="FT45" s="52"/>
      <c r="FU45" s="52"/>
      <c r="FV45" s="52"/>
      <c r="FW45" s="52"/>
      <c r="FX45" s="52"/>
      <c r="FY45" s="52"/>
      <c r="FZ45" s="52"/>
      <c r="GA45" s="52"/>
      <c r="GB45" s="52"/>
      <c r="GC45" s="52"/>
      <c r="GD45" s="52"/>
      <c r="GE45" s="52"/>
      <c r="GF45" s="52"/>
      <c r="GG45" s="52"/>
      <c r="GH45" s="52"/>
      <c r="GI45" s="52"/>
      <c r="GJ45" s="52"/>
      <c r="GK45" s="52"/>
      <c r="GL45" s="52"/>
      <c r="GM45" s="52"/>
      <c r="GN45" s="52"/>
      <c r="GO45" s="52"/>
      <c r="GP45" s="52"/>
      <c r="GQ45" s="52"/>
      <c r="GR45" s="52"/>
      <c r="GS45" s="52"/>
      <c r="GT45" s="52"/>
      <c r="GU45" s="52"/>
      <c r="GV45" s="52"/>
      <c r="GW45" s="52"/>
      <c r="GX45" s="52"/>
      <c r="GY45" s="52"/>
      <c r="GZ45" s="52"/>
      <c r="HA45" s="52"/>
      <c r="HB45" s="52"/>
      <c r="HC45" s="52"/>
      <c r="HD45" s="52"/>
      <c r="HE45" s="52"/>
      <c r="HF45" s="128" t="n">
        <v>5</v>
      </c>
      <c r="HG45" s="128" t="n">
        <v>1</v>
      </c>
      <c r="HH45" s="131" t="s">
        <v>451</v>
      </c>
      <c r="HI45" s="131" t="s">
        <v>410</v>
      </c>
      <c r="HJ45" s="131" t="s">
        <v>452</v>
      </c>
      <c r="HK45" s="131" t="s">
        <v>453</v>
      </c>
      <c r="HL45" s="131" t="s">
        <v>389</v>
      </c>
      <c r="HM45" s="39" t="n">
        <v>5</v>
      </c>
      <c r="HN45" s="128" t="n">
        <v>1</v>
      </c>
      <c r="HO45" s="131" t="s">
        <v>451</v>
      </c>
      <c r="HP45" s="131" t="s">
        <v>410</v>
      </c>
      <c r="HQ45" s="131" t="s">
        <v>452</v>
      </c>
      <c r="HR45" s="131" t="s">
        <v>453</v>
      </c>
      <c r="HS45" s="131" t="s">
        <v>389</v>
      </c>
      <c r="HT45" s="131"/>
      <c r="HU45" s="128"/>
      <c r="HV45" s="131"/>
      <c r="HW45" s="131"/>
      <c r="HX45" s="131"/>
      <c r="HY45" s="131"/>
      <c r="HZ45" s="131"/>
    </row>
    <row r="46" customFormat="false" ht="12.8" hidden="true" customHeight="false" outlineLevel="0" collapsed="false">
      <c r="A46" s="16" t="s">
        <v>52</v>
      </c>
      <c r="B46" s="17" t="s">
        <v>158</v>
      </c>
      <c r="C46" s="16" t="s">
        <v>159</v>
      </c>
      <c r="D46" s="16" t="s">
        <v>160</v>
      </c>
      <c r="E46" s="156" t="s">
        <v>89</v>
      </c>
      <c r="F46" s="16" t="s">
        <v>116</v>
      </c>
      <c r="G46" s="154" t="s">
        <v>653</v>
      </c>
      <c r="H46" s="148" t="s">
        <v>92</v>
      </c>
      <c r="I46" s="150"/>
      <c r="J46" s="150"/>
      <c r="K46" s="128" t="n">
        <v>3500</v>
      </c>
      <c r="L46" s="18" t="n">
        <v>6</v>
      </c>
      <c r="M46" s="18" t="n">
        <f aca="false">IF(AD46,1,0)+IF(AK46,1,0)+AN46+AU46+BB46+BI46+BP46+BW46+CD46+CK46+CR46+CY46+DF46+DM46+DT46+EA46+EH46+EO46+EV46+FC46+FJ46+FQ46+FX46+GE46+GL46+GS46+GZ46+HG46+HN46+HU46</f>
        <v>0</v>
      </c>
      <c r="N46" s="131"/>
      <c r="O46" s="147" t="n">
        <v>3171</v>
      </c>
      <c r="P46" s="147" t="n">
        <v>0</v>
      </c>
      <c r="Q46" s="147" t="n">
        <v>951</v>
      </c>
      <c r="R46" s="21" t="s">
        <v>46</v>
      </c>
      <c r="S46" s="18"/>
      <c r="T46" s="18"/>
      <c r="U46" s="21" t="s">
        <v>541</v>
      </c>
      <c r="V46" s="18"/>
      <c r="W46" s="18"/>
      <c r="X46" s="18"/>
      <c r="Y46" s="18"/>
      <c r="Z46" s="18"/>
      <c r="AA46" s="18"/>
      <c r="AB46" s="18"/>
      <c r="AC46" s="23" t="s">
        <v>654</v>
      </c>
      <c r="AD46" s="128" t="n">
        <v>15</v>
      </c>
      <c r="AE46" s="128"/>
      <c r="AF46" s="128" t="n">
        <v>90</v>
      </c>
      <c r="AG46" s="128" t="n">
        <v>8</v>
      </c>
      <c r="AH46" s="128"/>
      <c r="AI46" s="147" t="s">
        <v>655</v>
      </c>
      <c r="AJ46" s="128"/>
      <c r="AK46" s="128"/>
      <c r="AL46" s="147"/>
      <c r="AM46" s="131"/>
      <c r="AN46" s="128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128" t="n">
        <v>10</v>
      </c>
      <c r="BP46" s="128" t="n">
        <v>1</v>
      </c>
      <c r="BQ46" s="131" t="s">
        <v>383</v>
      </c>
      <c r="BR46" s="131" t="s">
        <v>574</v>
      </c>
      <c r="BS46" s="131" t="s">
        <v>467</v>
      </c>
      <c r="BT46" s="131" t="s">
        <v>468</v>
      </c>
      <c r="BU46" s="131" t="s">
        <v>380</v>
      </c>
      <c r="BV46" s="128" t="n">
        <v>10</v>
      </c>
      <c r="BW46" s="128" t="n">
        <v>1</v>
      </c>
      <c r="BX46" s="131" t="s">
        <v>399</v>
      </c>
      <c r="BY46" s="131" t="s">
        <v>615</v>
      </c>
      <c r="BZ46" s="131" t="s">
        <v>380</v>
      </c>
      <c r="CA46" s="131" t="s">
        <v>596</v>
      </c>
      <c r="CB46" s="131" t="s">
        <v>597</v>
      </c>
      <c r="CC46" s="131"/>
      <c r="CD46" s="128"/>
      <c r="CE46" s="131"/>
      <c r="CF46" s="131"/>
      <c r="CG46" s="131"/>
      <c r="CH46" s="131"/>
      <c r="CI46" s="131"/>
      <c r="CJ46" s="16"/>
      <c r="CK46" s="16"/>
      <c r="CL46" s="16"/>
      <c r="CM46" s="16"/>
      <c r="CN46" s="16"/>
      <c r="CO46" s="16"/>
      <c r="CP46" s="16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128" t="n">
        <v>10</v>
      </c>
      <c r="DF46" s="128" t="n">
        <v>2</v>
      </c>
      <c r="DG46" s="131" t="s">
        <v>381</v>
      </c>
      <c r="DH46" s="131" t="s">
        <v>382</v>
      </c>
      <c r="DI46" s="131" t="s">
        <v>383</v>
      </c>
      <c r="DJ46" s="131" t="s">
        <v>384</v>
      </c>
      <c r="DK46" s="131" t="s">
        <v>399</v>
      </c>
      <c r="DL46" s="52"/>
      <c r="DM46" s="52"/>
      <c r="DN46" s="52"/>
      <c r="DO46" s="52"/>
      <c r="DP46" s="52"/>
      <c r="DQ46" s="52"/>
      <c r="DR46" s="52"/>
      <c r="DS46" s="52"/>
      <c r="DT46" s="52"/>
      <c r="DU46" s="52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F46" s="52"/>
      <c r="EG46" s="52"/>
      <c r="EH46" s="52"/>
      <c r="EI46" s="52"/>
      <c r="EJ46" s="52"/>
      <c r="EK46" s="52"/>
      <c r="EL46" s="52"/>
      <c r="EM46" s="52"/>
      <c r="EN46" s="128" t="n">
        <v>10</v>
      </c>
      <c r="EO46" s="128" t="n">
        <v>1</v>
      </c>
      <c r="EP46" s="131" t="s">
        <v>383</v>
      </c>
      <c r="EQ46" s="131" t="s">
        <v>574</v>
      </c>
      <c r="ER46" s="131" t="s">
        <v>467</v>
      </c>
      <c r="ES46" s="131" t="s">
        <v>468</v>
      </c>
      <c r="ET46" s="131" t="s">
        <v>380</v>
      </c>
      <c r="EU46" s="52"/>
      <c r="EV46" s="52"/>
      <c r="EW46" s="52"/>
      <c r="EX46" s="52"/>
      <c r="EY46" s="52"/>
      <c r="EZ46" s="52"/>
      <c r="FA46" s="52"/>
      <c r="FB46" s="128" t="n">
        <v>10</v>
      </c>
      <c r="FC46" s="128" t="n">
        <v>2</v>
      </c>
      <c r="FD46" s="131" t="s">
        <v>572</v>
      </c>
      <c r="FE46" s="131" t="s">
        <v>383</v>
      </c>
      <c r="FF46" s="131" t="s">
        <v>573</v>
      </c>
      <c r="FG46" s="131" t="s">
        <v>574</v>
      </c>
      <c r="FH46" s="131" t="s">
        <v>378</v>
      </c>
      <c r="FI46" s="131"/>
      <c r="FJ46" s="131"/>
      <c r="FK46" s="131"/>
      <c r="FL46" s="131"/>
      <c r="FM46" s="131"/>
      <c r="FN46" s="131"/>
      <c r="FO46" s="131"/>
      <c r="FP46" s="52"/>
      <c r="FQ46" s="52"/>
      <c r="FR46" s="52"/>
      <c r="FS46" s="52"/>
      <c r="FT46" s="52"/>
      <c r="FU46" s="52"/>
      <c r="FV46" s="52"/>
      <c r="FW46" s="52"/>
      <c r="FX46" s="52"/>
      <c r="FY46" s="52"/>
      <c r="FZ46" s="52"/>
      <c r="GA46" s="52"/>
      <c r="GB46" s="52"/>
      <c r="GC46" s="52"/>
      <c r="GD46" s="128" t="n">
        <v>10</v>
      </c>
      <c r="GE46" s="128" t="n">
        <v>1</v>
      </c>
      <c r="GF46" s="131" t="s">
        <v>381</v>
      </c>
      <c r="GG46" s="131" t="s">
        <v>382</v>
      </c>
      <c r="GH46" s="131" t="s">
        <v>383</v>
      </c>
      <c r="GI46" s="131" t="s">
        <v>384</v>
      </c>
      <c r="GJ46" s="131" t="s">
        <v>399</v>
      </c>
      <c r="GK46" s="131"/>
      <c r="GL46" s="131"/>
      <c r="GM46" s="131"/>
      <c r="GN46" s="131"/>
      <c r="GO46" s="131"/>
      <c r="GP46" s="131"/>
      <c r="GQ46" s="131"/>
      <c r="GR46" s="52"/>
      <c r="GS46" s="52"/>
      <c r="GT46" s="52"/>
      <c r="GU46" s="52"/>
      <c r="GV46" s="52"/>
      <c r="GW46" s="52"/>
      <c r="GX46" s="52"/>
      <c r="GY46" s="52"/>
      <c r="GZ46" s="52"/>
      <c r="HA46" s="52"/>
      <c r="HB46" s="52"/>
      <c r="HC46" s="52"/>
      <c r="HD46" s="52"/>
      <c r="HE46" s="52"/>
      <c r="HF46" s="52"/>
      <c r="HG46" s="52"/>
      <c r="HH46" s="52"/>
      <c r="HI46" s="52"/>
      <c r="HJ46" s="52"/>
      <c r="HK46" s="52"/>
      <c r="HL46" s="52"/>
      <c r="HM46" s="52"/>
      <c r="HN46" s="52"/>
      <c r="HO46" s="52"/>
      <c r="HP46" s="52"/>
      <c r="HQ46" s="52"/>
      <c r="HR46" s="52"/>
      <c r="HS46" s="52"/>
      <c r="HT46" s="131"/>
      <c r="HU46" s="128"/>
      <c r="HV46" s="131"/>
      <c r="HW46" s="131"/>
      <c r="HX46" s="131"/>
      <c r="HY46" s="131"/>
      <c r="HZ46" s="131"/>
    </row>
    <row r="47" customFormat="false" ht="12.8" hidden="true" customHeight="false" outlineLevel="0" collapsed="false">
      <c r="A47" s="16" t="s">
        <v>52</v>
      </c>
      <c r="B47" s="17" t="s">
        <v>158</v>
      </c>
      <c r="C47" s="16" t="s">
        <v>159</v>
      </c>
      <c r="D47" s="16" t="s">
        <v>160</v>
      </c>
      <c r="E47" s="156" t="s">
        <v>89</v>
      </c>
      <c r="F47" s="16" t="s">
        <v>116</v>
      </c>
      <c r="G47" s="154" t="s">
        <v>656</v>
      </c>
      <c r="H47" s="150"/>
      <c r="I47" s="150"/>
      <c r="J47" s="150"/>
      <c r="K47" s="128" t="n">
        <v>3500</v>
      </c>
      <c r="L47" s="18" t="n">
        <v>3</v>
      </c>
      <c r="M47" s="18" t="n">
        <f aca="false">IF(AD47,1,0)+IF(AK47,1,0)+AN47+AU47+BB47+BI47+BP47+BW47+CD47+CK47+CR47+CY47+DF47+DM47+DT47+EA47+EH47+EO47+EV47+FC47+FJ47+FQ47+FX47+GE47+GL47+GS47+GZ47+HG47+HN47+HU47</f>
        <v>0</v>
      </c>
      <c r="N47" s="131"/>
      <c r="O47" s="147" t="n">
        <v>900</v>
      </c>
      <c r="P47" s="147" t="n">
        <v>1194</v>
      </c>
      <c r="Q47" s="147" t="n">
        <v>0</v>
      </c>
      <c r="R47" s="21" t="s">
        <v>44</v>
      </c>
      <c r="S47" s="18"/>
      <c r="T47" s="18"/>
      <c r="U47" s="18"/>
      <c r="V47" s="18"/>
      <c r="W47" s="18"/>
      <c r="X47" s="18"/>
      <c r="Y47" s="21" t="s">
        <v>541</v>
      </c>
      <c r="Z47" s="21" t="s">
        <v>541</v>
      </c>
      <c r="AA47" s="18"/>
      <c r="AB47" s="18"/>
      <c r="AC47" s="131"/>
      <c r="AD47" s="128"/>
      <c r="AE47" s="128"/>
      <c r="AF47" s="128"/>
      <c r="AG47" s="128"/>
      <c r="AH47" s="128"/>
      <c r="AI47" s="147"/>
      <c r="AJ47" s="128"/>
      <c r="AK47" s="128"/>
      <c r="AL47" s="147"/>
      <c r="AM47" s="131"/>
      <c r="AN47" s="128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52"/>
      <c r="BB47" s="52"/>
      <c r="BC47" s="52"/>
      <c r="BD47" s="52"/>
      <c r="BE47" s="52"/>
      <c r="BF47" s="52"/>
      <c r="BG47" s="52"/>
      <c r="BH47" s="128" t="n">
        <v>5</v>
      </c>
      <c r="BI47" s="128" t="n">
        <v>1</v>
      </c>
      <c r="BJ47" s="131" t="s">
        <v>657</v>
      </c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16"/>
      <c r="CK47" s="16"/>
      <c r="CL47" s="16"/>
      <c r="CM47" s="16"/>
      <c r="CN47" s="16"/>
      <c r="CO47" s="16"/>
      <c r="CP47" s="16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2"/>
      <c r="FB47" s="128" t="n">
        <v>5</v>
      </c>
      <c r="FC47" s="128" t="n">
        <v>2</v>
      </c>
      <c r="FD47" s="131" t="s">
        <v>451</v>
      </c>
      <c r="FE47" s="131" t="s">
        <v>410</v>
      </c>
      <c r="FF47" s="131" t="s">
        <v>452</v>
      </c>
      <c r="FG47" s="131" t="s">
        <v>453</v>
      </c>
      <c r="FH47" s="131" t="s">
        <v>389</v>
      </c>
      <c r="FI47" s="131"/>
      <c r="FJ47" s="131"/>
      <c r="FK47" s="131"/>
      <c r="FL47" s="131"/>
      <c r="FM47" s="131"/>
      <c r="FN47" s="131"/>
      <c r="FO47" s="131"/>
      <c r="FP47" s="52"/>
      <c r="FQ47" s="52"/>
      <c r="FR47" s="52"/>
      <c r="FS47" s="52"/>
      <c r="FT47" s="52"/>
      <c r="FU47" s="52"/>
      <c r="FV47" s="52"/>
      <c r="FW47" s="52"/>
      <c r="FX47" s="52"/>
      <c r="FY47" s="52"/>
      <c r="FZ47" s="52"/>
      <c r="GA47" s="52"/>
      <c r="GB47" s="52"/>
      <c r="GC47" s="52"/>
      <c r="GD47" s="52"/>
      <c r="GE47" s="52"/>
      <c r="GF47" s="52"/>
      <c r="GG47" s="52"/>
      <c r="GH47" s="52"/>
      <c r="GI47" s="52"/>
      <c r="GJ47" s="52"/>
      <c r="GK47" s="52"/>
      <c r="GL47" s="52"/>
      <c r="GM47" s="52"/>
      <c r="GN47" s="52"/>
      <c r="GO47" s="52"/>
      <c r="GP47" s="52"/>
      <c r="GQ47" s="52"/>
      <c r="GR47" s="52"/>
      <c r="GS47" s="52"/>
      <c r="GT47" s="52"/>
      <c r="GU47" s="52"/>
      <c r="GV47" s="52"/>
      <c r="GW47" s="52"/>
      <c r="GX47" s="52"/>
      <c r="GY47" s="52"/>
      <c r="GZ47" s="52"/>
      <c r="HA47" s="52"/>
      <c r="HB47" s="52"/>
      <c r="HC47" s="52"/>
      <c r="HD47" s="52"/>
      <c r="HE47" s="52"/>
      <c r="HF47" s="128" t="n">
        <v>5</v>
      </c>
      <c r="HG47" s="128" t="n">
        <v>1</v>
      </c>
      <c r="HH47" s="131" t="s">
        <v>451</v>
      </c>
      <c r="HI47" s="131" t="s">
        <v>410</v>
      </c>
      <c r="HJ47" s="131" t="s">
        <v>452</v>
      </c>
      <c r="HK47" s="131" t="s">
        <v>453</v>
      </c>
      <c r="HL47" s="131" t="s">
        <v>389</v>
      </c>
      <c r="HM47" s="52"/>
      <c r="HN47" s="52"/>
      <c r="HO47" s="52"/>
      <c r="HP47" s="52"/>
      <c r="HQ47" s="52"/>
      <c r="HR47" s="52"/>
      <c r="HS47" s="52"/>
      <c r="HT47" s="131"/>
      <c r="HU47" s="128"/>
      <c r="HV47" s="131"/>
      <c r="HW47" s="131"/>
      <c r="HX47" s="131"/>
      <c r="HY47" s="131"/>
      <c r="HZ47" s="131"/>
    </row>
    <row r="48" customFormat="false" ht="12.8" hidden="true" customHeight="false" outlineLevel="0" collapsed="false">
      <c r="A48" s="16" t="s">
        <v>52</v>
      </c>
      <c r="B48" s="16" t="s">
        <v>158</v>
      </c>
      <c r="C48" s="16" t="s">
        <v>159</v>
      </c>
      <c r="D48" s="16" t="s">
        <v>161</v>
      </c>
      <c r="E48" s="156" t="s">
        <v>87</v>
      </c>
      <c r="F48" s="16" t="s">
        <v>126</v>
      </c>
      <c r="G48" s="154" t="s">
        <v>656</v>
      </c>
      <c r="H48" s="150"/>
      <c r="I48" s="150"/>
      <c r="J48" s="150"/>
      <c r="K48" s="128" t="n">
        <v>3500</v>
      </c>
      <c r="L48" s="18"/>
      <c r="M48" s="18" t="n">
        <f aca="false">IF(AD48,1,0)+IF(AK48,1,0)+AN48+AU48+BB48+BI48+BP48+BW48+CD48+CK48+CR48+CY48+DF48+DM48+DT48+EA48+EH48+EO48+EV48+FC48+FJ48+FQ48+FX48+GE48+GL48+GS48+GZ48+HG48+HN48+HU48</f>
        <v>0</v>
      </c>
      <c r="N48" s="131"/>
      <c r="O48" s="147"/>
      <c r="P48" s="147"/>
      <c r="Q48" s="147"/>
      <c r="R48" s="12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31"/>
      <c r="AD48" s="128"/>
      <c r="AE48" s="128"/>
      <c r="AF48" s="128"/>
      <c r="AG48" s="128"/>
      <c r="AH48" s="128"/>
      <c r="AI48" s="147"/>
      <c r="AJ48" s="128"/>
      <c r="AK48" s="128"/>
      <c r="AL48" s="147"/>
      <c r="AM48" s="131"/>
      <c r="AN48" s="128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52"/>
      <c r="BB48" s="52"/>
      <c r="BC48" s="52"/>
      <c r="BD48" s="52"/>
      <c r="BE48" s="52"/>
      <c r="BF48" s="52"/>
      <c r="BG48" s="52"/>
      <c r="BH48" s="128" t="n">
        <v>5</v>
      </c>
      <c r="BI48" s="128" t="n">
        <v>1</v>
      </c>
      <c r="BJ48" s="131" t="s">
        <v>657</v>
      </c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16"/>
      <c r="CK48" s="16"/>
      <c r="CL48" s="16"/>
      <c r="CM48" s="16"/>
      <c r="CN48" s="16"/>
      <c r="CO48" s="16"/>
      <c r="CP48" s="16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2"/>
      <c r="DV48" s="52"/>
      <c r="DW48" s="52"/>
      <c r="DX48" s="52"/>
      <c r="DY48" s="52"/>
      <c r="DZ48" s="52"/>
      <c r="EA48" s="52"/>
      <c r="EB48" s="52"/>
      <c r="EC48" s="52"/>
      <c r="ED48" s="52"/>
      <c r="EE48" s="52"/>
      <c r="EF48" s="52"/>
      <c r="EG48" s="52"/>
      <c r="EH48" s="52"/>
      <c r="EI48" s="52"/>
      <c r="EJ48" s="52"/>
      <c r="EK48" s="52"/>
      <c r="EL48" s="52"/>
      <c r="EM48" s="52"/>
      <c r="EN48" s="52"/>
      <c r="EO48" s="52"/>
      <c r="EP48" s="52"/>
      <c r="EQ48" s="52"/>
      <c r="ER48" s="52"/>
      <c r="ES48" s="52"/>
      <c r="ET48" s="52"/>
      <c r="EU48" s="52"/>
      <c r="EV48" s="52"/>
      <c r="EW48" s="52"/>
      <c r="EX48" s="52"/>
      <c r="EY48" s="52"/>
      <c r="EZ48" s="52"/>
      <c r="FA48" s="52"/>
      <c r="FB48" s="52"/>
      <c r="FC48" s="52"/>
      <c r="FD48" s="52"/>
      <c r="FE48" s="52"/>
      <c r="FF48" s="52"/>
      <c r="FG48" s="52"/>
      <c r="FH48" s="52"/>
      <c r="FI48" s="52"/>
      <c r="FJ48" s="52"/>
      <c r="FK48" s="52"/>
      <c r="FL48" s="52"/>
      <c r="FM48" s="52"/>
      <c r="FN48" s="52"/>
      <c r="FO48" s="52"/>
      <c r="FP48" s="52"/>
      <c r="FQ48" s="52"/>
      <c r="FR48" s="52"/>
      <c r="FS48" s="52"/>
      <c r="FT48" s="52"/>
      <c r="FU48" s="52"/>
      <c r="FV48" s="52"/>
      <c r="FW48" s="52"/>
      <c r="FX48" s="52"/>
      <c r="FY48" s="52"/>
      <c r="FZ48" s="52"/>
      <c r="GA48" s="52"/>
      <c r="GB48" s="52"/>
      <c r="GC48" s="52"/>
      <c r="GD48" s="52"/>
      <c r="GE48" s="52"/>
      <c r="GF48" s="52"/>
      <c r="GG48" s="52"/>
      <c r="GH48" s="52"/>
      <c r="GI48" s="52"/>
      <c r="GJ48" s="52"/>
      <c r="GK48" s="52"/>
      <c r="GL48" s="52"/>
      <c r="GM48" s="52"/>
      <c r="GN48" s="52"/>
      <c r="GO48" s="52"/>
      <c r="GP48" s="52"/>
      <c r="GQ48" s="52"/>
      <c r="GR48" s="52"/>
      <c r="GS48" s="52"/>
      <c r="GT48" s="52"/>
      <c r="GU48" s="52"/>
      <c r="GV48" s="52"/>
      <c r="GW48" s="52"/>
      <c r="GX48" s="52"/>
      <c r="GY48" s="52"/>
      <c r="GZ48" s="52"/>
      <c r="HA48" s="52"/>
      <c r="HB48" s="52"/>
      <c r="HC48" s="52"/>
      <c r="HD48" s="52"/>
      <c r="HE48" s="52"/>
      <c r="HF48" s="52"/>
      <c r="HG48" s="52"/>
      <c r="HH48" s="52"/>
      <c r="HI48" s="52"/>
      <c r="HJ48" s="52"/>
      <c r="HK48" s="52"/>
      <c r="HL48" s="52"/>
      <c r="HM48" s="52"/>
      <c r="HN48" s="52"/>
      <c r="HO48" s="52"/>
      <c r="HP48" s="52"/>
      <c r="HQ48" s="52"/>
      <c r="HR48" s="52"/>
      <c r="HS48" s="52"/>
      <c r="HT48" s="131"/>
      <c r="HU48" s="128"/>
      <c r="HV48" s="131"/>
      <c r="HW48" s="131"/>
      <c r="HX48" s="131"/>
      <c r="HY48" s="131"/>
      <c r="HZ48" s="131"/>
    </row>
    <row r="49" customFormat="false" ht="12.8" hidden="true" customHeight="false" outlineLevel="0" collapsed="false">
      <c r="A49" s="16" t="s">
        <v>52</v>
      </c>
      <c r="B49" s="16" t="s">
        <v>158</v>
      </c>
      <c r="C49" s="16" t="s">
        <v>159</v>
      </c>
      <c r="D49" s="16" t="s">
        <v>162</v>
      </c>
      <c r="E49" s="156" t="s">
        <v>88</v>
      </c>
      <c r="F49" s="16" t="s">
        <v>163</v>
      </c>
      <c r="G49" s="154" t="s">
        <v>656</v>
      </c>
      <c r="H49" s="150"/>
      <c r="I49" s="150"/>
      <c r="J49" s="150"/>
      <c r="K49" s="128" t="n">
        <v>3500</v>
      </c>
      <c r="L49" s="18"/>
      <c r="M49" s="18" t="n">
        <f aca="false">IF(AD49,1,0)+IF(AK49,1,0)+AN49+AU49+BB49+BI49+BP49+BW49+CD49+CK49+CR49+CY49+DF49+DM49+DT49+EA49+EH49+EO49+EV49+FC49+FJ49+FQ49+FX49+GE49+GL49+GS49+GZ49+HG49+HN49+HU49</f>
        <v>0</v>
      </c>
      <c r="N49" s="131"/>
      <c r="O49" s="147"/>
      <c r="P49" s="147"/>
      <c r="Q49" s="147"/>
      <c r="R49" s="12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31"/>
      <c r="AD49" s="128"/>
      <c r="AE49" s="128"/>
      <c r="AF49" s="128"/>
      <c r="AG49" s="128"/>
      <c r="AH49" s="128"/>
      <c r="AI49" s="147"/>
      <c r="AJ49" s="128"/>
      <c r="AK49" s="128"/>
      <c r="AL49" s="147"/>
      <c r="AM49" s="131"/>
      <c r="AN49" s="128"/>
      <c r="AO49" s="131"/>
      <c r="AP49" s="131"/>
      <c r="AQ49" s="131"/>
      <c r="AR49" s="131"/>
      <c r="AS49" s="131"/>
      <c r="AT49" s="131"/>
      <c r="AU49" s="131"/>
      <c r="AV49" s="131"/>
      <c r="AW49" s="131"/>
      <c r="AX49" s="131"/>
      <c r="AY49" s="131"/>
      <c r="AZ49" s="131"/>
      <c r="BA49" s="52"/>
      <c r="BB49" s="52"/>
      <c r="BC49" s="52"/>
      <c r="BD49" s="52"/>
      <c r="BE49" s="52"/>
      <c r="BF49" s="52"/>
      <c r="BG49" s="52"/>
      <c r="BH49" s="128" t="n">
        <v>5</v>
      </c>
      <c r="BI49" s="128" t="n">
        <v>1</v>
      </c>
      <c r="BJ49" s="131" t="s">
        <v>657</v>
      </c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16"/>
      <c r="CK49" s="16"/>
      <c r="CL49" s="16"/>
      <c r="CM49" s="16"/>
      <c r="CN49" s="16"/>
      <c r="CO49" s="16"/>
      <c r="CP49" s="16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  <c r="EM49" s="52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52"/>
      <c r="EZ49" s="52"/>
      <c r="FA49" s="52"/>
      <c r="FB49" s="52"/>
      <c r="FC49" s="52"/>
      <c r="FD49" s="52"/>
      <c r="FE49" s="52"/>
      <c r="FF49" s="52"/>
      <c r="FG49" s="52"/>
      <c r="FH49" s="52"/>
      <c r="FI49" s="52"/>
      <c r="FJ49" s="52"/>
      <c r="FK49" s="52"/>
      <c r="FL49" s="52"/>
      <c r="FM49" s="52"/>
      <c r="FN49" s="52"/>
      <c r="FO49" s="52"/>
      <c r="FP49" s="52"/>
      <c r="FQ49" s="52"/>
      <c r="FR49" s="52"/>
      <c r="FS49" s="52"/>
      <c r="FT49" s="52"/>
      <c r="FU49" s="52"/>
      <c r="FV49" s="52"/>
      <c r="FW49" s="52"/>
      <c r="FX49" s="52"/>
      <c r="FY49" s="52"/>
      <c r="FZ49" s="52"/>
      <c r="GA49" s="52"/>
      <c r="GB49" s="52"/>
      <c r="GC49" s="52"/>
      <c r="GD49" s="52"/>
      <c r="GE49" s="52"/>
      <c r="GF49" s="52"/>
      <c r="GG49" s="52"/>
      <c r="GH49" s="52"/>
      <c r="GI49" s="52"/>
      <c r="GJ49" s="52"/>
      <c r="GK49" s="52"/>
      <c r="GL49" s="52"/>
      <c r="GM49" s="52"/>
      <c r="GN49" s="52"/>
      <c r="GO49" s="52"/>
      <c r="GP49" s="52"/>
      <c r="GQ49" s="52"/>
      <c r="GR49" s="52"/>
      <c r="GS49" s="52"/>
      <c r="GT49" s="52"/>
      <c r="GU49" s="52"/>
      <c r="GV49" s="52"/>
      <c r="GW49" s="52"/>
      <c r="GX49" s="52"/>
      <c r="GY49" s="52"/>
      <c r="GZ49" s="52"/>
      <c r="HA49" s="52"/>
      <c r="HB49" s="52"/>
      <c r="HC49" s="52"/>
      <c r="HD49" s="52"/>
      <c r="HE49" s="52"/>
      <c r="HF49" s="52"/>
      <c r="HG49" s="52"/>
      <c r="HH49" s="52"/>
      <c r="HI49" s="52"/>
      <c r="HJ49" s="52"/>
      <c r="HK49" s="52"/>
      <c r="HL49" s="52"/>
      <c r="HM49" s="52"/>
      <c r="HN49" s="52"/>
      <c r="HO49" s="52"/>
      <c r="HP49" s="52"/>
      <c r="HQ49" s="52"/>
      <c r="HR49" s="52"/>
      <c r="HS49" s="52"/>
      <c r="HT49" s="131"/>
      <c r="HU49" s="128"/>
      <c r="HV49" s="131"/>
      <c r="HW49" s="131"/>
      <c r="HX49" s="131"/>
      <c r="HY49" s="131"/>
      <c r="HZ49" s="131"/>
    </row>
    <row r="50" customFormat="false" ht="12.8" hidden="true" customHeight="false" outlineLevel="0" collapsed="false">
      <c r="A50" s="16" t="s">
        <v>52</v>
      </c>
      <c r="B50" s="16" t="s">
        <v>158</v>
      </c>
      <c r="C50" s="16" t="s">
        <v>164</v>
      </c>
      <c r="D50" s="16" t="s">
        <v>161</v>
      </c>
      <c r="E50" s="156" t="s">
        <v>89</v>
      </c>
      <c r="F50" s="16" t="s">
        <v>165</v>
      </c>
      <c r="G50" s="154" t="s">
        <v>658</v>
      </c>
      <c r="H50" s="16"/>
      <c r="I50" s="150"/>
      <c r="J50" s="150"/>
      <c r="K50" s="128" t="n">
        <v>3500</v>
      </c>
      <c r="L50" s="18" t="n">
        <v>6</v>
      </c>
      <c r="M50" s="18" t="n">
        <f aca="false">IF(AD50,1,0)+IF(AK50,1,0)+AN50+AU50+BB50+BI50+BP50+BW50+CD50+CK50+CR50+CY50+DF50+DM50+DT50+EA50+EH50+EO50+EV50+FC50+FJ50+FQ50+FX50+GE50+GL50+GS50+GZ50+HG50+HN50+HU50</f>
        <v>0</v>
      </c>
      <c r="N50" s="131"/>
      <c r="O50" s="147" t="n">
        <v>1350</v>
      </c>
      <c r="P50" s="147" t="n">
        <v>540</v>
      </c>
      <c r="Q50" s="147" t="n">
        <v>148</v>
      </c>
      <c r="R50" s="21" t="s">
        <v>45</v>
      </c>
      <c r="S50" s="18"/>
      <c r="T50" s="18"/>
      <c r="U50" s="18"/>
      <c r="V50" s="18"/>
      <c r="W50" s="18"/>
      <c r="X50" s="18"/>
      <c r="Y50" s="21" t="s">
        <v>541</v>
      </c>
      <c r="Z50" s="18"/>
      <c r="AA50" s="18"/>
      <c r="AB50" s="18"/>
      <c r="AC50" s="23" t="s">
        <v>654</v>
      </c>
      <c r="AD50" s="128" t="n">
        <v>12</v>
      </c>
      <c r="AE50" s="128"/>
      <c r="AF50" s="128" t="n">
        <v>90</v>
      </c>
      <c r="AG50" s="128" t="n">
        <v>8</v>
      </c>
      <c r="AH50" s="128"/>
      <c r="AI50" s="147" t="s">
        <v>655</v>
      </c>
      <c r="AJ50" s="128"/>
      <c r="AK50" s="128"/>
      <c r="AL50" s="147"/>
      <c r="AM50" s="131"/>
      <c r="AN50" s="128"/>
      <c r="AO50" s="131"/>
      <c r="AP50" s="131"/>
      <c r="AQ50" s="131"/>
      <c r="AR50" s="131"/>
      <c r="AS50" s="131"/>
      <c r="AT50" s="131"/>
      <c r="AU50" s="131"/>
      <c r="AV50" s="131"/>
      <c r="AW50" s="131"/>
      <c r="AX50" s="131"/>
      <c r="AY50" s="131"/>
      <c r="AZ50" s="131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128" t="n">
        <v>8</v>
      </c>
      <c r="BP50" s="128" t="n">
        <v>1</v>
      </c>
      <c r="BQ50" s="131" t="s">
        <v>410</v>
      </c>
      <c r="BR50" s="131" t="s">
        <v>453</v>
      </c>
      <c r="BS50" s="131" t="s">
        <v>467</v>
      </c>
      <c r="BT50" s="131" t="s">
        <v>468</v>
      </c>
      <c r="BU50" s="131" t="s">
        <v>380</v>
      </c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16"/>
      <c r="CK50" s="16"/>
      <c r="CL50" s="16"/>
      <c r="CM50" s="16"/>
      <c r="CN50" s="16"/>
      <c r="CO50" s="16"/>
      <c r="CP50" s="16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128" t="n">
        <v>8</v>
      </c>
      <c r="DF50" s="128" t="n">
        <v>2</v>
      </c>
      <c r="DG50" s="131" t="s">
        <v>390</v>
      </c>
      <c r="DH50" s="131" t="s">
        <v>391</v>
      </c>
      <c r="DI50" s="131" t="s">
        <v>383</v>
      </c>
      <c r="DJ50" s="131" t="s">
        <v>384</v>
      </c>
      <c r="DK50" s="131" t="s">
        <v>399</v>
      </c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52"/>
      <c r="ED50" s="52"/>
      <c r="EE50" s="52"/>
      <c r="EF50" s="52"/>
      <c r="EG50" s="52"/>
      <c r="EH50" s="52"/>
      <c r="EI50" s="52"/>
      <c r="EJ50" s="52"/>
      <c r="EK50" s="52"/>
      <c r="EL50" s="52"/>
      <c r="EM50" s="52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2"/>
      <c r="EZ50" s="52"/>
      <c r="FA50" s="52"/>
      <c r="FB50" s="128" t="n">
        <v>8</v>
      </c>
      <c r="FC50" s="128" t="n">
        <v>2</v>
      </c>
      <c r="FD50" s="131" t="s">
        <v>451</v>
      </c>
      <c r="FE50" s="131" t="s">
        <v>410</v>
      </c>
      <c r="FF50" s="131" t="s">
        <v>573</v>
      </c>
      <c r="FG50" s="131" t="s">
        <v>574</v>
      </c>
      <c r="FH50" s="131" t="s">
        <v>378</v>
      </c>
      <c r="FI50" s="131"/>
      <c r="FJ50" s="131"/>
      <c r="FK50" s="131"/>
      <c r="FL50" s="131"/>
      <c r="FM50" s="131"/>
      <c r="FN50" s="131"/>
      <c r="FO50" s="131"/>
      <c r="FP50" s="52"/>
      <c r="FQ50" s="52"/>
      <c r="FR50" s="52"/>
      <c r="FS50" s="52"/>
      <c r="FT50" s="52"/>
      <c r="FU50" s="52"/>
      <c r="FV50" s="52"/>
      <c r="FW50" s="52"/>
      <c r="FX50" s="52"/>
      <c r="FY50" s="52"/>
      <c r="FZ50" s="52"/>
      <c r="GA50" s="52"/>
      <c r="GB50" s="52"/>
      <c r="GC50" s="52"/>
      <c r="GD50" s="52"/>
      <c r="GE50" s="52"/>
      <c r="GF50" s="52"/>
      <c r="GG50" s="52"/>
      <c r="GH50" s="52"/>
      <c r="GI50" s="52"/>
      <c r="GJ50" s="52"/>
      <c r="GK50" s="52"/>
      <c r="GL50" s="52"/>
      <c r="GM50" s="52"/>
      <c r="GN50" s="52"/>
      <c r="GO50" s="52"/>
      <c r="GP50" s="52"/>
      <c r="GQ50" s="52"/>
      <c r="GR50" s="52"/>
      <c r="GS50" s="52"/>
      <c r="GT50" s="52"/>
      <c r="GU50" s="52"/>
      <c r="GV50" s="52"/>
      <c r="GW50" s="52"/>
      <c r="GX50" s="52"/>
      <c r="GY50" s="52"/>
      <c r="GZ50" s="52"/>
      <c r="HA50" s="52"/>
      <c r="HB50" s="52"/>
      <c r="HC50" s="52"/>
      <c r="HD50" s="52"/>
      <c r="HE50" s="52"/>
      <c r="HF50" s="128" t="n">
        <v>8</v>
      </c>
      <c r="HG50" s="128" t="n">
        <v>2</v>
      </c>
      <c r="HH50" s="131" t="s">
        <v>451</v>
      </c>
      <c r="HI50" s="131" t="s">
        <v>410</v>
      </c>
      <c r="HJ50" s="131" t="s">
        <v>573</v>
      </c>
      <c r="HK50" s="131" t="s">
        <v>574</v>
      </c>
      <c r="HL50" s="131" t="s">
        <v>378</v>
      </c>
      <c r="HM50" s="52"/>
      <c r="HN50" s="52"/>
      <c r="HO50" s="52"/>
      <c r="HP50" s="52"/>
      <c r="HQ50" s="52"/>
      <c r="HR50" s="52"/>
      <c r="HS50" s="52"/>
      <c r="HT50" s="131"/>
      <c r="HU50" s="128"/>
      <c r="HV50" s="131"/>
      <c r="HW50" s="131"/>
      <c r="HX50" s="131"/>
      <c r="HY50" s="131"/>
      <c r="HZ50" s="131"/>
    </row>
    <row r="51" customFormat="false" ht="12.8" hidden="true" customHeight="false" outlineLevel="0" collapsed="false">
      <c r="A51" s="16" t="s">
        <v>52</v>
      </c>
      <c r="B51" s="16" t="s">
        <v>158</v>
      </c>
      <c r="C51" s="16" t="s">
        <v>164</v>
      </c>
      <c r="D51" s="16" t="s">
        <v>161</v>
      </c>
      <c r="E51" s="156" t="s">
        <v>89</v>
      </c>
      <c r="F51" s="16" t="s">
        <v>165</v>
      </c>
      <c r="G51" s="154" t="s">
        <v>656</v>
      </c>
      <c r="H51" s="17" t="s">
        <v>92</v>
      </c>
      <c r="I51" s="150"/>
      <c r="J51" s="150"/>
      <c r="K51" s="128" t="n">
        <v>3500</v>
      </c>
      <c r="L51" s="18" t="n">
        <v>6</v>
      </c>
      <c r="M51" s="18" t="n">
        <f aca="false">IF(AD51,1,0)+IF(AK51,1,0)+AN51+AU51+BB51+BI51+BP51+BW51+CD51+CK51+CR51+CY51+DF51+DM51+DT51+EA51+EH51+EO51+EV51+FC51+FJ51+FQ51+FX51+GE51+GL51+GS51+GZ51+HG51+HN51+HU51</f>
        <v>0</v>
      </c>
      <c r="N51" s="131"/>
      <c r="O51" s="147" t="n">
        <v>1285</v>
      </c>
      <c r="P51" s="147" t="n">
        <v>899</v>
      </c>
      <c r="Q51" s="147" t="n">
        <v>180</v>
      </c>
      <c r="R51" s="21" t="s">
        <v>44</v>
      </c>
      <c r="S51" s="18"/>
      <c r="T51" s="18"/>
      <c r="U51" s="18"/>
      <c r="V51" s="18"/>
      <c r="W51" s="18"/>
      <c r="X51" s="18"/>
      <c r="Y51" s="21" t="s">
        <v>541</v>
      </c>
      <c r="Z51" s="18"/>
      <c r="AA51" s="18"/>
      <c r="AB51" s="18"/>
      <c r="AC51" s="23" t="s">
        <v>654</v>
      </c>
      <c r="AD51" s="128" t="n">
        <v>8</v>
      </c>
      <c r="AE51" s="128"/>
      <c r="AF51" s="128" t="n">
        <v>90</v>
      </c>
      <c r="AG51" s="128" t="n">
        <v>8</v>
      </c>
      <c r="AH51" s="128"/>
      <c r="AI51" s="147" t="s">
        <v>655</v>
      </c>
      <c r="AJ51" s="128"/>
      <c r="AK51" s="128"/>
      <c r="AL51" s="147"/>
      <c r="AM51" s="131"/>
      <c r="AN51" s="128"/>
      <c r="AO51" s="131"/>
      <c r="AP51" s="131"/>
      <c r="AQ51" s="131"/>
      <c r="AR51" s="131"/>
      <c r="AS51" s="131"/>
      <c r="AT51" s="131"/>
      <c r="AU51" s="131"/>
      <c r="AV51" s="131"/>
      <c r="AW51" s="131"/>
      <c r="AX51" s="131"/>
      <c r="AY51" s="131"/>
      <c r="AZ51" s="131"/>
      <c r="BA51" s="128" t="n">
        <v>5</v>
      </c>
      <c r="BB51" s="128" t="n">
        <v>1</v>
      </c>
      <c r="BC51" s="131" t="s">
        <v>659</v>
      </c>
      <c r="BD51" s="131" t="s">
        <v>660</v>
      </c>
      <c r="BE51" s="131" t="s">
        <v>661</v>
      </c>
      <c r="BF51" s="131" t="s">
        <v>662</v>
      </c>
      <c r="BG51" s="131" t="s">
        <v>390</v>
      </c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16"/>
      <c r="CK51" s="16"/>
      <c r="CL51" s="16"/>
      <c r="CM51" s="16"/>
      <c r="CN51" s="16"/>
      <c r="CO51" s="16"/>
      <c r="CP51" s="16"/>
      <c r="CQ51" s="128" t="n">
        <v>5</v>
      </c>
      <c r="CR51" s="128" t="n">
        <v>2</v>
      </c>
      <c r="CS51" s="131" t="s">
        <v>390</v>
      </c>
      <c r="CT51" s="131" t="s">
        <v>391</v>
      </c>
      <c r="CU51" s="131" t="s">
        <v>410</v>
      </c>
      <c r="CV51" s="131" t="s">
        <v>411</v>
      </c>
      <c r="CW51" s="131" t="s">
        <v>415</v>
      </c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/>
      <c r="DY51" s="52"/>
      <c r="DZ51" s="52"/>
      <c r="EA51" s="52"/>
      <c r="EB51" s="52"/>
      <c r="EC51" s="52"/>
      <c r="ED51" s="52"/>
      <c r="EE51" s="52"/>
      <c r="EF51" s="52"/>
      <c r="EG51" s="52"/>
      <c r="EH51" s="52"/>
      <c r="EI51" s="52"/>
      <c r="EJ51" s="52"/>
      <c r="EK51" s="52"/>
      <c r="EL51" s="52"/>
      <c r="EM51" s="52"/>
      <c r="EN51" s="52"/>
      <c r="EO51" s="52"/>
      <c r="EP51" s="52"/>
      <c r="EQ51" s="52"/>
      <c r="ER51" s="52"/>
      <c r="ES51" s="52"/>
      <c r="ET51" s="52"/>
      <c r="EU51" s="52"/>
      <c r="EV51" s="52"/>
      <c r="EW51" s="52"/>
      <c r="EX51" s="52"/>
      <c r="EY51" s="52"/>
      <c r="EZ51" s="52"/>
      <c r="FA51" s="52"/>
      <c r="FB51" s="128" t="n">
        <v>5</v>
      </c>
      <c r="FC51" s="128" t="n">
        <v>2</v>
      </c>
      <c r="FD51" s="131" t="s">
        <v>451</v>
      </c>
      <c r="FE51" s="131" t="s">
        <v>410</v>
      </c>
      <c r="FF51" s="131" t="s">
        <v>452</v>
      </c>
      <c r="FG51" s="131" t="s">
        <v>453</v>
      </c>
      <c r="FH51" s="131" t="s">
        <v>389</v>
      </c>
      <c r="FI51" s="131"/>
      <c r="FJ51" s="131"/>
      <c r="FK51" s="131"/>
      <c r="FL51" s="131"/>
      <c r="FM51" s="131"/>
      <c r="FN51" s="131"/>
      <c r="FO51" s="131"/>
      <c r="FP51" s="52"/>
      <c r="FQ51" s="52"/>
      <c r="FR51" s="52"/>
      <c r="FS51" s="52"/>
      <c r="FT51" s="52"/>
      <c r="FU51" s="52"/>
      <c r="FV51" s="52"/>
      <c r="FW51" s="52"/>
      <c r="FX51" s="52"/>
      <c r="FY51" s="52"/>
      <c r="FZ51" s="52"/>
      <c r="GA51" s="52"/>
      <c r="GB51" s="52"/>
      <c r="GC51" s="52"/>
      <c r="GD51" s="52"/>
      <c r="GE51" s="52"/>
      <c r="GF51" s="52"/>
      <c r="GG51" s="52"/>
      <c r="GH51" s="52"/>
      <c r="GI51" s="52"/>
      <c r="GJ51" s="52"/>
      <c r="GK51" s="52"/>
      <c r="GL51" s="52"/>
      <c r="GM51" s="52"/>
      <c r="GN51" s="52"/>
      <c r="GO51" s="52"/>
      <c r="GP51" s="52"/>
      <c r="GQ51" s="52"/>
      <c r="GR51" s="52"/>
      <c r="GS51" s="52"/>
      <c r="GT51" s="52"/>
      <c r="GU51" s="52"/>
      <c r="GV51" s="52"/>
      <c r="GW51" s="52"/>
      <c r="GX51" s="52"/>
      <c r="GY51" s="52"/>
      <c r="GZ51" s="52"/>
      <c r="HA51" s="52"/>
      <c r="HB51" s="52"/>
      <c r="HC51" s="52"/>
      <c r="HD51" s="52"/>
      <c r="HE51" s="52"/>
      <c r="HF51" s="52"/>
      <c r="HG51" s="52"/>
      <c r="HH51" s="52"/>
      <c r="HI51" s="52"/>
      <c r="HJ51" s="52"/>
      <c r="HK51" s="52"/>
      <c r="HL51" s="52"/>
      <c r="HM51" s="39" t="n">
        <v>5</v>
      </c>
      <c r="HN51" s="128" t="n">
        <v>2</v>
      </c>
      <c r="HO51" s="131" t="s">
        <v>451</v>
      </c>
      <c r="HP51" s="131" t="s">
        <v>410</v>
      </c>
      <c r="HQ51" s="131" t="s">
        <v>452</v>
      </c>
      <c r="HR51" s="131" t="s">
        <v>453</v>
      </c>
      <c r="HS51" s="131" t="s">
        <v>389</v>
      </c>
      <c r="HT51" s="131"/>
      <c r="HU51" s="128"/>
      <c r="HV51" s="131"/>
      <c r="HW51" s="131"/>
      <c r="HX51" s="131"/>
      <c r="HY51" s="131"/>
      <c r="HZ51" s="131"/>
    </row>
    <row r="52" customFormat="false" ht="12.8" hidden="true" customHeight="false" outlineLevel="0" collapsed="false">
      <c r="A52" s="16" t="s">
        <v>52</v>
      </c>
      <c r="B52" s="16" t="s">
        <v>158</v>
      </c>
      <c r="C52" s="16" t="s">
        <v>164</v>
      </c>
      <c r="D52" s="16" t="s">
        <v>166</v>
      </c>
      <c r="E52" s="156" t="s">
        <v>87</v>
      </c>
      <c r="F52" s="16" t="s">
        <v>109</v>
      </c>
      <c r="G52" s="154"/>
      <c r="H52" s="150"/>
      <c r="I52" s="150"/>
      <c r="J52" s="150"/>
      <c r="K52" s="128" t="n">
        <v>3500</v>
      </c>
      <c r="L52" s="18"/>
      <c r="M52" s="18" t="n">
        <f aca="false">IF(AD52,1,0)+IF(AK52,1,0)+AN52+AU52+BB52+BI52+BP52+BW52+CD52+CK52+CR52+CY52+DF52+DM52+DT52+EA52+EH52+EO52+EV52+FC52+FJ52+FQ52+FX52+GE52+GL52+GS52+GZ52+HG52+HN52+HU52</f>
        <v>0</v>
      </c>
      <c r="N52" s="131"/>
      <c r="O52" s="147"/>
      <c r="P52" s="147"/>
      <c r="Q52" s="147"/>
      <c r="R52" s="12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31"/>
      <c r="AD52" s="128"/>
      <c r="AE52" s="128"/>
      <c r="AF52" s="128"/>
      <c r="AG52" s="128"/>
      <c r="AH52" s="128"/>
      <c r="AI52" s="147"/>
      <c r="AJ52" s="128"/>
      <c r="AK52" s="128"/>
      <c r="AL52" s="147"/>
      <c r="AM52" s="131"/>
      <c r="AN52" s="128"/>
      <c r="AO52" s="131"/>
      <c r="AP52" s="131"/>
      <c r="AQ52" s="131"/>
      <c r="AR52" s="131"/>
      <c r="AS52" s="131"/>
      <c r="AT52" s="131"/>
      <c r="AU52" s="131"/>
      <c r="AV52" s="131"/>
      <c r="AW52" s="131"/>
      <c r="AX52" s="131"/>
      <c r="AY52" s="131"/>
      <c r="AZ52" s="131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16"/>
      <c r="CK52" s="16"/>
      <c r="CL52" s="16"/>
      <c r="CM52" s="16"/>
      <c r="CN52" s="16"/>
      <c r="CO52" s="16"/>
      <c r="CP52" s="16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2"/>
      <c r="DX52" s="52"/>
      <c r="DY52" s="52"/>
      <c r="DZ52" s="52"/>
      <c r="EA52" s="52"/>
      <c r="EB52" s="52"/>
      <c r="EC52" s="52"/>
      <c r="ED52" s="52"/>
      <c r="EE52" s="52"/>
      <c r="EF52" s="52"/>
      <c r="EG52" s="52"/>
      <c r="EH52" s="52"/>
      <c r="EI52" s="52"/>
      <c r="EJ52" s="52"/>
      <c r="EK52" s="52"/>
      <c r="EL52" s="52"/>
      <c r="EM52" s="52"/>
      <c r="EN52" s="52"/>
      <c r="EO52" s="52"/>
      <c r="EP52" s="52"/>
      <c r="EQ52" s="52"/>
      <c r="ER52" s="52"/>
      <c r="ES52" s="52"/>
      <c r="ET52" s="52"/>
      <c r="EU52" s="52"/>
      <c r="EV52" s="52"/>
      <c r="EW52" s="52"/>
      <c r="EX52" s="52"/>
      <c r="EY52" s="52"/>
      <c r="EZ52" s="52"/>
      <c r="FA52" s="52"/>
      <c r="FB52" s="52"/>
      <c r="FC52" s="52"/>
      <c r="FD52" s="52"/>
      <c r="FE52" s="52"/>
      <c r="FF52" s="52"/>
      <c r="FG52" s="52"/>
      <c r="FH52" s="52"/>
      <c r="FI52" s="52"/>
      <c r="FJ52" s="52"/>
      <c r="FK52" s="52"/>
      <c r="FL52" s="52"/>
      <c r="FM52" s="52"/>
      <c r="FN52" s="52"/>
      <c r="FO52" s="52"/>
      <c r="FP52" s="52"/>
      <c r="FQ52" s="52"/>
      <c r="FR52" s="52"/>
      <c r="FS52" s="52"/>
      <c r="FT52" s="52"/>
      <c r="FU52" s="52"/>
      <c r="FV52" s="52"/>
      <c r="FW52" s="52"/>
      <c r="FX52" s="52"/>
      <c r="FY52" s="52"/>
      <c r="FZ52" s="52"/>
      <c r="GA52" s="52"/>
      <c r="GB52" s="52"/>
      <c r="GC52" s="52"/>
      <c r="GD52" s="52"/>
      <c r="GE52" s="52"/>
      <c r="GF52" s="52"/>
      <c r="GG52" s="52"/>
      <c r="GH52" s="52"/>
      <c r="GI52" s="52"/>
      <c r="GJ52" s="52"/>
      <c r="GK52" s="52"/>
      <c r="GL52" s="52"/>
      <c r="GM52" s="52"/>
      <c r="GN52" s="52"/>
      <c r="GO52" s="52"/>
      <c r="GP52" s="52"/>
      <c r="GQ52" s="52"/>
      <c r="GR52" s="52"/>
      <c r="GS52" s="52"/>
      <c r="GT52" s="52"/>
      <c r="GU52" s="52"/>
      <c r="GV52" s="52"/>
      <c r="GW52" s="52"/>
      <c r="GX52" s="52"/>
      <c r="GY52" s="52"/>
      <c r="GZ52" s="52"/>
      <c r="HA52" s="52"/>
      <c r="HB52" s="52"/>
      <c r="HC52" s="52"/>
      <c r="HD52" s="52"/>
      <c r="HE52" s="52"/>
      <c r="HF52" s="52"/>
      <c r="HG52" s="52"/>
      <c r="HH52" s="52"/>
      <c r="HI52" s="52"/>
      <c r="HJ52" s="52"/>
      <c r="HK52" s="52"/>
      <c r="HL52" s="52"/>
      <c r="HM52" s="52"/>
      <c r="HN52" s="52"/>
      <c r="HO52" s="52"/>
      <c r="HP52" s="52"/>
      <c r="HQ52" s="52"/>
      <c r="HR52" s="52"/>
      <c r="HS52" s="52"/>
      <c r="HT52" s="131"/>
      <c r="HU52" s="128"/>
      <c r="HV52" s="131"/>
      <c r="HW52" s="131"/>
      <c r="HX52" s="131"/>
      <c r="HY52" s="131"/>
      <c r="HZ52" s="131"/>
    </row>
    <row r="53" customFormat="false" ht="12.8" hidden="true" customHeight="false" outlineLevel="0" collapsed="false">
      <c r="A53" s="16" t="s">
        <v>52</v>
      </c>
      <c r="B53" s="16" t="s">
        <v>158</v>
      </c>
      <c r="C53" s="16" t="s">
        <v>164</v>
      </c>
      <c r="D53" s="16" t="s">
        <v>167</v>
      </c>
      <c r="E53" s="156" t="s">
        <v>88</v>
      </c>
      <c r="F53" s="16" t="s">
        <v>163</v>
      </c>
      <c r="G53" s="154" t="s">
        <v>645</v>
      </c>
      <c r="H53" s="17" t="s">
        <v>92</v>
      </c>
      <c r="I53" s="150"/>
      <c r="J53" s="150"/>
      <c r="K53" s="128" t="n">
        <v>3500</v>
      </c>
      <c r="L53" s="18" t="n">
        <v>6</v>
      </c>
      <c r="M53" s="18" t="n">
        <f aca="false">IF(AD53,1,0)+IF(AK53,1,0)+AN53+AU53+BB53+BI53+BP53+BW53+CD53+CK53+CR53+CY53+DF53+DM53+DT53+EA53+EH53+EO53+EV53+FC53+FJ53+FQ53+FX53+GE53+GL53+GS53+GZ53+HG53+HN53+HU53</f>
        <v>0</v>
      </c>
      <c r="N53" s="131"/>
      <c r="O53" s="147" t="n">
        <v>1200</v>
      </c>
      <c r="P53" s="147" t="n">
        <v>480</v>
      </c>
      <c r="Q53" s="147" t="n">
        <v>120</v>
      </c>
      <c r="R53" s="21" t="s">
        <v>44</v>
      </c>
      <c r="S53" s="18"/>
      <c r="T53" s="18"/>
      <c r="U53" s="18"/>
      <c r="V53" s="18"/>
      <c r="W53" s="18"/>
      <c r="X53" s="18"/>
      <c r="Y53" s="21" t="s">
        <v>541</v>
      </c>
      <c r="Z53" s="18"/>
      <c r="AA53" s="18"/>
      <c r="AB53" s="18"/>
      <c r="AC53" s="23" t="s">
        <v>663</v>
      </c>
      <c r="AD53" s="128" t="n">
        <v>8</v>
      </c>
      <c r="AE53" s="128"/>
      <c r="AF53" s="128" t="n">
        <v>30</v>
      </c>
      <c r="AG53" s="128" t="n">
        <v>25</v>
      </c>
      <c r="AH53" s="128"/>
      <c r="AI53" s="147" t="s">
        <v>664</v>
      </c>
      <c r="AJ53" s="128"/>
      <c r="AK53" s="128"/>
      <c r="AL53" s="147"/>
      <c r="AM53" s="131"/>
      <c r="AN53" s="128"/>
      <c r="AO53" s="131"/>
      <c r="AP53" s="131"/>
      <c r="AQ53" s="131"/>
      <c r="AR53" s="131"/>
      <c r="AS53" s="131"/>
      <c r="AT53" s="131"/>
      <c r="AU53" s="131"/>
      <c r="AV53" s="131"/>
      <c r="AW53" s="131"/>
      <c r="AX53" s="131"/>
      <c r="AY53" s="131"/>
      <c r="AZ53" s="131"/>
      <c r="BA53" s="128" t="n">
        <v>5</v>
      </c>
      <c r="BB53" s="128" t="n">
        <v>1</v>
      </c>
      <c r="BC53" s="131" t="s">
        <v>665</v>
      </c>
      <c r="BD53" s="131"/>
      <c r="BE53" s="131"/>
      <c r="BF53" s="131"/>
      <c r="BG53" s="131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16"/>
      <c r="CK53" s="16"/>
      <c r="CL53" s="16"/>
      <c r="CM53" s="16"/>
      <c r="CN53" s="16"/>
      <c r="CO53" s="16"/>
      <c r="CP53" s="16"/>
      <c r="CQ53" s="128" t="n">
        <v>5</v>
      </c>
      <c r="CR53" s="128" t="n">
        <v>2</v>
      </c>
      <c r="CS53" s="131" t="s">
        <v>390</v>
      </c>
      <c r="CT53" s="131" t="s">
        <v>391</v>
      </c>
      <c r="CU53" s="131" t="s">
        <v>410</v>
      </c>
      <c r="CV53" s="131" t="s">
        <v>411</v>
      </c>
      <c r="CW53" s="131" t="s">
        <v>415</v>
      </c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2"/>
      <c r="DU53" s="52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F53" s="52"/>
      <c r="EG53" s="52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2"/>
      <c r="ES53" s="52"/>
      <c r="ET53" s="52"/>
      <c r="EU53" s="52"/>
      <c r="EV53" s="52"/>
      <c r="EW53" s="52"/>
      <c r="EX53" s="52"/>
      <c r="EY53" s="52"/>
      <c r="EZ53" s="52"/>
      <c r="FA53" s="52"/>
      <c r="FB53" s="128" t="n">
        <v>5</v>
      </c>
      <c r="FC53" s="128" t="n">
        <v>2</v>
      </c>
      <c r="FD53" s="131" t="s">
        <v>451</v>
      </c>
      <c r="FE53" s="131" t="s">
        <v>410</v>
      </c>
      <c r="FF53" s="131" t="s">
        <v>452</v>
      </c>
      <c r="FG53" s="131" t="s">
        <v>453</v>
      </c>
      <c r="FH53" s="131" t="s">
        <v>389</v>
      </c>
      <c r="FI53" s="131"/>
      <c r="FJ53" s="131"/>
      <c r="FK53" s="131"/>
      <c r="FL53" s="131"/>
      <c r="FM53" s="131"/>
      <c r="FN53" s="131"/>
      <c r="FO53" s="131"/>
      <c r="FP53" s="52"/>
      <c r="FQ53" s="52"/>
      <c r="FR53" s="52"/>
      <c r="FS53" s="52"/>
      <c r="FT53" s="52"/>
      <c r="FU53" s="52"/>
      <c r="FV53" s="52"/>
      <c r="FW53" s="52"/>
      <c r="FX53" s="52"/>
      <c r="FY53" s="52"/>
      <c r="FZ53" s="52"/>
      <c r="GA53" s="52"/>
      <c r="GB53" s="52"/>
      <c r="GC53" s="52"/>
      <c r="GD53" s="52"/>
      <c r="GE53" s="52"/>
      <c r="GF53" s="52"/>
      <c r="GG53" s="52"/>
      <c r="GH53" s="52"/>
      <c r="GI53" s="52"/>
      <c r="GJ53" s="52"/>
      <c r="GK53" s="52"/>
      <c r="GL53" s="52"/>
      <c r="GM53" s="52"/>
      <c r="GN53" s="52"/>
      <c r="GO53" s="52"/>
      <c r="GP53" s="52"/>
      <c r="GQ53" s="52"/>
      <c r="GR53" s="52"/>
      <c r="GS53" s="52"/>
      <c r="GT53" s="52"/>
      <c r="GU53" s="52"/>
      <c r="GV53" s="52"/>
      <c r="GW53" s="52"/>
      <c r="GX53" s="52"/>
      <c r="GY53" s="52"/>
      <c r="GZ53" s="52"/>
      <c r="HA53" s="52"/>
      <c r="HB53" s="52"/>
      <c r="HC53" s="52"/>
      <c r="HD53" s="52"/>
      <c r="HE53" s="52"/>
      <c r="HF53" s="52"/>
      <c r="HG53" s="52"/>
      <c r="HH53" s="52"/>
      <c r="HI53" s="52"/>
      <c r="HJ53" s="52"/>
      <c r="HK53" s="52"/>
      <c r="HL53" s="52"/>
      <c r="HM53" s="39" t="n">
        <v>5</v>
      </c>
      <c r="HN53" s="128" t="n">
        <v>2</v>
      </c>
      <c r="HO53" s="131" t="s">
        <v>451</v>
      </c>
      <c r="HP53" s="131" t="s">
        <v>410</v>
      </c>
      <c r="HQ53" s="131" t="s">
        <v>452</v>
      </c>
      <c r="HR53" s="131" t="s">
        <v>453</v>
      </c>
      <c r="HS53" s="131" t="s">
        <v>389</v>
      </c>
      <c r="HT53" s="131"/>
      <c r="HU53" s="128"/>
      <c r="HV53" s="131"/>
      <c r="HW53" s="131"/>
      <c r="HX53" s="131"/>
      <c r="HY53" s="131"/>
      <c r="HZ53" s="131"/>
    </row>
    <row r="54" customFormat="false" ht="12.8" hidden="true" customHeight="false" outlineLevel="0" collapsed="false">
      <c r="A54" s="16" t="s">
        <v>52</v>
      </c>
      <c r="B54" s="16" t="s">
        <v>158</v>
      </c>
      <c r="C54" s="16" t="s">
        <v>164</v>
      </c>
      <c r="D54" s="16" t="s">
        <v>167</v>
      </c>
      <c r="E54" s="156" t="s">
        <v>88</v>
      </c>
      <c r="F54" s="16" t="s">
        <v>163</v>
      </c>
      <c r="G54" s="154" t="s">
        <v>658</v>
      </c>
      <c r="H54" s="150"/>
      <c r="I54" s="150"/>
      <c r="J54" s="150"/>
      <c r="K54" s="128" t="n">
        <v>3500</v>
      </c>
      <c r="L54" s="18" t="n">
        <v>6</v>
      </c>
      <c r="M54" s="18" t="n">
        <f aca="false">IF(AD54,1,0)+IF(AK54,1,0)+AN54+AU54+BB54+BI54+BP54+BW54+CD54+CK54+CR54+CY54+DF54+DM54+DT54+EA54+EH54+EO54+EV54+FC54+FJ54+FQ54+FX54+GE54+GL54+GS54+GZ54+HG54+HN54+HU54</f>
        <v>0</v>
      </c>
      <c r="N54" s="131"/>
      <c r="O54" s="147" t="n">
        <v>830</v>
      </c>
      <c r="P54" s="147" t="n">
        <v>1017</v>
      </c>
      <c r="Q54" s="147" t="n">
        <v>0</v>
      </c>
      <c r="R54" s="21" t="s">
        <v>45</v>
      </c>
      <c r="S54" s="18"/>
      <c r="T54" s="18"/>
      <c r="U54" s="18"/>
      <c r="V54" s="18"/>
      <c r="W54" s="18"/>
      <c r="X54" s="18"/>
      <c r="Y54" s="21" t="s">
        <v>541</v>
      </c>
      <c r="Z54" s="21" t="s">
        <v>541</v>
      </c>
      <c r="AA54" s="18"/>
      <c r="AB54" s="18"/>
      <c r="AC54" s="131"/>
      <c r="AD54" s="128"/>
      <c r="AE54" s="128"/>
      <c r="AF54" s="128"/>
      <c r="AG54" s="128"/>
      <c r="AH54" s="128"/>
      <c r="AI54" s="147"/>
      <c r="AJ54" s="128"/>
      <c r="AK54" s="128"/>
      <c r="AL54" s="147"/>
      <c r="AM54" s="131"/>
      <c r="AN54" s="128"/>
      <c r="AO54" s="131"/>
      <c r="AP54" s="131"/>
      <c r="AQ54" s="131"/>
      <c r="AR54" s="131"/>
      <c r="AS54" s="131"/>
      <c r="AT54" s="131"/>
      <c r="AU54" s="131"/>
      <c r="AV54" s="131"/>
      <c r="AW54" s="131"/>
      <c r="AX54" s="131"/>
      <c r="AY54" s="131"/>
      <c r="AZ54" s="131"/>
      <c r="BA54" s="52"/>
      <c r="BB54" s="52"/>
      <c r="BC54" s="52"/>
      <c r="BD54" s="52"/>
      <c r="BE54" s="52"/>
      <c r="BF54" s="52"/>
      <c r="BG54" s="52"/>
      <c r="BH54" s="128" t="n">
        <v>8</v>
      </c>
      <c r="BI54" s="128" t="n">
        <v>1</v>
      </c>
      <c r="BJ54" s="131" t="s">
        <v>666</v>
      </c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16"/>
      <c r="CK54" s="16"/>
      <c r="CL54" s="16"/>
      <c r="CM54" s="16"/>
      <c r="CN54" s="16"/>
      <c r="CO54" s="16"/>
      <c r="CP54" s="16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128" t="n">
        <v>8</v>
      </c>
      <c r="DF54" s="128" t="n">
        <v>2</v>
      </c>
      <c r="DG54" s="131" t="s">
        <v>390</v>
      </c>
      <c r="DH54" s="131" t="s">
        <v>391</v>
      </c>
      <c r="DI54" s="131" t="s">
        <v>383</v>
      </c>
      <c r="DJ54" s="131" t="s">
        <v>384</v>
      </c>
      <c r="DK54" s="131" t="s">
        <v>399</v>
      </c>
      <c r="DL54" s="52"/>
      <c r="DM54" s="52"/>
      <c r="DN54" s="52"/>
      <c r="DO54" s="52"/>
      <c r="DP54" s="52"/>
      <c r="DQ54" s="52"/>
      <c r="DR54" s="52"/>
      <c r="DS54" s="52"/>
      <c r="DT54" s="52"/>
      <c r="DU54" s="52"/>
      <c r="DV54" s="52"/>
      <c r="DW54" s="52"/>
      <c r="DX54" s="52"/>
      <c r="DY54" s="52"/>
      <c r="DZ54" s="52"/>
      <c r="EA54" s="52"/>
      <c r="EB54" s="52"/>
      <c r="EC54" s="52"/>
      <c r="ED54" s="52"/>
      <c r="EE54" s="52"/>
      <c r="EF54" s="52"/>
      <c r="EG54" s="52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2"/>
      <c r="ES54" s="52"/>
      <c r="ET54" s="52"/>
      <c r="EU54" s="52"/>
      <c r="EV54" s="52"/>
      <c r="EW54" s="52"/>
      <c r="EX54" s="52"/>
      <c r="EY54" s="52"/>
      <c r="EZ54" s="52"/>
      <c r="FA54" s="52"/>
      <c r="FB54" s="128" t="n">
        <v>8</v>
      </c>
      <c r="FC54" s="128" t="n">
        <v>2</v>
      </c>
      <c r="FD54" s="131" t="s">
        <v>451</v>
      </c>
      <c r="FE54" s="131" t="s">
        <v>410</v>
      </c>
      <c r="FF54" s="131" t="s">
        <v>573</v>
      </c>
      <c r="FG54" s="131" t="s">
        <v>574</v>
      </c>
      <c r="FH54" s="131" t="s">
        <v>378</v>
      </c>
      <c r="FI54" s="131"/>
      <c r="FJ54" s="131"/>
      <c r="FK54" s="131"/>
      <c r="FL54" s="131"/>
      <c r="FM54" s="131"/>
      <c r="FN54" s="131"/>
      <c r="FO54" s="131"/>
      <c r="FP54" s="52"/>
      <c r="FQ54" s="52"/>
      <c r="FR54" s="52"/>
      <c r="FS54" s="52"/>
      <c r="FT54" s="52"/>
      <c r="FU54" s="52"/>
      <c r="FV54" s="52"/>
      <c r="FW54" s="52"/>
      <c r="FX54" s="52"/>
      <c r="FY54" s="52"/>
      <c r="FZ54" s="52"/>
      <c r="GA54" s="52"/>
      <c r="GB54" s="52"/>
      <c r="GC54" s="52"/>
      <c r="GD54" s="52"/>
      <c r="GE54" s="52"/>
      <c r="GF54" s="52"/>
      <c r="GG54" s="52"/>
      <c r="GH54" s="52"/>
      <c r="GI54" s="52"/>
      <c r="GJ54" s="52"/>
      <c r="GK54" s="52"/>
      <c r="GL54" s="52"/>
      <c r="GM54" s="52"/>
      <c r="GN54" s="52"/>
      <c r="GO54" s="52"/>
      <c r="GP54" s="52"/>
      <c r="GQ54" s="52"/>
      <c r="GR54" s="52"/>
      <c r="GS54" s="52"/>
      <c r="GT54" s="52"/>
      <c r="GU54" s="52"/>
      <c r="GV54" s="52"/>
      <c r="GW54" s="52"/>
      <c r="GX54" s="52"/>
      <c r="GY54" s="52"/>
      <c r="GZ54" s="52"/>
      <c r="HA54" s="52"/>
      <c r="HB54" s="52"/>
      <c r="HC54" s="52"/>
      <c r="HD54" s="52"/>
      <c r="HE54" s="52"/>
      <c r="HF54" s="128" t="n">
        <v>8</v>
      </c>
      <c r="HG54" s="128" t="n">
        <v>2</v>
      </c>
      <c r="HH54" s="131" t="s">
        <v>451</v>
      </c>
      <c r="HI54" s="131" t="s">
        <v>410</v>
      </c>
      <c r="HJ54" s="131" t="s">
        <v>573</v>
      </c>
      <c r="HK54" s="131" t="s">
        <v>574</v>
      </c>
      <c r="HL54" s="131" t="s">
        <v>378</v>
      </c>
      <c r="HM54" s="39" t="n">
        <v>8</v>
      </c>
      <c r="HN54" s="128" t="n">
        <v>1</v>
      </c>
      <c r="HO54" s="131" t="s">
        <v>451</v>
      </c>
      <c r="HP54" s="131" t="s">
        <v>410</v>
      </c>
      <c r="HQ54" s="131" t="s">
        <v>573</v>
      </c>
      <c r="HR54" s="131" t="s">
        <v>574</v>
      </c>
      <c r="HS54" s="131" t="s">
        <v>378</v>
      </c>
      <c r="HT54" s="131"/>
      <c r="HU54" s="128"/>
      <c r="HV54" s="131"/>
      <c r="HW54" s="131"/>
      <c r="HX54" s="131"/>
      <c r="HY54" s="131"/>
      <c r="HZ54" s="131"/>
    </row>
    <row r="55" customFormat="false" ht="12.8" hidden="true" customHeight="false" outlineLevel="0" collapsed="false">
      <c r="A55" s="16" t="s">
        <v>52</v>
      </c>
      <c r="B55" s="16" t="s">
        <v>158</v>
      </c>
      <c r="C55" s="16" t="s">
        <v>168</v>
      </c>
      <c r="D55" s="16" t="s">
        <v>169</v>
      </c>
      <c r="E55" s="156" t="s">
        <v>89</v>
      </c>
      <c r="F55" s="16" t="s">
        <v>170</v>
      </c>
      <c r="G55" s="154" t="s">
        <v>667</v>
      </c>
      <c r="H55" s="150"/>
      <c r="I55" s="150"/>
      <c r="J55" s="150"/>
      <c r="K55" s="128" t="n">
        <v>3500</v>
      </c>
      <c r="L55" s="18" t="n">
        <v>4</v>
      </c>
      <c r="M55" s="18" t="n">
        <f aca="false">IF(AD55,1,0)+IF(AK55,1,0)+AN55+AU55+BB55+BI55+BP55+BW55+CD55+CK55+CR55+CY55+DF55+DM55+DT55+EA55+EH55+EO55+EV55+FC55+FJ55+FQ55+FX55+GE55+GL55+GS55+GZ55+HG55+HN55+HU55</f>
        <v>0</v>
      </c>
      <c r="N55" s="131"/>
      <c r="O55" s="147" t="n">
        <v>1028</v>
      </c>
      <c r="P55" s="147" t="n">
        <v>0</v>
      </c>
      <c r="Q55" s="147" t="n">
        <v>20</v>
      </c>
      <c r="R55" s="21" t="s">
        <v>45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23" t="s">
        <v>668</v>
      </c>
      <c r="AD55" s="128" t="n">
        <v>8</v>
      </c>
      <c r="AE55" s="21" t="s">
        <v>669</v>
      </c>
      <c r="AF55" s="128"/>
      <c r="AG55" s="128"/>
      <c r="AH55" s="128"/>
      <c r="AI55" s="147" t="s">
        <v>670</v>
      </c>
      <c r="AJ55" s="128"/>
      <c r="AK55" s="128"/>
      <c r="AL55" s="147"/>
      <c r="AM55" s="131"/>
      <c r="AN55" s="128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16"/>
      <c r="CK55" s="16"/>
      <c r="CL55" s="16"/>
      <c r="CM55" s="16"/>
      <c r="CN55" s="16"/>
      <c r="CO55" s="16"/>
      <c r="CP55" s="16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128" t="n">
        <v>5</v>
      </c>
      <c r="DF55" s="128" t="n">
        <v>2</v>
      </c>
      <c r="DG55" s="131" t="s">
        <v>390</v>
      </c>
      <c r="DH55" s="131" t="s">
        <v>391</v>
      </c>
      <c r="DI55" s="131" t="s">
        <v>410</v>
      </c>
      <c r="DJ55" s="131" t="s">
        <v>411</v>
      </c>
      <c r="DK55" s="131" t="s">
        <v>415</v>
      </c>
      <c r="DL55" s="52"/>
      <c r="DM55" s="52"/>
      <c r="DN55" s="52"/>
      <c r="DO55" s="52"/>
      <c r="DP55" s="52"/>
      <c r="DQ55" s="52"/>
      <c r="DR55" s="52"/>
      <c r="DS55" s="52"/>
      <c r="DT55" s="52"/>
      <c r="DU55" s="52"/>
      <c r="DV55" s="52"/>
      <c r="DW55" s="52"/>
      <c r="DX55" s="52"/>
      <c r="DY55" s="52"/>
      <c r="DZ55" s="52"/>
      <c r="EA55" s="52"/>
      <c r="EB55" s="52"/>
      <c r="EC55" s="52"/>
      <c r="ED55" s="52"/>
      <c r="EE55" s="52"/>
      <c r="EF55" s="52"/>
      <c r="EG55" s="52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2"/>
      <c r="ES55" s="52"/>
      <c r="ET55" s="52"/>
      <c r="EU55" s="52"/>
      <c r="EV55" s="52"/>
      <c r="EW55" s="52"/>
      <c r="EX55" s="52"/>
      <c r="EY55" s="52"/>
      <c r="EZ55" s="52"/>
      <c r="FA55" s="52"/>
      <c r="FB55" s="128" t="n">
        <v>5</v>
      </c>
      <c r="FC55" s="128" t="n">
        <v>2</v>
      </c>
      <c r="FD55" s="131" t="s">
        <v>451</v>
      </c>
      <c r="FE55" s="131" t="s">
        <v>410</v>
      </c>
      <c r="FF55" s="131" t="s">
        <v>452</v>
      </c>
      <c r="FG55" s="131" t="s">
        <v>453</v>
      </c>
      <c r="FH55" s="131" t="s">
        <v>389</v>
      </c>
      <c r="FI55" s="131"/>
      <c r="FJ55" s="131"/>
      <c r="FK55" s="131"/>
      <c r="FL55" s="131"/>
      <c r="FM55" s="131"/>
      <c r="FN55" s="131"/>
      <c r="FO55" s="131"/>
      <c r="FP55" s="52"/>
      <c r="FQ55" s="52"/>
      <c r="FR55" s="52"/>
      <c r="FS55" s="52"/>
      <c r="FT55" s="52"/>
      <c r="FU55" s="52"/>
      <c r="FV55" s="52"/>
      <c r="FW55" s="52"/>
      <c r="FX55" s="52"/>
      <c r="FY55" s="52"/>
      <c r="FZ55" s="52"/>
      <c r="GA55" s="52"/>
      <c r="GB55" s="52"/>
      <c r="GC55" s="52"/>
      <c r="GD55" s="52"/>
      <c r="GE55" s="52"/>
      <c r="GF55" s="52"/>
      <c r="GG55" s="52"/>
      <c r="GH55" s="52"/>
      <c r="GI55" s="52"/>
      <c r="GJ55" s="52"/>
      <c r="GK55" s="52"/>
      <c r="GL55" s="52"/>
      <c r="GM55" s="52"/>
      <c r="GN55" s="52"/>
      <c r="GO55" s="52"/>
      <c r="GP55" s="52"/>
      <c r="GQ55" s="52"/>
      <c r="GR55" s="52"/>
      <c r="GS55" s="52"/>
      <c r="GT55" s="52"/>
      <c r="GU55" s="52"/>
      <c r="GV55" s="52"/>
      <c r="GW55" s="52"/>
      <c r="GX55" s="52"/>
      <c r="GY55" s="52"/>
      <c r="GZ55" s="52"/>
      <c r="HA55" s="52"/>
      <c r="HB55" s="52"/>
      <c r="HC55" s="52"/>
      <c r="HD55" s="52"/>
      <c r="HE55" s="52"/>
      <c r="HF55" s="52"/>
      <c r="HG55" s="52"/>
      <c r="HH55" s="52"/>
      <c r="HI55" s="52"/>
      <c r="HJ55" s="52"/>
      <c r="HK55" s="52"/>
      <c r="HL55" s="52"/>
      <c r="HM55" s="52"/>
      <c r="HN55" s="52"/>
      <c r="HO55" s="52"/>
      <c r="HP55" s="52"/>
      <c r="HQ55" s="52"/>
      <c r="HR55" s="52"/>
      <c r="HS55" s="52"/>
      <c r="HT55" s="131"/>
      <c r="HU55" s="128"/>
      <c r="HV55" s="131"/>
      <c r="HW55" s="131"/>
      <c r="HX55" s="131"/>
      <c r="HY55" s="131"/>
      <c r="HZ55" s="131"/>
    </row>
    <row r="56" customFormat="false" ht="12.8" hidden="true" customHeight="false" outlineLevel="0" collapsed="false">
      <c r="A56" s="16" t="s">
        <v>52</v>
      </c>
      <c r="B56" s="16" t="s">
        <v>158</v>
      </c>
      <c r="C56" s="16" t="s">
        <v>168</v>
      </c>
      <c r="D56" s="16" t="s">
        <v>162</v>
      </c>
      <c r="E56" s="156" t="s">
        <v>87</v>
      </c>
      <c r="F56" s="16" t="s">
        <v>163</v>
      </c>
      <c r="G56" s="154" t="s">
        <v>667</v>
      </c>
      <c r="H56" s="150"/>
      <c r="I56" s="150"/>
      <c r="J56" s="150"/>
      <c r="K56" s="128" t="n">
        <v>3500</v>
      </c>
      <c r="L56" s="18" t="n">
        <v>4</v>
      </c>
      <c r="M56" s="18" t="n">
        <f aca="false">IF(AD56,1,0)+IF(AK56,1,0)+AN56+AU56+BB56+BI56+BP56+BW56+CD56+CK56+CR56+CY56+DF56+DM56+DT56+EA56+EH56+EO56+EV56+FC56+FJ56+FQ56+FX56+GE56+GL56+GS56+GZ56+HG56+HN56+HU56</f>
        <v>0</v>
      </c>
      <c r="N56" s="131"/>
      <c r="O56" s="147"/>
      <c r="P56" s="147"/>
      <c r="Q56" s="147"/>
      <c r="R56" s="21" t="s">
        <v>45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31"/>
      <c r="AD56" s="128"/>
      <c r="AE56" s="128"/>
      <c r="AF56" s="128"/>
      <c r="AG56" s="128"/>
      <c r="AH56" s="128"/>
      <c r="AI56" s="147"/>
      <c r="AJ56" s="128"/>
      <c r="AK56" s="128"/>
      <c r="AL56" s="147"/>
      <c r="AM56" s="131"/>
      <c r="AN56" s="128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16"/>
      <c r="CK56" s="16"/>
      <c r="CL56" s="16"/>
      <c r="CM56" s="16"/>
      <c r="CN56" s="16"/>
      <c r="CO56" s="16"/>
      <c r="CP56" s="16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EZ56" s="52"/>
      <c r="FA56" s="52"/>
      <c r="FB56" s="52"/>
      <c r="FC56" s="52"/>
      <c r="FD56" s="52"/>
      <c r="FE56" s="52"/>
      <c r="FF56" s="52"/>
      <c r="FG56" s="52"/>
      <c r="FH56" s="52"/>
      <c r="FI56" s="52"/>
      <c r="FJ56" s="52"/>
      <c r="FK56" s="52"/>
      <c r="FL56" s="52"/>
      <c r="FM56" s="52"/>
      <c r="FN56" s="52"/>
      <c r="FO56" s="52"/>
      <c r="FP56" s="52"/>
      <c r="FQ56" s="52"/>
      <c r="FR56" s="52"/>
      <c r="FS56" s="52"/>
      <c r="FT56" s="52"/>
      <c r="FU56" s="52"/>
      <c r="FV56" s="52"/>
      <c r="FW56" s="52"/>
      <c r="FX56" s="52"/>
      <c r="FY56" s="52"/>
      <c r="FZ56" s="52"/>
      <c r="GA56" s="52"/>
      <c r="GB56" s="52"/>
      <c r="GC56" s="52"/>
      <c r="GD56" s="52"/>
      <c r="GE56" s="52"/>
      <c r="GF56" s="52"/>
      <c r="GG56" s="52"/>
      <c r="GH56" s="52"/>
      <c r="GI56" s="52"/>
      <c r="GJ56" s="52"/>
      <c r="GK56" s="52"/>
      <c r="GL56" s="52"/>
      <c r="GM56" s="52"/>
      <c r="GN56" s="52"/>
      <c r="GO56" s="52"/>
      <c r="GP56" s="52"/>
      <c r="GQ56" s="52"/>
      <c r="GR56" s="52"/>
      <c r="GS56" s="52"/>
      <c r="GT56" s="52"/>
      <c r="GU56" s="52"/>
      <c r="GV56" s="52"/>
      <c r="GW56" s="52"/>
      <c r="GX56" s="52"/>
      <c r="GY56" s="52"/>
      <c r="GZ56" s="52"/>
      <c r="HA56" s="52"/>
      <c r="HB56" s="52"/>
      <c r="HC56" s="52"/>
      <c r="HD56" s="52"/>
      <c r="HE56" s="52"/>
      <c r="HF56" s="52"/>
      <c r="HG56" s="52"/>
      <c r="HH56" s="52"/>
      <c r="HI56" s="52"/>
      <c r="HJ56" s="52"/>
      <c r="HK56" s="52"/>
      <c r="HL56" s="52"/>
      <c r="HM56" s="52"/>
      <c r="HN56" s="52"/>
      <c r="HO56" s="52"/>
      <c r="HP56" s="52"/>
      <c r="HQ56" s="52"/>
      <c r="HR56" s="52"/>
      <c r="HS56" s="52"/>
      <c r="HT56" s="131"/>
      <c r="HU56" s="128"/>
      <c r="HV56" s="131"/>
      <c r="HW56" s="131"/>
      <c r="HX56" s="131"/>
      <c r="HY56" s="131"/>
      <c r="HZ56" s="131"/>
    </row>
    <row r="57" customFormat="false" ht="12.8" hidden="true" customHeight="false" outlineLevel="0" collapsed="false">
      <c r="A57" s="16" t="s">
        <v>52</v>
      </c>
      <c r="B57" s="17" t="s">
        <v>81</v>
      </c>
      <c r="C57" s="17" t="s">
        <v>171</v>
      </c>
      <c r="D57" s="16" t="s">
        <v>172</v>
      </c>
      <c r="E57" s="156" t="s">
        <v>89</v>
      </c>
      <c r="F57" s="16" t="s">
        <v>139</v>
      </c>
      <c r="G57" s="154" t="s">
        <v>645</v>
      </c>
      <c r="H57" s="150"/>
      <c r="I57" s="150"/>
      <c r="J57" s="150"/>
      <c r="K57" s="128" t="n">
        <v>3500</v>
      </c>
      <c r="L57" s="18" t="n">
        <v>3</v>
      </c>
      <c r="M57" s="18" t="n">
        <f aca="false">IF(AD57,1,0)+IF(AK57,1,0)+AN57+AU57+BB57+BI57+BP57+BW57+CD57+CK57+CR57+CY57+DF57+DM57+DT57+EA57+EH57+EO57+EV57+FC57+FJ57+FQ57+FX57+GE57+GL57+GS57+GZ57+HG57+HN57+HU57</f>
        <v>0</v>
      </c>
      <c r="N57" s="131"/>
      <c r="O57" s="147" t="n">
        <v>720</v>
      </c>
      <c r="P57" s="147" t="n">
        <v>576</v>
      </c>
      <c r="Q57" s="147" t="n">
        <v>28</v>
      </c>
      <c r="R57" s="21" t="s">
        <v>44</v>
      </c>
      <c r="S57" s="18"/>
      <c r="T57" s="18"/>
      <c r="U57" s="18"/>
      <c r="V57" s="18"/>
      <c r="W57" s="18"/>
      <c r="X57" s="18"/>
      <c r="Y57" s="21" t="s">
        <v>541</v>
      </c>
      <c r="Z57" s="18"/>
      <c r="AA57" s="18"/>
      <c r="AB57" s="18"/>
      <c r="AC57" s="131"/>
      <c r="AD57" s="128"/>
      <c r="AE57" s="128"/>
      <c r="AF57" s="128"/>
      <c r="AG57" s="128"/>
      <c r="AH57" s="128"/>
      <c r="AI57" s="147"/>
      <c r="AJ57" s="128"/>
      <c r="AK57" s="128"/>
      <c r="AL57" s="147"/>
      <c r="AM57" s="131"/>
      <c r="AN57" s="128"/>
      <c r="AO57" s="131"/>
      <c r="AP57" s="131"/>
      <c r="AQ57" s="131"/>
      <c r="AR57" s="131"/>
      <c r="AS57" s="131"/>
      <c r="AT57" s="131"/>
      <c r="AU57" s="131"/>
      <c r="AV57" s="131"/>
      <c r="AW57" s="131"/>
      <c r="AX57" s="131"/>
      <c r="AY57" s="131"/>
      <c r="AZ57" s="131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16"/>
      <c r="CK57" s="16"/>
      <c r="CL57" s="16"/>
      <c r="CM57" s="16"/>
      <c r="CN57" s="16"/>
      <c r="CO57" s="16"/>
      <c r="CP57" s="16"/>
      <c r="CQ57" s="128" t="n">
        <v>3</v>
      </c>
      <c r="CR57" s="128" t="n">
        <v>2</v>
      </c>
      <c r="CS57" s="131" t="s">
        <v>473</v>
      </c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/>
      <c r="DR57" s="52"/>
      <c r="DS57" s="52"/>
      <c r="DT57" s="52"/>
      <c r="DU57" s="52"/>
      <c r="DV57" s="52"/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  <c r="EM57" s="52"/>
      <c r="EN57" s="52"/>
      <c r="EO57" s="52"/>
      <c r="EP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2"/>
      <c r="FB57" s="128" t="n">
        <v>3</v>
      </c>
      <c r="FC57" s="128" t="n">
        <v>1</v>
      </c>
      <c r="FD57" s="131" t="s">
        <v>607</v>
      </c>
      <c r="FE57" s="52"/>
      <c r="FF57" s="52"/>
      <c r="FG57" s="52"/>
      <c r="FH57" s="52"/>
      <c r="FI57" s="52"/>
      <c r="FJ57" s="52"/>
      <c r="FK57" s="52"/>
      <c r="FL57" s="52"/>
      <c r="FM57" s="52"/>
      <c r="FN57" s="52"/>
      <c r="FO57" s="52"/>
      <c r="FP57" s="52"/>
      <c r="FQ57" s="52"/>
      <c r="FR57" s="52"/>
      <c r="FS57" s="52"/>
      <c r="FT57" s="52"/>
      <c r="FU57" s="52"/>
      <c r="FV57" s="52"/>
      <c r="FW57" s="52"/>
      <c r="FX57" s="52"/>
      <c r="FY57" s="52"/>
      <c r="FZ57" s="52"/>
      <c r="GA57" s="52"/>
      <c r="GB57" s="52"/>
      <c r="GC57" s="52"/>
      <c r="GD57" s="52"/>
      <c r="GE57" s="52"/>
      <c r="GF57" s="52"/>
      <c r="GG57" s="52"/>
      <c r="GH57" s="52"/>
      <c r="GI57" s="52"/>
      <c r="GJ57" s="52"/>
      <c r="GK57" s="52"/>
      <c r="GL57" s="52"/>
      <c r="GM57" s="52"/>
      <c r="GN57" s="52"/>
      <c r="GO57" s="52"/>
      <c r="GP57" s="52"/>
      <c r="GQ57" s="52"/>
      <c r="GR57" s="52"/>
      <c r="GS57" s="52"/>
      <c r="GT57" s="52"/>
      <c r="GU57" s="52"/>
      <c r="GV57" s="52"/>
      <c r="GW57" s="52"/>
      <c r="GX57" s="52"/>
      <c r="GY57" s="52"/>
      <c r="GZ57" s="52"/>
      <c r="HA57" s="52"/>
      <c r="HB57" s="52"/>
      <c r="HC57" s="52"/>
      <c r="HD57" s="52"/>
      <c r="HE57" s="52"/>
      <c r="HF57" s="128" t="n">
        <v>3</v>
      </c>
      <c r="HG57" s="128" t="n">
        <v>1</v>
      </c>
      <c r="HH57" s="131" t="s">
        <v>607</v>
      </c>
      <c r="HI57" s="52"/>
      <c r="HJ57" s="52"/>
      <c r="HK57" s="52"/>
      <c r="HL57" s="52"/>
      <c r="HM57" s="52"/>
      <c r="HN57" s="52"/>
      <c r="HO57" s="52"/>
      <c r="HP57" s="52"/>
      <c r="HQ57" s="52"/>
      <c r="HR57" s="52"/>
      <c r="HS57" s="52"/>
      <c r="HT57" s="131"/>
      <c r="HU57" s="128"/>
      <c r="HV57" s="131"/>
      <c r="HW57" s="131"/>
      <c r="HX57" s="131"/>
      <c r="HY57" s="131"/>
      <c r="HZ57" s="131"/>
    </row>
    <row r="58" customFormat="false" ht="12.8" hidden="true" customHeight="false" outlineLevel="0" collapsed="false">
      <c r="A58" s="16" t="s">
        <v>52</v>
      </c>
      <c r="B58" s="17" t="s">
        <v>81</v>
      </c>
      <c r="C58" s="16" t="s">
        <v>171</v>
      </c>
      <c r="D58" s="16" t="s">
        <v>173</v>
      </c>
      <c r="E58" s="156" t="s">
        <v>87</v>
      </c>
      <c r="F58" s="16" t="s">
        <v>163</v>
      </c>
      <c r="G58" s="154"/>
      <c r="H58" s="150"/>
      <c r="I58" s="150"/>
      <c r="J58" s="150"/>
      <c r="K58" s="128" t="n">
        <v>3500</v>
      </c>
      <c r="L58" s="18"/>
      <c r="M58" s="18" t="n">
        <f aca="false">IF(AD58,1,0)+IF(AK58,1,0)+AN58+AU58+BB58+BI58+BP58+BW58+CD58+CK58+CR58+CY58+DF58+DM58+DT58+EA58+EH58+EO58+EV58+FC58+FJ58+FQ58+FX58+GE58+GL58+GS58+GZ58+HG58+HN58+HU58</f>
        <v>0</v>
      </c>
      <c r="N58" s="131"/>
      <c r="O58" s="147"/>
      <c r="P58" s="147"/>
      <c r="Q58" s="147"/>
      <c r="R58" s="12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31"/>
      <c r="AD58" s="128"/>
      <c r="AE58" s="128"/>
      <c r="AF58" s="128"/>
      <c r="AG58" s="128"/>
      <c r="AH58" s="128"/>
      <c r="AI58" s="147"/>
      <c r="AJ58" s="128"/>
      <c r="AK58" s="128"/>
      <c r="AL58" s="147"/>
      <c r="AM58" s="131"/>
      <c r="AN58" s="128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16"/>
      <c r="CK58" s="16"/>
      <c r="CL58" s="16"/>
      <c r="CM58" s="16"/>
      <c r="CN58" s="16"/>
      <c r="CO58" s="16"/>
      <c r="CP58" s="16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/>
      <c r="DR58" s="52"/>
      <c r="DS58" s="52"/>
      <c r="DT58" s="52"/>
      <c r="DU58" s="52"/>
      <c r="DV58" s="52"/>
      <c r="DW58" s="52"/>
      <c r="DX58" s="52"/>
      <c r="DY58" s="52"/>
      <c r="DZ58" s="52"/>
      <c r="EA58" s="52"/>
      <c r="EB58" s="52"/>
      <c r="EC58" s="52"/>
      <c r="ED58" s="52"/>
      <c r="EE58" s="52"/>
      <c r="EF58" s="52"/>
      <c r="EG58" s="52"/>
      <c r="EH58" s="52"/>
      <c r="EI58" s="52"/>
      <c r="EJ58" s="52"/>
      <c r="EK58" s="52"/>
      <c r="EL58" s="52"/>
      <c r="EM58" s="52"/>
      <c r="EN58" s="52"/>
      <c r="EO58" s="52"/>
      <c r="EP58" s="52"/>
      <c r="EQ58" s="52"/>
      <c r="ER58" s="52"/>
      <c r="ES58" s="52"/>
      <c r="ET58" s="52"/>
      <c r="EU58" s="52"/>
      <c r="EV58" s="52"/>
      <c r="EW58" s="52"/>
      <c r="EX58" s="52"/>
      <c r="EY58" s="52"/>
      <c r="EZ58" s="52"/>
      <c r="FA58" s="52"/>
      <c r="FB58" s="52"/>
      <c r="FC58" s="52"/>
      <c r="FD58" s="52"/>
      <c r="FE58" s="52"/>
      <c r="FF58" s="52"/>
      <c r="FG58" s="52"/>
      <c r="FH58" s="52"/>
      <c r="FI58" s="52"/>
      <c r="FJ58" s="52"/>
      <c r="FK58" s="52"/>
      <c r="FL58" s="52"/>
      <c r="FM58" s="52"/>
      <c r="FN58" s="52"/>
      <c r="FO58" s="52"/>
      <c r="FP58" s="52"/>
      <c r="FQ58" s="52"/>
      <c r="FR58" s="52"/>
      <c r="FS58" s="52"/>
      <c r="FT58" s="52"/>
      <c r="FU58" s="52"/>
      <c r="FV58" s="52"/>
      <c r="FW58" s="52"/>
      <c r="FX58" s="52"/>
      <c r="FY58" s="52"/>
      <c r="FZ58" s="52"/>
      <c r="GA58" s="52"/>
      <c r="GB58" s="52"/>
      <c r="GC58" s="52"/>
      <c r="GD58" s="52"/>
      <c r="GE58" s="52"/>
      <c r="GF58" s="52"/>
      <c r="GG58" s="52"/>
      <c r="GH58" s="52"/>
      <c r="GI58" s="52"/>
      <c r="GJ58" s="52"/>
      <c r="GK58" s="52"/>
      <c r="GL58" s="52"/>
      <c r="GM58" s="52"/>
      <c r="GN58" s="52"/>
      <c r="GO58" s="52"/>
      <c r="GP58" s="52"/>
      <c r="GQ58" s="52"/>
      <c r="GR58" s="52"/>
      <c r="GS58" s="52"/>
      <c r="GT58" s="52"/>
      <c r="GU58" s="52"/>
      <c r="GV58" s="52"/>
      <c r="GW58" s="52"/>
      <c r="GX58" s="52"/>
      <c r="GY58" s="52"/>
      <c r="GZ58" s="52"/>
      <c r="HA58" s="52"/>
      <c r="HB58" s="52"/>
      <c r="HC58" s="52"/>
      <c r="HD58" s="52"/>
      <c r="HE58" s="52"/>
      <c r="HF58" s="52"/>
      <c r="HG58" s="52"/>
      <c r="HH58" s="52"/>
      <c r="HI58" s="52"/>
      <c r="HJ58" s="52"/>
      <c r="HK58" s="52"/>
      <c r="HL58" s="52"/>
      <c r="HM58" s="52"/>
      <c r="HN58" s="52"/>
      <c r="HO58" s="52"/>
      <c r="HP58" s="52"/>
      <c r="HQ58" s="52"/>
      <c r="HR58" s="52"/>
      <c r="HS58" s="52"/>
      <c r="HT58" s="131"/>
      <c r="HU58" s="128"/>
      <c r="HV58" s="131"/>
      <c r="HW58" s="131"/>
      <c r="HX58" s="131"/>
      <c r="HY58" s="131"/>
      <c r="HZ58" s="131"/>
    </row>
    <row r="59" customFormat="false" ht="12.8" hidden="true" customHeight="false" outlineLevel="0" collapsed="false">
      <c r="A59" s="16" t="s">
        <v>52</v>
      </c>
      <c r="B59" s="17" t="s">
        <v>81</v>
      </c>
      <c r="C59" s="17" t="s">
        <v>174</v>
      </c>
      <c r="D59" s="16" t="s">
        <v>175</v>
      </c>
      <c r="E59" s="156" t="s">
        <v>89</v>
      </c>
      <c r="F59" s="16" t="s">
        <v>176</v>
      </c>
      <c r="G59" s="154" t="s">
        <v>671</v>
      </c>
      <c r="H59" s="17" t="s">
        <v>92</v>
      </c>
      <c r="I59" s="150"/>
      <c r="J59" s="150"/>
      <c r="K59" s="128" t="n">
        <v>3500</v>
      </c>
      <c r="L59" s="18" t="n">
        <v>6</v>
      </c>
      <c r="M59" s="18" t="n">
        <f aca="false">IF(AD59,1,0)+IF(AK59,1,0)+AN59+AU59+BB59+BI59+BP59+BW59+CD59+CK59+CR59+CY59+DF59+DM59+DT59+EA59+EH59+EO59+EV59+FC59+FJ59+FQ59+FX59+GE59+GL59+GS59+GZ59+HG59+HN59+HU59</f>
        <v>0</v>
      </c>
      <c r="N59" s="131"/>
      <c r="O59" s="147" t="n">
        <v>3200</v>
      </c>
      <c r="P59" s="147" t="n">
        <v>0</v>
      </c>
      <c r="Q59" s="147" t="n">
        <v>608</v>
      </c>
      <c r="R59" s="21" t="s">
        <v>652</v>
      </c>
      <c r="S59" s="18"/>
      <c r="T59" s="18"/>
      <c r="U59" s="18"/>
      <c r="V59" s="18"/>
      <c r="W59" s="18"/>
      <c r="X59" s="18"/>
      <c r="Y59" s="18"/>
      <c r="Z59" s="18"/>
      <c r="AA59" s="18"/>
      <c r="AB59" s="21" t="s">
        <v>541</v>
      </c>
      <c r="AC59" s="23" t="s">
        <v>621</v>
      </c>
      <c r="AD59" s="128" t="n">
        <v>15</v>
      </c>
      <c r="AE59" s="128"/>
      <c r="AF59" s="128" t="n">
        <v>60</v>
      </c>
      <c r="AG59" s="128" t="n">
        <v>10</v>
      </c>
      <c r="AH59" s="128"/>
      <c r="AI59" s="147" t="s">
        <v>672</v>
      </c>
      <c r="AJ59" s="21" t="s">
        <v>673</v>
      </c>
      <c r="AK59" s="128" t="n">
        <v>10</v>
      </c>
      <c r="AL59" s="147" t="s">
        <v>674</v>
      </c>
      <c r="AM59" s="128" t="n">
        <v>10</v>
      </c>
      <c r="AN59" s="128" t="n">
        <v>1</v>
      </c>
      <c r="AO59" s="131" t="s">
        <v>633</v>
      </c>
      <c r="AP59" s="131" t="s">
        <v>634</v>
      </c>
      <c r="AQ59" s="131" t="s">
        <v>635</v>
      </c>
      <c r="AR59" s="131" t="s">
        <v>636</v>
      </c>
      <c r="AS59" s="131" t="s">
        <v>563</v>
      </c>
      <c r="AT59" s="131"/>
      <c r="AU59" s="131"/>
      <c r="AV59" s="131"/>
      <c r="AW59" s="131"/>
      <c r="AX59" s="131"/>
      <c r="AY59" s="131"/>
      <c r="AZ59" s="131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128" t="n">
        <v>10</v>
      </c>
      <c r="BW59" s="128" t="n">
        <v>1</v>
      </c>
      <c r="BX59" s="131" t="s">
        <v>399</v>
      </c>
      <c r="BY59" s="131" t="s">
        <v>615</v>
      </c>
      <c r="BZ59" s="131" t="s">
        <v>380</v>
      </c>
      <c r="CA59" s="131" t="s">
        <v>596</v>
      </c>
      <c r="CB59" s="131" t="s">
        <v>597</v>
      </c>
      <c r="CC59" s="52"/>
      <c r="CD59" s="52"/>
      <c r="CE59" s="52"/>
      <c r="CF59" s="52"/>
      <c r="CG59" s="52"/>
      <c r="CH59" s="52"/>
      <c r="CI59" s="52"/>
      <c r="CJ59" s="16"/>
      <c r="CK59" s="16"/>
      <c r="CL59" s="16"/>
      <c r="CM59" s="16"/>
      <c r="CN59" s="16"/>
      <c r="CO59" s="16"/>
      <c r="CP59" s="16"/>
      <c r="CQ59" s="52"/>
      <c r="CR59" s="52"/>
      <c r="CS59" s="52"/>
      <c r="CT59" s="52"/>
      <c r="CU59" s="52"/>
      <c r="CV59" s="52"/>
      <c r="CW59" s="52"/>
      <c r="CX59" s="128" t="n">
        <v>10</v>
      </c>
      <c r="CY59" s="128" t="n">
        <v>2</v>
      </c>
      <c r="CZ59" s="131" t="s">
        <v>381</v>
      </c>
      <c r="DA59" s="131" t="s">
        <v>382</v>
      </c>
      <c r="DB59" s="131" t="s">
        <v>383</v>
      </c>
      <c r="DC59" s="131" t="s">
        <v>384</v>
      </c>
      <c r="DD59" s="131" t="s">
        <v>399</v>
      </c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2"/>
      <c r="DV59" s="52"/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  <c r="EM59" s="52"/>
      <c r="EN59" s="52"/>
      <c r="EO59" s="52"/>
      <c r="EP59" s="52"/>
      <c r="EQ59" s="52"/>
      <c r="ER59" s="52"/>
      <c r="ES59" s="52"/>
      <c r="ET59" s="52"/>
      <c r="EU59" s="52"/>
      <c r="EV59" s="52"/>
      <c r="EW59" s="52"/>
      <c r="EX59" s="52"/>
      <c r="EY59" s="52"/>
      <c r="EZ59" s="52"/>
      <c r="FA59" s="52"/>
      <c r="FB59" s="128" t="n">
        <v>10</v>
      </c>
      <c r="FC59" s="128" t="n">
        <v>1</v>
      </c>
      <c r="FD59" s="131" t="s">
        <v>572</v>
      </c>
      <c r="FE59" s="131" t="s">
        <v>383</v>
      </c>
      <c r="FF59" s="131" t="s">
        <v>573</v>
      </c>
      <c r="FG59" s="131" t="s">
        <v>574</v>
      </c>
      <c r="FH59" s="131" t="s">
        <v>378</v>
      </c>
      <c r="FI59" s="131"/>
      <c r="FJ59" s="131"/>
      <c r="FK59" s="131"/>
      <c r="FL59" s="131"/>
      <c r="FM59" s="131"/>
      <c r="FN59" s="131"/>
      <c r="FO59" s="131"/>
      <c r="FP59" s="52"/>
      <c r="FQ59" s="52"/>
      <c r="FR59" s="52"/>
      <c r="FS59" s="52"/>
      <c r="FT59" s="52"/>
      <c r="FU59" s="52"/>
      <c r="FV59" s="52"/>
      <c r="FW59" s="52"/>
      <c r="FX59" s="52"/>
      <c r="FY59" s="52"/>
      <c r="FZ59" s="52"/>
      <c r="GA59" s="52"/>
      <c r="GB59" s="52"/>
      <c r="GC59" s="52"/>
      <c r="GD59" s="52"/>
      <c r="GE59" s="52"/>
      <c r="GF59" s="52"/>
      <c r="GG59" s="52"/>
      <c r="GH59" s="52"/>
      <c r="GI59" s="52"/>
      <c r="GJ59" s="52"/>
      <c r="GK59" s="52"/>
      <c r="GL59" s="52"/>
      <c r="GM59" s="52"/>
      <c r="GN59" s="52"/>
      <c r="GO59" s="52"/>
      <c r="GP59" s="52"/>
      <c r="GQ59" s="52"/>
      <c r="GR59" s="52"/>
      <c r="GS59" s="52"/>
      <c r="GT59" s="52"/>
      <c r="GU59" s="52"/>
      <c r="GV59" s="52"/>
      <c r="GW59" s="52"/>
      <c r="GX59" s="52"/>
      <c r="GY59" s="52"/>
      <c r="GZ59" s="52"/>
      <c r="HA59" s="52"/>
      <c r="HB59" s="52"/>
      <c r="HC59" s="52"/>
      <c r="HD59" s="52"/>
      <c r="HE59" s="52"/>
      <c r="HF59" s="52"/>
      <c r="HG59" s="52"/>
      <c r="HH59" s="52"/>
      <c r="HI59" s="52"/>
      <c r="HJ59" s="52"/>
      <c r="HK59" s="52"/>
      <c r="HL59" s="52"/>
      <c r="HM59" s="39" t="n">
        <v>10</v>
      </c>
      <c r="HN59" s="128" t="n">
        <v>2</v>
      </c>
      <c r="HO59" s="131" t="s">
        <v>572</v>
      </c>
      <c r="HP59" s="131" t="s">
        <v>383</v>
      </c>
      <c r="HQ59" s="131" t="s">
        <v>573</v>
      </c>
      <c r="HR59" s="131" t="s">
        <v>574</v>
      </c>
      <c r="HS59" s="131" t="s">
        <v>378</v>
      </c>
      <c r="HT59" s="131"/>
      <c r="HU59" s="128"/>
      <c r="HV59" s="131"/>
      <c r="HW59" s="131"/>
      <c r="HX59" s="131"/>
      <c r="HY59" s="131"/>
      <c r="HZ59" s="131"/>
    </row>
    <row r="60" customFormat="false" ht="12.8" hidden="true" customHeight="false" outlineLevel="0" collapsed="false">
      <c r="A60" s="16" t="s">
        <v>52</v>
      </c>
      <c r="B60" s="17" t="s">
        <v>81</v>
      </c>
      <c r="C60" s="17" t="s">
        <v>174</v>
      </c>
      <c r="D60" s="16" t="s">
        <v>175</v>
      </c>
      <c r="E60" s="156" t="s">
        <v>89</v>
      </c>
      <c r="F60" s="16" t="s">
        <v>176</v>
      </c>
      <c r="G60" s="154" t="s">
        <v>675</v>
      </c>
      <c r="H60" s="16"/>
      <c r="I60" s="150"/>
      <c r="J60" s="150"/>
      <c r="K60" s="128" t="n">
        <v>3500</v>
      </c>
      <c r="L60" s="18" t="n">
        <v>3</v>
      </c>
      <c r="M60" s="18" t="n">
        <f aca="false">IF(AD60,1,0)+IF(AK60,1,0)+AN60+AU60+BB60+BI60+BP60+BW60+CD60+CK60+CR60+CY60+DF60+DM60+DT60+EA60+EH60+EO60+EV60+FC60+FJ60+FQ60+FX60+GE60+GL60+GS60+GZ60+HG60+HN60+HU60</f>
        <v>0</v>
      </c>
      <c r="N60" s="131"/>
      <c r="O60" s="147" t="n">
        <v>720</v>
      </c>
      <c r="P60" s="147" t="n">
        <v>504</v>
      </c>
      <c r="Q60" s="147" t="n">
        <v>50</v>
      </c>
      <c r="R60" s="21" t="s">
        <v>44</v>
      </c>
      <c r="S60" s="18"/>
      <c r="T60" s="18"/>
      <c r="U60" s="18"/>
      <c r="V60" s="18"/>
      <c r="W60" s="18"/>
      <c r="X60" s="18"/>
      <c r="Y60" s="21" t="s">
        <v>541</v>
      </c>
      <c r="Z60" s="18"/>
      <c r="AA60" s="18"/>
      <c r="AB60" s="18"/>
      <c r="AC60" s="131"/>
      <c r="AD60" s="128"/>
      <c r="AE60" s="128"/>
      <c r="AF60" s="128"/>
      <c r="AG60" s="128"/>
      <c r="AH60" s="128"/>
      <c r="AI60" s="147"/>
      <c r="AJ60" s="128"/>
      <c r="AK60" s="128"/>
      <c r="AL60" s="147"/>
      <c r="AM60" s="131"/>
      <c r="AN60" s="128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16"/>
      <c r="CK60" s="16"/>
      <c r="CL60" s="16"/>
      <c r="CM60" s="16"/>
      <c r="CN60" s="16"/>
      <c r="CO60" s="16"/>
      <c r="CP60" s="16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2"/>
      <c r="DN60" s="52"/>
      <c r="DO60" s="52"/>
      <c r="DP60" s="52"/>
      <c r="DQ60" s="52"/>
      <c r="DR60" s="52"/>
      <c r="DS60" s="52"/>
      <c r="DT60" s="52"/>
      <c r="DU60" s="52"/>
      <c r="DV60" s="52"/>
      <c r="DW60" s="52"/>
      <c r="DX60" s="52"/>
      <c r="DY60" s="52"/>
      <c r="DZ60" s="52"/>
      <c r="EA60" s="52"/>
      <c r="EB60" s="52"/>
      <c r="EC60" s="52"/>
      <c r="ED60" s="52"/>
      <c r="EE60" s="52"/>
      <c r="EF60" s="52"/>
      <c r="EG60" s="52"/>
      <c r="EH60" s="52"/>
      <c r="EI60" s="52"/>
      <c r="EJ60" s="52"/>
      <c r="EK60" s="52"/>
      <c r="EL60" s="52"/>
      <c r="EM60" s="52"/>
      <c r="EN60" s="52"/>
      <c r="EO60" s="52"/>
      <c r="EP60" s="52"/>
      <c r="EQ60" s="52"/>
      <c r="ER60" s="52"/>
      <c r="ES60" s="52"/>
      <c r="ET60" s="52"/>
      <c r="EU60" s="52"/>
      <c r="EV60" s="52"/>
      <c r="EW60" s="52"/>
      <c r="EX60" s="52"/>
      <c r="EY60" s="52"/>
      <c r="EZ60" s="52"/>
      <c r="FA60" s="52"/>
      <c r="FB60" s="128" t="n">
        <v>5</v>
      </c>
      <c r="FC60" s="128" t="n">
        <v>2</v>
      </c>
      <c r="FD60" s="131" t="s">
        <v>451</v>
      </c>
      <c r="FE60" s="131" t="s">
        <v>410</v>
      </c>
      <c r="FF60" s="131" t="s">
        <v>452</v>
      </c>
      <c r="FG60" s="131" t="s">
        <v>453</v>
      </c>
      <c r="FH60" s="131" t="s">
        <v>389</v>
      </c>
      <c r="FI60" s="131"/>
      <c r="FJ60" s="131"/>
      <c r="FK60" s="131"/>
      <c r="FL60" s="131"/>
      <c r="FM60" s="131"/>
      <c r="FN60" s="131"/>
      <c r="FO60" s="131"/>
      <c r="FP60" s="52"/>
      <c r="FQ60" s="52"/>
      <c r="FR60" s="52"/>
      <c r="FS60" s="52"/>
      <c r="FT60" s="52"/>
      <c r="FU60" s="52"/>
      <c r="FV60" s="52"/>
      <c r="FW60" s="52"/>
      <c r="FX60" s="52"/>
      <c r="FY60" s="52"/>
      <c r="FZ60" s="52"/>
      <c r="GA60" s="52"/>
      <c r="GB60" s="52"/>
      <c r="GC60" s="52"/>
      <c r="GD60" s="52"/>
      <c r="GE60" s="52"/>
      <c r="GF60" s="52"/>
      <c r="GG60" s="52"/>
      <c r="GH60" s="52"/>
      <c r="GI60" s="52"/>
      <c r="GJ60" s="52"/>
      <c r="GK60" s="52"/>
      <c r="GL60" s="52"/>
      <c r="GM60" s="52"/>
      <c r="GN60" s="52"/>
      <c r="GO60" s="52"/>
      <c r="GP60" s="52"/>
      <c r="GQ60" s="52"/>
      <c r="GR60" s="52"/>
      <c r="GS60" s="52"/>
      <c r="GT60" s="52"/>
      <c r="GU60" s="52"/>
      <c r="GV60" s="52"/>
      <c r="GW60" s="52"/>
      <c r="GX60" s="52"/>
      <c r="GY60" s="52"/>
      <c r="GZ60" s="52"/>
      <c r="HA60" s="52"/>
      <c r="HB60" s="52"/>
      <c r="HC60" s="52"/>
      <c r="HD60" s="52"/>
      <c r="HE60" s="52"/>
      <c r="HF60" s="128" t="n">
        <v>5</v>
      </c>
      <c r="HG60" s="128" t="n">
        <v>2</v>
      </c>
      <c r="HH60" s="131" t="s">
        <v>451</v>
      </c>
      <c r="HI60" s="131" t="s">
        <v>410</v>
      </c>
      <c r="HJ60" s="131" t="s">
        <v>452</v>
      </c>
      <c r="HK60" s="131" t="s">
        <v>453</v>
      </c>
      <c r="HL60" s="131" t="s">
        <v>389</v>
      </c>
      <c r="HM60" s="52"/>
      <c r="HN60" s="52"/>
      <c r="HO60" s="52"/>
      <c r="HP60" s="52"/>
      <c r="HQ60" s="52"/>
      <c r="HR60" s="52"/>
      <c r="HS60" s="52"/>
      <c r="HT60" s="131"/>
      <c r="HU60" s="128"/>
      <c r="HV60" s="131"/>
      <c r="HW60" s="131"/>
      <c r="HX60" s="131"/>
      <c r="HY60" s="131"/>
      <c r="HZ60" s="131"/>
    </row>
    <row r="61" customFormat="false" ht="12.8" hidden="true" customHeight="false" outlineLevel="0" collapsed="false">
      <c r="A61" s="16" t="s">
        <v>52</v>
      </c>
      <c r="B61" s="17" t="s">
        <v>81</v>
      </c>
      <c r="C61" s="16" t="s">
        <v>174</v>
      </c>
      <c r="D61" s="16" t="s">
        <v>177</v>
      </c>
      <c r="E61" s="156" t="s">
        <v>87</v>
      </c>
      <c r="F61" s="16" t="s">
        <v>178</v>
      </c>
      <c r="G61" s="154"/>
      <c r="H61" s="150"/>
      <c r="I61" s="150"/>
      <c r="J61" s="150"/>
      <c r="K61" s="128" t="n">
        <v>3500</v>
      </c>
      <c r="L61" s="18"/>
      <c r="M61" s="18" t="n">
        <f aca="false">IF(AD61,1,0)+IF(AK61,1,0)+AN61+AU61+BB61+BI61+BP61+BW61+CD61+CK61+CR61+CY61+DF61+DM61+DT61+EA61+EH61+EO61+EV61+FC61+FJ61+FQ61+FX61+GE61+GL61+GS61+GZ61+HG61+HN61+HU61</f>
        <v>0</v>
      </c>
      <c r="N61" s="131"/>
      <c r="O61" s="147"/>
      <c r="P61" s="147"/>
      <c r="Q61" s="147"/>
      <c r="R61" s="12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31"/>
      <c r="AD61" s="128"/>
      <c r="AE61" s="128"/>
      <c r="AF61" s="128"/>
      <c r="AG61" s="128"/>
      <c r="AH61" s="128"/>
      <c r="AI61" s="147"/>
      <c r="AJ61" s="128"/>
      <c r="AK61" s="128"/>
      <c r="AL61" s="147"/>
      <c r="AM61" s="131"/>
      <c r="AN61" s="128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16"/>
      <c r="CK61" s="16"/>
      <c r="CL61" s="16"/>
      <c r="CM61" s="16"/>
      <c r="CN61" s="16"/>
      <c r="CO61" s="16"/>
      <c r="CP61" s="16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  <c r="DN61" s="52"/>
      <c r="DO61" s="52"/>
      <c r="DP61" s="52"/>
      <c r="DQ61" s="52"/>
      <c r="DR61" s="52"/>
      <c r="DS61" s="52"/>
      <c r="DT61" s="52"/>
      <c r="DU61" s="52"/>
      <c r="DV61" s="52"/>
      <c r="DW61" s="52"/>
      <c r="DX61" s="52"/>
      <c r="DY61" s="52"/>
      <c r="DZ61" s="52"/>
      <c r="EA61" s="52"/>
      <c r="EB61" s="52"/>
      <c r="EC61" s="52"/>
      <c r="ED61" s="52"/>
      <c r="EE61" s="52"/>
      <c r="EF61" s="52"/>
      <c r="EG61" s="52"/>
      <c r="EH61" s="52"/>
      <c r="EI61" s="52"/>
      <c r="EJ61" s="52"/>
      <c r="EK61" s="52"/>
      <c r="EL61" s="52"/>
      <c r="EM61" s="52"/>
      <c r="EN61" s="52"/>
      <c r="EO61" s="52"/>
      <c r="EP61" s="52"/>
      <c r="EQ61" s="52"/>
      <c r="ER61" s="52"/>
      <c r="ES61" s="52"/>
      <c r="ET61" s="52"/>
      <c r="EU61" s="52"/>
      <c r="EV61" s="52"/>
      <c r="EW61" s="52"/>
      <c r="EX61" s="52"/>
      <c r="EY61" s="52"/>
      <c r="EZ61" s="52"/>
      <c r="FA61" s="52"/>
      <c r="FB61" s="52"/>
      <c r="FC61" s="52"/>
      <c r="FD61" s="52"/>
      <c r="FE61" s="52"/>
      <c r="FF61" s="52"/>
      <c r="FG61" s="52"/>
      <c r="FH61" s="52"/>
      <c r="FI61" s="52"/>
      <c r="FJ61" s="52"/>
      <c r="FK61" s="52"/>
      <c r="FL61" s="52"/>
      <c r="FM61" s="52"/>
      <c r="FN61" s="52"/>
      <c r="FO61" s="52"/>
      <c r="FP61" s="52"/>
      <c r="FQ61" s="52"/>
      <c r="FR61" s="52"/>
      <c r="FS61" s="52"/>
      <c r="FT61" s="52"/>
      <c r="FU61" s="52"/>
      <c r="FV61" s="52"/>
      <c r="FW61" s="52"/>
      <c r="FX61" s="52"/>
      <c r="FY61" s="52"/>
      <c r="FZ61" s="52"/>
      <c r="GA61" s="52"/>
      <c r="GB61" s="52"/>
      <c r="GC61" s="52"/>
      <c r="GD61" s="52"/>
      <c r="GE61" s="52"/>
      <c r="GF61" s="52"/>
      <c r="GG61" s="52"/>
      <c r="GH61" s="52"/>
      <c r="GI61" s="52"/>
      <c r="GJ61" s="52"/>
      <c r="GK61" s="52"/>
      <c r="GL61" s="52"/>
      <c r="GM61" s="52"/>
      <c r="GN61" s="52"/>
      <c r="GO61" s="52"/>
      <c r="GP61" s="52"/>
      <c r="GQ61" s="52"/>
      <c r="GR61" s="52"/>
      <c r="GS61" s="52"/>
      <c r="GT61" s="52"/>
      <c r="GU61" s="52"/>
      <c r="GV61" s="52"/>
      <c r="GW61" s="52"/>
      <c r="GX61" s="52"/>
      <c r="GY61" s="52"/>
      <c r="GZ61" s="52"/>
      <c r="HA61" s="52"/>
      <c r="HB61" s="52"/>
      <c r="HC61" s="52"/>
      <c r="HD61" s="52"/>
      <c r="HE61" s="52"/>
      <c r="HF61" s="52"/>
      <c r="HG61" s="52"/>
      <c r="HH61" s="52"/>
      <c r="HI61" s="52"/>
      <c r="HJ61" s="52"/>
      <c r="HK61" s="52"/>
      <c r="HL61" s="52"/>
      <c r="HM61" s="52"/>
      <c r="HN61" s="52"/>
      <c r="HO61" s="52"/>
      <c r="HP61" s="52"/>
      <c r="HQ61" s="52"/>
      <c r="HR61" s="52"/>
      <c r="HS61" s="52"/>
      <c r="HT61" s="131"/>
      <c r="HU61" s="128"/>
      <c r="HV61" s="131"/>
      <c r="HW61" s="131"/>
      <c r="HX61" s="131"/>
      <c r="HY61" s="131"/>
      <c r="HZ61" s="131"/>
    </row>
    <row r="62" customFormat="false" ht="12.8" hidden="true" customHeight="false" outlineLevel="0" collapsed="false">
      <c r="A62" s="16" t="s">
        <v>52</v>
      </c>
      <c r="B62" s="17" t="s">
        <v>81</v>
      </c>
      <c r="C62" s="16" t="s">
        <v>174</v>
      </c>
      <c r="D62" s="16" t="s">
        <v>179</v>
      </c>
      <c r="E62" s="156" t="s">
        <v>88</v>
      </c>
      <c r="F62" s="16" t="s">
        <v>180</v>
      </c>
      <c r="G62" s="154"/>
      <c r="H62" s="150"/>
      <c r="I62" s="150"/>
      <c r="J62" s="150"/>
      <c r="K62" s="128" t="n">
        <v>3500</v>
      </c>
      <c r="L62" s="18"/>
      <c r="M62" s="18" t="n">
        <f aca="false">IF(AD62,1,0)+IF(AK62,1,0)+AN62+AU62+BB62+BI62+BP62+BW62+CD62+CK62+CR62+CY62+DF62+DM62+DT62+EA62+EH62+EO62+EV62+FC62+FJ62+FQ62+FX62+GE62+GL62+GS62+GZ62+HG62+HN62+HU62</f>
        <v>0</v>
      </c>
      <c r="N62" s="131"/>
      <c r="O62" s="147"/>
      <c r="P62" s="147"/>
      <c r="Q62" s="147"/>
      <c r="R62" s="12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31"/>
      <c r="AD62" s="128"/>
      <c r="AE62" s="128"/>
      <c r="AF62" s="128"/>
      <c r="AG62" s="128"/>
      <c r="AH62" s="128"/>
      <c r="AI62" s="147"/>
      <c r="AJ62" s="128"/>
      <c r="AK62" s="128"/>
      <c r="AL62" s="147"/>
      <c r="AM62" s="131"/>
      <c r="AN62" s="128"/>
      <c r="AO62" s="131"/>
      <c r="AP62" s="131"/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16"/>
      <c r="CK62" s="16"/>
      <c r="CL62" s="16"/>
      <c r="CM62" s="16"/>
      <c r="CN62" s="16"/>
      <c r="CO62" s="16"/>
      <c r="CP62" s="16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/>
      <c r="DR62" s="52"/>
      <c r="DS62" s="52"/>
      <c r="DT62" s="52"/>
      <c r="DU62" s="52"/>
      <c r="DV62" s="52"/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  <c r="EM62" s="52"/>
      <c r="EN62" s="52"/>
      <c r="EO62" s="52"/>
      <c r="EP62" s="52"/>
      <c r="EQ62" s="52"/>
      <c r="ER62" s="52"/>
      <c r="ES62" s="52"/>
      <c r="ET62" s="52"/>
      <c r="EU62" s="52"/>
      <c r="EV62" s="52"/>
      <c r="EW62" s="52"/>
      <c r="EX62" s="52"/>
      <c r="EY62" s="52"/>
      <c r="EZ62" s="52"/>
      <c r="FA62" s="52"/>
      <c r="FB62" s="52"/>
      <c r="FC62" s="52"/>
      <c r="FD62" s="52"/>
      <c r="FE62" s="52"/>
      <c r="FF62" s="52"/>
      <c r="FG62" s="52"/>
      <c r="FH62" s="52"/>
      <c r="FI62" s="52"/>
      <c r="FJ62" s="52"/>
      <c r="FK62" s="52"/>
      <c r="FL62" s="52"/>
      <c r="FM62" s="52"/>
      <c r="FN62" s="52"/>
      <c r="FO62" s="52"/>
      <c r="FP62" s="52"/>
      <c r="FQ62" s="52"/>
      <c r="FR62" s="52"/>
      <c r="FS62" s="52"/>
      <c r="FT62" s="52"/>
      <c r="FU62" s="52"/>
      <c r="FV62" s="52"/>
      <c r="FW62" s="52"/>
      <c r="FX62" s="52"/>
      <c r="FY62" s="52"/>
      <c r="FZ62" s="52"/>
      <c r="GA62" s="52"/>
      <c r="GB62" s="52"/>
      <c r="GC62" s="52"/>
      <c r="GD62" s="52"/>
      <c r="GE62" s="52"/>
      <c r="GF62" s="52"/>
      <c r="GG62" s="52"/>
      <c r="GH62" s="52"/>
      <c r="GI62" s="52"/>
      <c r="GJ62" s="52"/>
      <c r="GK62" s="52"/>
      <c r="GL62" s="52"/>
      <c r="GM62" s="52"/>
      <c r="GN62" s="52"/>
      <c r="GO62" s="52"/>
      <c r="GP62" s="52"/>
      <c r="GQ62" s="52"/>
      <c r="GR62" s="52"/>
      <c r="GS62" s="52"/>
      <c r="GT62" s="52"/>
      <c r="GU62" s="52"/>
      <c r="GV62" s="52"/>
      <c r="GW62" s="52"/>
      <c r="GX62" s="52"/>
      <c r="GY62" s="52"/>
      <c r="GZ62" s="52"/>
      <c r="HA62" s="52"/>
      <c r="HB62" s="52"/>
      <c r="HC62" s="52"/>
      <c r="HD62" s="52"/>
      <c r="HE62" s="52"/>
      <c r="HF62" s="52"/>
      <c r="HG62" s="52"/>
      <c r="HH62" s="52"/>
      <c r="HI62" s="52"/>
      <c r="HJ62" s="52"/>
      <c r="HK62" s="52"/>
      <c r="HL62" s="52"/>
      <c r="HM62" s="52"/>
      <c r="HN62" s="52"/>
      <c r="HO62" s="52"/>
      <c r="HP62" s="52"/>
      <c r="HQ62" s="52"/>
      <c r="HR62" s="52"/>
      <c r="HS62" s="52"/>
      <c r="HT62" s="131"/>
      <c r="HU62" s="128"/>
      <c r="HV62" s="131"/>
      <c r="HW62" s="131"/>
      <c r="HX62" s="131"/>
      <c r="HY62" s="131"/>
      <c r="HZ62" s="131"/>
    </row>
    <row r="63" customFormat="false" ht="12.8" hidden="true" customHeight="false" outlineLevel="0" collapsed="false">
      <c r="A63" s="16" t="s">
        <v>52</v>
      </c>
      <c r="B63" s="17" t="s">
        <v>81</v>
      </c>
      <c r="C63" s="17" t="s">
        <v>181</v>
      </c>
      <c r="D63" s="17" t="s">
        <v>182</v>
      </c>
      <c r="E63" s="130" t="s">
        <v>89</v>
      </c>
      <c r="F63" s="17" t="s">
        <v>183</v>
      </c>
      <c r="G63" s="154" t="s">
        <v>587</v>
      </c>
      <c r="H63" s="148" t="s">
        <v>92</v>
      </c>
      <c r="I63" s="150"/>
      <c r="J63" s="150"/>
      <c r="K63" s="128" t="n">
        <v>3500</v>
      </c>
      <c r="L63" s="18" t="n">
        <v>4</v>
      </c>
      <c r="M63" s="18" t="n">
        <f aca="false">IF(AD63,1,0)+IF(AK63,1,0)+AN63+AU63+BB63+BI63+BP63+BW63+CD63+CK63+CR63+CY63+DF63+DM63+DT63+EA63+EH63+EO63+EV63+FC63+FJ63+FQ63+FX63+GE63+GL63+GS63+GZ63+HG63+HN63+HU63</f>
        <v>0</v>
      </c>
      <c r="N63" s="131"/>
      <c r="O63" s="147" t="n">
        <v>1350</v>
      </c>
      <c r="P63" s="147" t="n">
        <v>356</v>
      </c>
      <c r="Q63" s="147" t="n">
        <v>229</v>
      </c>
      <c r="R63" s="21" t="s">
        <v>44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31"/>
      <c r="AD63" s="128"/>
      <c r="AE63" s="128"/>
      <c r="AF63" s="128"/>
      <c r="AG63" s="128"/>
      <c r="AH63" s="128"/>
      <c r="AI63" s="147"/>
      <c r="AJ63" s="128"/>
      <c r="AK63" s="128"/>
      <c r="AL63" s="147"/>
      <c r="AM63" s="131"/>
      <c r="AN63" s="128"/>
      <c r="AO63" s="131"/>
      <c r="AP63" s="131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16"/>
      <c r="CK63" s="16"/>
      <c r="CL63" s="16"/>
      <c r="CM63" s="16"/>
      <c r="CN63" s="16"/>
      <c r="CO63" s="16"/>
      <c r="CP63" s="16"/>
      <c r="CQ63" s="128" t="n">
        <v>15</v>
      </c>
      <c r="CR63" s="128" t="n">
        <v>2</v>
      </c>
      <c r="CS63" s="131" t="s">
        <v>641</v>
      </c>
      <c r="CT63" s="131" t="s">
        <v>642</v>
      </c>
      <c r="CU63" s="131" t="s">
        <v>396</v>
      </c>
      <c r="CV63" s="131" t="s">
        <v>397</v>
      </c>
      <c r="CW63" s="131" t="s">
        <v>473</v>
      </c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  <c r="FB63" s="128" t="n">
        <v>15</v>
      </c>
      <c r="FC63" s="128" t="n">
        <v>2</v>
      </c>
      <c r="FD63" s="131" t="s">
        <v>643</v>
      </c>
      <c r="FE63" s="131" t="s">
        <v>396</v>
      </c>
      <c r="FF63" s="131" t="s">
        <v>644</v>
      </c>
      <c r="FG63" s="131" t="s">
        <v>606</v>
      </c>
      <c r="FH63" s="131" t="s">
        <v>607</v>
      </c>
      <c r="FI63" s="131"/>
      <c r="FJ63" s="131"/>
      <c r="FK63" s="131"/>
      <c r="FL63" s="131"/>
      <c r="FM63" s="131"/>
      <c r="FN63" s="131"/>
      <c r="FO63" s="131"/>
      <c r="FP63" s="52"/>
      <c r="FQ63" s="52"/>
      <c r="FR63" s="52"/>
      <c r="FS63" s="52"/>
      <c r="FT63" s="52"/>
      <c r="FU63" s="52"/>
      <c r="FV63" s="52"/>
      <c r="FW63" s="52"/>
      <c r="FX63" s="52"/>
      <c r="FY63" s="52"/>
      <c r="FZ63" s="52"/>
      <c r="GA63" s="52"/>
      <c r="GB63" s="52"/>
      <c r="GC63" s="52"/>
      <c r="GD63" s="52"/>
      <c r="GE63" s="52"/>
      <c r="GF63" s="52"/>
      <c r="GG63" s="52"/>
      <c r="GH63" s="52"/>
      <c r="GI63" s="52"/>
      <c r="GJ63" s="52"/>
      <c r="GK63" s="52"/>
      <c r="GL63" s="52"/>
      <c r="GM63" s="52"/>
      <c r="GN63" s="52"/>
      <c r="GO63" s="52"/>
      <c r="GP63" s="52"/>
      <c r="GQ63" s="52"/>
      <c r="GR63" s="52"/>
      <c r="GS63" s="52"/>
      <c r="GT63" s="52"/>
      <c r="GU63" s="52"/>
      <c r="GV63" s="52"/>
      <c r="GW63" s="52"/>
      <c r="GX63" s="52"/>
      <c r="GY63" s="52"/>
      <c r="GZ63" s="52"/>
      <c r="HA63" s="52"/>
      <c r="HB63" s="52"/>
      <c r="HC63" s="52"/>
      <c r="HD63" s="52"/>
      <c r="HE63" s="52"/>
      <c r="HF63" s="128" t="n">
        <v>15</v>
      </c>
      <c r="HG63" s="128" t="n">
        <v>1</v>
      </c>
      <c r="HH63" s="131" t="s">
        <v>643</v>
      </c>
      <c r="HI63" s="131" t="s">
        <v>396</v>
      </c>
      <c r="HJ63" s="131" t="s">
        <v>644</v>
      </c>
      <c r="HK63" s="131" t="s">
        <v>606</v>
      </c>
      <c r="HL63" s="131" t="s">
        <v>607</v>
      </c>
      <c r="HM63" s="39" t="n">
        <v>15</v>
      </c>
      <c r="HN63" s="128" t="n">
        <v>1</v>
      </c>
      <c r="HO63" s="131" t="s">
        <v>643</v>
      </c>
      <c r="HP63" s="131" t="s">
        <v>396</v>
      </c>
      <c r="HQ63" s="131" t="s">
        <v>644</v>
      </c>
      <c r="HR63" s="131" t="s">
        <v>606</v>
      </c>
      <c r="HS63" s="131" t="s">
        <v>607</v>
      </c>
      <c r="HT63" s="131"/>
      <c r="HU63" s="128"/>
      <c r="HV63" s="131"/>
      <c r="HW63" s="131"/>
      <c r="HX63" s="131"/>
      <c r="HY63" s="131"/>
      <c r="HZ63" s="131"/>
    </row>
    <row r="64" customFormat="false" ht="12.8" hidden="true" customHeight="false" outlineLevel="0" collapsed="false">
      <c r="A64" s="36" t="s">
        <v>52</v>
      </c>
      <c r="B64" s="35" t="s">
        <v>81</v>
      </c>
      <c r="C64" s="35" t="s">
        <v>181</v>
      </c>
      <c r="D64" s="35" t="s">
        <v>184</v>
      </c>
      <c r="E64" s="34" t="s">
        <v>87</v>
      </c>
      <c r="F64" s="35" t="s">
        <v>121</v>
      </c>
      <c r="G64" s="154" t="s">
        <v>587</v>
      </c>
      <c r="H64" s="148" t="s">
        <v>92</v>
      </c>
      <c r="I64" s="150"/>
      <c r="J64" s="150"/>
      <c r="K64" s="128" t="n">
        <v>3500</v>
      </c>
      <c r="L64" s="18" t="n">
        <v>4</v>
      </c>
      <c r="M64" s="18" t="n">
        <f aca="false">IF(AD64,1,0)+IF(AK64,1,0)+AN64+AU64+BB64+BI64+BP64+BW64+CD64+CK64+CR64+CY64+DF64+DM64+DT64+EA64+EH64+EO64+EV64+FC64+FJ64+FQ64+FX64+GE64+GL64+GS64+GZ64+HG64+HN64+HU64</f>
        <v>0</v>
      </c>
      <c r="N64" s="131"/>
      <c r="O64" s="147" t="n">
        <v>1350</v>
      </c>
      <c r="P64" s="147" t="n">
        <v>356</v>
      </c>
      <c r="Q64" s="147" t="n">
        <v>229</v>
      </c>
      <c r="R64" s="21" t="s">
        <v>44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31"/>
      <c r="AD64" s="128"/>
      <c r="AE64" s="128"/>
      <c r="AF64" s="128"/>
      <c r="AG64" s="128"/>
      <c r="AH64" s="128"/>
      <c r="AI64" s="147"/>
      <c r="AJ64" s="128"/>
      <c r="AK64" s="128"/>
      <c r="AL64" s="147"/>
      <c r="AM64" s="131"/>
      <c r="AN64" s="128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  <c r="AZ64" s="131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16"/>
      <c r="CK64" s="16"/>
      <c r="CL64" s="16"/>
      <c r="CM64" s="16"/>
      <c r="CN64" s="16"/>
      <c r="CO64" s="16"/>
      <c r="CP64" s="16"/>
      <c r="CQ64" s="128" t="n">
        <v>15</v>
      </c>
      <c r="CR64" s="128" t="n">
        <v>2</v>
      </c>
      <c r="CS64" s="131" t="s">
        <v>641</v>
      </c>
      <c r="CT64" s="131" t="s">
        <v>642</v>
      </c>
      <c r="CU64" s="131" t="s">
        <v>396</v>
      </c>
      <c r="CV64" s="131" t="s">
        <v>397</v>
      </c>
      <c r="CW64" s="131" t="s">
        <v>473</v>
      </c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  <c r="FB64" s="128" t="n">
        <v>15</v>
      </c>
      <c r="FC64" s="128" t="n">
        <v>2</v>
      </c>
      <c r="FD64" s="131" t="s">
        <v>643</v>
      </c>
      <c r="FE64" s="131" t="s">
        <v>396</v>
      </c>
      <c r="FF64" s="131" t="s">
        <v>644</v>
      </c>
      <c r="FG64" s="131" t="s">
        <v>606</v>
      </c>
      <c r="FH64" s="131" t="s">
        <v>607</v>
      </c>
      <c r="FI64" s="131"/>
      <c r="FJ64" s="131"/>
      <c r="FK64" s="131"/>
      <c r="FL64" s="131"/>
      <c r="FM64" s="131"/>
      <c r="FN64" s="131"/>
      <c r="FO64" s="131"/>
      <c r="FP64" s="52"/>
      <c r="FQ64" s="52"/>
      <c r="FR64" s="52"/>
      <c r="FS64" s="52"/>
      <c r="FT64" s="52"/>
      <c r="FU64" s="52"/>
      <c r="FV64" s="52"/>
      <c r="FW64" s="52"/>
      <c r="FX64" s="52"/>
      <c r="FY64" s="52"/>
      <c r="FZ64" s="52"/>
      <c r="GA64" s="52"/>
      <c r="GB64" s="52"/>
      <c r="GC64" s="52"/>
      <c r="GD64" s="52"/>
      <c r="GE64" s="52"/>
      <c r="GF64" s="52"/>
      <c r="GG64" s="52"/>
      <c r="GH64" s="52"/>
      <c r="GI64" s="52"/>
      <c r="GJ64" s="52"/>
      <c r="GK64" s="52"/>
      <c r="GL64" s="52"/>
      <c r="GM64" s="52"/>
      <c r="GN64" s="52"/>
      <c r="GO64" s="52"/>
      <c r="GP64" s="52"/>
      <c r="GQ64" s="52"/>
      <c r="GR64" s="52"/>
      <c r="GS64" s="52"/>
      <c r="GT64" s="52"/>
      <c r="GU64" s="52"/>
      <c r="GV64" s="52"/>
      <c r="GW64" s="52"/>
      <c r="GX64" s="52"/>
      <c r="GY64" s="52"/>
      <c r="GZ64" s="52"/>
      <c r="HA64" s="52"/>
      <c r="HB64" s="52"/>
      <c r="HC64" s="52"/>
      <c r="HD64" s="52"/>
      <c r="HE64" s="52"/>
      <c r="HF64" s="128" t="n">
        <v>15</v>
      </c>
      <c r="HG64" s="128" t="n">
        <v>1</v>
      </c>
      <c r="HH64" s="131" t="s">
        <v>643</v>
      </c>
      <c r="HI64" s="131" t="s">
        <v>396</v>
      </c>
      <c r="HJ64" s="131" t="s">
        <v>644</v>
      </c>
      <c r="HK64" s="131" t="s">
        <v>606</v>
      </c>
      <c r="HL64" s="131" t="s">
        <v>607</v>
      </c>
      <c r="HM64" s="39" t="n">
        <v>15</v>
      </c>
      <c r="HN64" s="128" t="n">
        <v>1</v>
      </c>
      <c r="HO64" s="131" t="s">
        <v>643</v>
      </c>
      <c r="HP64" s="131" t="s">
        <v>396</v>
      </c>
      <c r="HQ64" s="131" t="s">
        <v>644</v>
      </c>
      <c r="HR64" s="131" t="s">
        <v>606</v>
      </c>
      <c r="HS64" s="131" t="s">
        <v>607</v>
      </c>
      <c r="HT64" s="131"/>
      <c r="HU64" s="128"/>
      <c r="HV64" s="131"/>
      <c r="HW64" s="131"/>
      <c r="HX64" s="131"/>
      <c r="HY64" s="131"/>
      <c r="HZ64" s="131"/>
    </row>
    <row r="65" customFormat="false" ht="12.8" hidden="true" customHeight="false" outlineLevel="0" collapsed="false">
      <c r="A65" s="16" t="s">
        <v>52</v>
      </c>
      <c r="B65" s="17" t="s">
        <v>81</v>
      </c>
      <c r="C65" s="17" t="s">
        <v>185</v>
      </c>
      <c r="D65" s="16" t="s">
        <v>186</v>
      </c>
      <c r="E65" s="156" t="s">
        <v>89</v>
      </c>
      <c r="F65" s="16" t="s">
        <v>153</v>
      </c>
      <c r="G65" s="154" t="s">
        <v>645</v>
      </c>
      <c r="H65" s="150"/>
      <c r="I65" s="150"/>
      <c r="J65" s="150"/>
      <c r="K65" s="128" t="n">
        <v>3500</v>
      </c>
      <c r="L65" s="18" t="n">
        <v>4</v>
      </c>
      <c r="M65" s="18" t="n">
        <f aca="false">IF(AD65,1,0)+IF(AK65,1,0)+AN65+AU65+BB65+BI65+BP65+BW65+CD65+CK65+CR65+CY65+DF65+DM65+DT65+EA65+EH65+EO65+EV65+FC65+FJ65+FQ65+FX65+GE65+GL65+GS65+GZ65+HG65+HN65+HU65</f>
        <v>0</v>
      </c>
      <c r="N65" s="131"/>
      <c r="O65" s="147" t="n">
        <v>600</v>
      </c>
      <c r="P65" s="147" t="n">
        <v>384</v>
      </c>
      <c r="Q65" s="147" t="n">
        <v>138</v>
      </c>
      <c r="R65" s="21" t="s">
        <v>44</v>
      </c>
      <c r="S65" s="18"/>
      <c r="T65" s="18"/>
      <c r="U65" s="18"/>
      <c r="V65" s="18"/>
      <c r="W65" s="18"/>
      <c r="X65" s="18"/>
      <c r="Y65" s="21" t="s">
        <v>541</v>
      </c>
      <c r="Z65" s="18"/>
      <c r="AA65" s="18"/>
      <c r="AB65" s="18"/>
      <c r="AC65" s="23" t="s">
        <v>668</v>
      </c>
      <c r="AD65" s="128" t="n">
        <v>8</v>
      </c>
      <c r="AE65" s="21" t="s">
        <v>669</v>
      </c>
      <c r="AF65" s="128"/>
      <c r="AG65" s="128"/>
      <c r="AH65" s="128"/>
      <c r="AI65" s="147" t="s">
        <v>670</v>
      </c>
      <c r="AJ65" s="21" t="s">
        <v>676</v>
      </c>
      <c r="AK65" s="128" t="n">
        <v>5</v>
      </c>
      <c r="AL65" s="147" t="s">
        <v>677</v>
      </c>
      <c r="AM65" s="131"/>
      <c r="AN65" s="128"/>
      <c r="AO65" s="131"/>
      <c r="AP65" s="131"/>
      <c r="AQ65" s="131"/>
      <c r="AR65" s="131"/>
      <c r="AS65" s="131"/>
      <c r="AT65" s="131"/>
      <c r="AU65" s="131"/>
      <c r="AV65" s="131"/>
      <c r="AW65" s="131"/>
      <c r="AX65" s="131"/>
      <c r="AY65" s="131"/>
      <c r="AZ65" s="131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16"/>
      <c r="CK65" s="16"/>
      <c r="CL65" s="16"/>
      <c r="CM65" s="16"/>
      <c r="CN65" s="16"/>
      <c r="CO65" s="16"/>
      <c r="CP65" s="16"/>
      <c r="CQ65" s="128" t="n">
        <v>5</v>
      </c>
      <c r="CR65" s="128" t="n">
        <v>2</v>
      </c>
      <c r="CS65" s="131" t="s">
        <v>390</v>
      </c>
      <c r="CT65" s="131" t="s">
        <v>391</v>
      </c>
      <c r="CU65" s="131" t="s">
        <v>410</v>
      </c>
      <c r="CV65" s="131" t="s">
        <v>411</v>
      </c>
      <c r="CW65" s="131" t="s">
        <v>415</v>
      </c>
      <c r="CX65" s="131"/>
      <c r="CY65" s="131"/>
      <c r="CZ65" s="131"/>
      <c r="DA65" s="131"/>
      <c r="DB65" s="131"/>
      <c r="DC65" s="131"/>
      <c r="DD65" s="131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  <c r="FB65" s="52"/>
      <c r="FC65" s="52"/>
      <c r="FD65" s="52"/>
      <c r="FE65" s="52"/>
      <c r="FF65" s="52"/>
      <c r="FG65" s="52"/>
      <c r="FH65" s="52"/>
      <c r="FI65" s="52"/>
      <c r="FJ65" s="52"/>
      <c r="FK65" s="52"/>
      <c r="FL65" s="52"/>
      <c r="FM65" s="52"/>
      <c r="FN65" s="52"/>
      <c r="FO65" s="52"/>
      <c r="FP65" s="52"/>
      <c r="FQ65" s="52"/>
      <c r="FR65" s="52"/>
      <c r="FS65" s="52"/>
      <c r="FT65" s="52"/>
      <c r="FU65" s="52"/>
      <c r="FV65" s="52"/>
      <c r="FW65" s="52"/>
      <c r="FX65" s="52"/>
      <c r="FY65" s="52"/>
      <c r="FZ65" s="52"/>
      <c r="GA65" s="52"/>
      <c r="GB65" s="52"/>
      <c r="GC65" s="52"/>
      <c r="GD65" s="52"/>
      <c r="GE65" s="52"/>
      <c r="GF65" s="52"/>
      <c r="GG65" s="52"/>
      <c r="GH65" s="52"/>
      <c r="GI65" s="52"/>
      <c r="GJ65" s="52"/>
      <c r="GK65" s="52"/>
      <c r="GL65" s="52"/>
      <c r="GM65" s="52"/>
      <c r="GN65" s="52"/>
      <c r="GO65" s="52"/>
      <c r="GP65" s="52"/>
      <c r="GQ65" s="52"/>
      <c r="GR65" s="52"/>
      <c r="GS65" s="52"/>
      <c r="GT65" s="52"/>
      <c r="GU65" s="52"/>
      <c r="GV65" s="52"/>
      <c r="GW65" s="52"/>
      <c r="GX65" s="52"/>
      <c r="GY65" s="52"/>
      <c r="GZ65" s="52"/>
      <c r="HA65" s="52"/>
      <c r="HB65" s="52"/>
      <c r="HC65" s="52"/>
      <c r="HD65" s="52"/>
      <c r="HE65" s="52"/>
      <c r="HF65" s="128" t="n">
        <v>5</v>
      </c>
      <c r="HG65" s="128" t="n">
        <v>1</v>
      </c>
      <c r="HH65" s="131" t="s">
        <v>451</v>
      </c>
      <c r="HI65" s="131" t="s">
        <v>410</v>
      </c>
      <c r="HJ65" s="131" t="s">
        <v>452</v>
      </c>
      <c r="HK65" s="131" t="s">
        <v>453</v>
      </c>
      <c r="HL65" s="131" t="s">
        <v>389</v>
      </c>
      <c r="HM65" s="52"/>
      <c r="HN65" s="52"/>
      <c r="HO65" s="52"/>
      <c r="HP65" s="52"/>
      <c r="HQ65" s="52"/>
      <c r="HR65" s="52"/>
      <c r="HS65" s="52"/>
      <c r="HT65" s="131"/>
      <c r="HU65" s="128"/>
      <c r="HV65" s="131"/>
      <c r="HW65" s="131"/>
      <c r="HX65" s="131"/>
      <c r="HY65" s="131"/>
      <c r="HZ65" s="131"/>
    </row>
    <row r="66" customFormat="false" ht="12.8" hidden="true" customHeight="false" outlineLevel="0" collapsed="false">
      <c r="A66" s="16" t="s">
        <v>52</v>
      </c>
      <c r="B66" s="17" t="s">
        <v>81</v>
      </c>
      <c r="C66" s="17" t="s">
        <v>185</v>
      </c>
      <c r="D66" s="16" t="s">
        <v>187</v>
      </c>
      <c r="E66" s="156" t="s">
        <v>87</v>
      </c>
      <c r="F66" s="16" t="s">
        <v>188</v>
      </c>
      <c r="G66" s="154"/>
      <c r="H66" s="150"/>
      <c r="I66" s="150"/>
      <c r="J66" s="150"/>
      <c r="K66" s="128" t="n">
        <v>3500</v>
      </c>
      <c r="L66" s="18"/>
      <c r="M66" s="18" t="n">
        <f aca="false">IF(AD66,1,0)+IF(AK66,1,0)+AN66+AU66+BB66+BI66+BP66+BW66+CD66+CK66+CR66+CY66+DF66+DM66+DT66+EA66+EH66+EO66+EV66+FC66+FJ66+FQ66+FX66+GE66+GL66+GS66+GZ66+HG66+HN66+HU66</f>
        <v>0</v>
      </c>
      <c r="N66" s="131"/>
      <c r="O66" s="147"/>
      <c r="P66" s="147"/>
      <c r="Q66" s="147"/>
      <c r="R66" s="12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31"/>
      <c r="AD66" s="128"/>
      <c r="AE66" s="128"/>
      <c r="AF66" s="128"/>
      <c r="AG66" s="128"/>
      <c r="AH66" s="128"/>
      <c r="AI66" s="147"/>
      <c r="AJ66" s="128"/>
      <c r="AK66" s="128"/>
      <c r="AL66" s="147"/>
      <c r="AM66" s="131"/>
      <c r="AN66" s="128"/>
      <c r="AO66" s="131"/>
      <c r="AP66" s="131"/>
      <c r="AQ66" s="131"/>
      <c r="AR66" s="131"/>
      <c r="AS66" s="131"/>
      <c r="AT66" s="131"/>
      <c r="AU66" s="131"/>
      <c r="AV66" s="131"/>
      <c r="AW66" s="131"/>
      <c r="AX66" s="131"/>
      <c r="AY66" s="131"/>
      <c r="AZ66" s="131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16"/>
      <c r="CK66" s="16"/>
      <c r="CL66" s="16"/>
      <c r="CM66" s="16"/>
      <c r="CN66" s="16"/>
      <c r="CO66" s="16"/>
      <c r="CP66" s="16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2"/>
      <c r="FB66" s="52"/>
      <c r="FC66" s="52"/>
      <c r="FD66" s="52"/>
      <c r="FE66" s="52"/>
      <c r="FF66" s="52"/>
      <c r="FG66" s="52"/>
      <c r="FH66" s="52"/>
      <c r="FI66" s="52"/>
      <c r="FJ66" s="52"/>
      <c r="FK66" s="52"/>
      <c r="FL66" s="52"/>
      <c r="FM66" s="52"/>
      <c r="FN66" s="52"/>
      <c r="FO66" s="52"/>
      <c r="FP66" s="52"/>
      <c r="FQ66" s="52"/>
      <c r="FR66" s="52"/>
      <c r="FS66" s="52"/>
      <c r="FT66" s="52"/>
      <c r="FU66" s="52"/>
      <c r="FV66" s="52"/>
      <c r="FW66" s="52"/>
      <c r="FX66" s="52"/>
      <c r="FY66" s="52"/>
      <c r="FZ66" s="52"/>
      <c r="GA66" s="52"/>
      <c r="GB66" s="52"/>
      <c r="GC66" s="52"/>
      <c r="GD66" s="52"/>
      <c r="GE66" s="52"/>
      <c r="GF66" s="52"/>
      <c r="GG66" s="52"/>
      <c r="GH66" s="52"/>
      <c r="GI66" s="52"/>
      <c r="GJ66" s="52"/>
      <c r="GK66" s="52"/>
      <c r="GL66" s="52"/>
      <c r="GM66" s="52"/>
      <c r="GN66" s="52"/>
      <c r="GO66" s="52"/>
      <c r="GP66" s="52"/>
      <c r="GQ66" s="52"/>
      <c r="GR66" s="52"/>
      <c r="GS66" s="52"/>
      <c r="GT66" s="52"/>
      <c r="GU66" s="52"/>
      <c r="GV66" s="52"/>
      <c r="GW66" s="52"/>
      <c r="GX66" s="52"/>
      <c r="GY66" s="52"/>
      <c r="GZ66" s="52"/>
      <c r="HA66" s="52"/>
      <c r="HB66" s="52"/>
      <c r="HC66" s="52"/>
      <c r="HD66" s="52"/>
      <c r="HE66" s="52"/>
      <c r="HF66" s="52"/>
      <c r="HG66" s="52"/>
      <c r="HH66" s="52"/>
      <c r="HI66" s="52"/>
      <c r="HJ66" s="52"/>
      <c r="HK66" s="52"/>
      <c r="HL66" s="52"/>
      <c r="HM66" s="52"/>
      <c r="HN66" s="52"/>
      <c r="HO66" s="52"/>
      <c r="HP66" s="52"/>
      <c r="HQ66" s="52"/>
      <c r="HR66" s="52"/>
      <c r="HS66" s="52"/>
      <c r="HT66" s="131"/>
      <c r="HU66" s="128"/>
      <c r="HV66" s="131"/>
      <c r="HW66" s="131"/>
      <c r="HX66" s="131"/>
      <c r="HY66" s="131"/>
      <c r="HZ66" s="131"/>
    </row>
    <row r="67" customFormat="false" ht="12.8" hidden="true" customHeight="false" outlineLevel="0" collapsed="false">
      <c r="A67" s="16" t="s">
        <v>52</v>
      </c>
      <c r="B67" s="17" t="s">
        <v>81</v>
      </c>
      <c r="C67" s="17" t="s">
        <v>185</v>
      </c>
      <c r="D67" s="16" t="s">
        <v>162</v>
      </c>
      <c r="E67" s="156" t="s">
        <v>88</v>
      </c>
      <c r="F67" s="16" t="s">
        <v>163</v>
      </c>
      <c r="G67" s="154"/>
      <c r="H67" s="150"/>
      <c r="I67" s="150"/>
      <c r="J67" s="150"/>
      <c r="K67" s="128" t="n">
        <v>3500</v>
      </c>
      <c r="L67" s="18"/>
      <c r="M67" s="18" t="n">
        <f aca="false">IF(AD67,1,0)+IF(AK67,1,0)+AN67+AU67+BB67+BI67+BP67+BW67+CD67+CK67+CR67+CY67+DF67+DM67+DT67+EA67+EH67+EO67+EV67+FC67+FJ67+FQ67+FX67+GE67+GL67+GS67+GZ67+HG67+HN67+HU67</f>
        <v>0</v>
      </c>
      <c r="N67" s="131"/>
      <c r="O67" s="147"/>
      <c r="P67" s="147"/>
      <c r="Q67" s="147"/>
      <c r="R67" s="12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31"/>
      <c r="AD67" s="128"/>
      <c r="AE67" s="128"/>
      <c r="AF67" s="128"/>
      <c r="AG67" s="128"/>
      <c r="AH67" s="128"/>
      <c r="AI67" s="147"/>
      <c r="AJ67" s="128"/>
      <c r="AK67" s="128"/>
      <c r="AL67" s="147"/>
      <c r="AM67" s="131"/>
      <c r="AN67" s="128"/>
      <c r="AO67" s="131"/>
      <c r="AP67" s="131"/>
      <c r="AQ67" s="131"/>
      <c r="AR67" s="131"/>
      <c r="AS67" s="131"/>
      <c r="AT67" s="131"/>
      <c r="AU67" s="131"/>
      <c r="AV67" s="131"/>
      <c r="AW67" s="131"/>
      <c r="AX67" s="131"/>
      <c r="AY67" s="131"/>
      <c r="AZ67" s="131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16"/>
      <c r="CK67" s="16"/>
      <c r="CL67" s="16"/>
      <c r="CM67" s="16"/>
      <c r="CN67" s="16"/>
      <c r="CO67" s="16"/>
      <c r="CP67" s="16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2"/>
      <c r="FB67" s="52"/>
      <c r="FC67" s="52"/>
      <c r="FD67" s="52"/>
      <c r="FE67" s="52"/>
      <c r="FF67" s="52"/>
      <c r="FG67" s="52"/>
      <c r="FH67" s="52"/>
      <c r="FI67" s="52"/>
      <c r="FJ67" s="52"/>
      <c r="FK67" s="52"/>
      <c r="FL67" s="52"/>
      <c r="FM67" s="52"/>
      <c r="FN67" s="52"/>
      <c r="FO67" s="52"/>
      <c r="FP67" s="52"/>
      <c r="FQ67" s="52"/>
      <c r="FR67" s="52"/>
      <c r="FS67" s="52"/>
      <c r="FT67" s="52"/>
      <c r="FU67" s="52"/>
      <c r="FV67" s="52"/>
      <c r="FW67" s="52"/>
      <c r="FX67" s="52"/>
      <c r="FY67" s="52"/>
      <c r="FZ67" s="52"/>
      <c r="GA67" s="52"/>
      <c r="GB67" s="52"/>
      <c r="GC67" s="52"/>
      <c r="GD67" s="52"/>
      <c r="GE67" s="52"/>
      <c r="GF67" s="52"/>
      <c r="GG67" s="52"/>
      <c r="GH67" s="52"/>
      <c r="GI67" s="52"/>
      <c r="GJ67" s="52"/>
      <c r="GK67" s="52"/>
      <c r="GL67" s="52"/>
      <c r="GM67" s="52"/>
      <c r="GN67" s="52"/>
      <c r="GO67" s="52"/>
      <c r="GP67" s="52"/>
      <c r="GQ67" s="52"/>
      <c r="GR67" s="52"/>
      <c r="GS67" s="52"/>
      <c r="GT67" s="52"/>
      <c r="GU67" s="52"/>
      <c r="GV67" s="52"/>
      <c r="GW67" s="52"/>
      <c r="GX67" s="52"/>
      <c r="GY67" s="52"/>
      <c r="GZ67" s="52"/>
      <c r="HA67" s="52"/>
      <c r="HB67" s="52"/>
      <c r="HC67" s="52"/>
      <c r="HD67" s="52"/>
      <c r="HE67" s="52"/>
      <c r="HF67" s="52"/>
      <c r="HG67" s="52"/>
      <c r="HH67" s="52"/>
      <c r="HI67" s="52"/>
      <c r="HJ67" s="52"/>
      <c r="HK67" s="52"/>
      <c r="HL67" s="52"/>
      <c r="HM67" s="52"/>
      <c r="HN67" s="52"/>
      <c r="HO67" s="52"/>
      <c r="HP67" s="52"/>
      <c r="HQ67" s="52"/>
      <c r="HR67" s="52"/>
      <c r="HS67" s="52"/>
      <c r="HT67" s="131"/>
      <c r="HU67" s="128"/>
      <c r="HV67" s="131"/>
      <c r="HW67" s="131"/>
      <c r="HX67" s="131"/>
      <c r="HY67" s="131"/>
      <c r="HZ67" s="131"/>
    </row>
    <row r="68" customFormat="false" ht="12.8" hidden="true" customHeight="false" outlineLevel="0" collapsed="false">
      <c r="A68" s="16" t="s">
        <v>52</v>
      </c>
      <c r="B68" s="17" t="s">
        <v>93</v>
      </c>
      <c r="C68" s="130" t="s">
        <v>189</v>
      </c>
      <c r="D68" s="17" t="s">
        <v>190</v>
      </c>
      <c r="E68" s="156" t="s">
        <v>89</v>
      </c>
      <c r="F68" s="16" t="s">
        <v>101</v>
      </c>
      <c r="G68" s="157" t="s">
        <v>678</v>
      </c>
      <c r="H68" s="148" t="s">
        <v>92</v>
      </c>
      <c r="I68" s="150"/>
      <c r="J68" s="150"/>
      <c r="K68" s="128" t="n">
        <v>3500</v>
      </c>
      <c r="L68" s="18" t="n">
        <v>7</v>
      </c>
      <c r="M68" s="18" t="n">
        <f aca="false">IF(AD68,1,0)+IF(AK68,1,0)+AN68+AU68+BB68+BI68+BP68+BW68+CD68+CK68+CR68+CY68+DF68+DM68+DT68+EA68+EH68+EO68+EV68+FC68+FJ68+FQ68+FX68+GE68+GL68+GS68+GZ68+HG68+HN68+HU68</f>
        <v>0</v>
      </c>
      <c r="N68" s="131"/>
      <c r="O68" s="147" t="n">
        <v>1928</v>
      </c>
      <c r="P68" s="147" t="n">
        <v>539</v>
      </c>
      <c r="Q68" s="147" t="n">
        <v>270</v>
      </c>
      <c r="R68" s="21" t="s">
        <v>44</v>
      </c>
      <c r="S68" s="18"/>
      <c r="T68" s="18"/>
      <c r="U68" s="18"/>
      <c r="V68" s="18"/>
      <c r="W68" s="18"/>
      <c r="X68" s="18"/>
      <c r="Y68" s="21" t="s">
        <v>541</v>
      </c>
      <c r="Z68" s="18"/>
      <c r="AA68" s="18"/>
      <c r="AB68" s="18"/>
      <c r="AC68" s="23" t="s">
        <v>618</v>
      </c>
      <c r="AD68" s="128" t="n">
        <v>15</v>
      </c>
      <c r="AE68" s="128"/>
      <c r="AF68" s="128" t="n">
        <v>60</v>
      </c>
      <c r="AG68" s="128" t="n">
        <v>15</v>
      </c>
      <c r="AH68" s="128" t="n">
        <v>10</v>
      </c>
      <c r="AI68" s="147" t="s">
        <v>619</v>
      </c>
      <c r="AJ68" s="128"/>
      <c r="AK68" s="128"/>
      <c r="AL68" s="147"/>
      <c r="AM68" s="131"/>
      <c r="AN68" s="128"/>
      <c r="AO68" s="131"/>
      <c r="AP68" s="131"/>
      <c r="AQ68" s="131"/>
      <c r="AR68" s="131"/>
      <c r="AS68" s="131"/>
      <c r="AT68" s="131"/>
      <c r="AU68" s="131"/>
      <c r="AV68" s="131"/>
      <c r="AW68" s="131"/>
      <c r="AX68" s="131"/>
      <c r="AY68" s="131"/>
      <c r="AZ68" s="131"/>
      <c r="BA68" s="128" t="n">
        <v>10</v>
      </c>
      <c r="BB68" s="128" t="n">
        <v>1</v>
      </c>
      <c r="BC68" s="131" t="s">
        <v>679</v>
      </c>
      <c r="BD68" s="131" t="s">
        <v>660</v>
      </c>
      <c r="BE68" s="131" t="s">
        <v>680</v>
      </c>
      <c r="BF68" s="131" t="s">
        <v>681</v>
      </c>
      <c r="BG68" s="131" t="s">
        <v>381</v>
      </c>
      <c r="BH68" s="131"/>
      <c r="BI68" s="131"/>
      <c r="BJ68" s="131"/>
      <c r="BK68" s="131"/>
      <c r="BL68" s="131"/>
      <c r="BM68" s="131"/>
      <c r="BN68" s="131"/>
      <c r="BO68" s="131"/>
      <c r="BP68" s="131"/>
      <c r="BQ68" s="131"/>
      <c r="BR68" s="131"/>
      <c r="BS68" s="131"/>
      <c r="BT68" s="131"/>
      <c r="BU68" s="131"/>
      <c r="BV68" s="131"/>
      <c r="BW68" s="131"/>
      <c r="BX68" s="131"/>
      <c r="BY68" s="131"/>
      <c r="BZ68" s="131"/>
      <c r="CA68" s="131"/>
      <c r="CB68" s="131"/>
      <c r="CC68" s="131"/>
      <c r="CD68" s="131"/>
      <c r="CE68" s="131"/>
      <c r="CF68" s="131"/>
      <c r="CG68" s="131"/>
      <c r="CH68" s="131"/>
      <c r="CI68" s="131"/>
      <c r="CJ68" s="131"/>
      <c r="CK68" s="131"/>
      <c r="CL68" s="131"/>
      <c r="CM68" s="131"/>
      <c r="CN68" s="131"/>
      <c r="CO68" s="131"/>
      <c r="CP68" s="131"/>
      <c r="CQ68" s="128" t="n">
        <v>10</v>
      </c>
      <c r="CR68" s="128" t="n">
        <v>2</v>
      </c>
      <c r="CS68" s="131" t="s">
        <v>381</v>
      </c>
      <c r="CT68" s="131" t="s">
        <v>382</v>
      </c>
      <c r="CU68" s="131" t="s">
        <v>383</v>
      </c>
      <c r="CV68" s="131" t="s">
        <v>384</v>
      </c>
      <c r="CW68" s="131" t="s">
        <v>399</v>
      </c>
      <c r="CX68" s="131"/>
      <c r="CY68" s="131"/>
      <c r="CZ68" s="131"/>
      <c r="DA68" s="131"/>
      <c r="DB68" s="131"/>
      <c r="DC68" s="131"/>
      <c r="DD68" s="131"/>
      <c r="DE68" s="131"/>
      <c r="DF68" s="131"/>
      <c r="DG68" s="131"/>
      <c r="DH68" s="131"/>
      <c r="DI68" s="131"/>
      <c r="DJ68" s="131"/>
      <c r="DK68" s="131"/>
      <c r="DL68" s="131"/>
      <c r="DM68" s="131"/>
      <c r="DN68" s="131"/>
      <c r="DO68" s="131"/>
      <c r="DP68" s="131"/>
      <c r="DQ68" s="131"/>
      <c r="DR68" s="131"/>
      <c r="DS68" s="131"/>
      <c r="DT68" s="131"/>
      <c r="DU68" s="131"/>
      <c r="DV68" s="131"/>
      <c r="DW68" s="131"/>
      <c r="DX68" s="131"/>
      <c r="DY68" s="131"/>
      <c r="DZ68" s="131"/>
      <c r="EA68" s="131"/>
      <c r="EB68" s="131"/>
      <c r="EC68" s="131"/>
      <c r="ED68" s="131"/>
      <c r="EE68" s="131"/>
      <c r="EF68" s="131"/>
      <c r="EG68" s="131"/>
      <c r="EH68" s="131"/>
      <c r="EI68" s="131"/>
      <c r="EJ68" s="131"/>
      <c r="EK68" s="131"/>
      <c r="EL68" s="131"/>
      <c r="EM68" s="131"/>
      <c r="EN68" s="131"/>
      <c r="EO68" s="131"/>
      <c r="EP68" s="131"/>
      <c r="EQ68" s="131"/>
      <c r="ER68" s="131"/>
      <c r="ES68" s="131"/>
      <c r="ET68" s="131"/>
      <c r="EU68" s="131"/>
      <c r="EV68" s="131"/>
      <c r="EW68" s="131"/>
      <c r="EX68" s="131"/>
      <c r="EY68" s="131"/>
      <c r="EZ68" s="131"/>
      <c r="FA68" s="131"/>
      <c r="FB68" s="128" t="n">
        <v>10</v>
      </c>
      <c r="FC68" s="128" t="n">
        <v>2</v>
      </c>
      <c r="FD68" s="131" t="s">
        <v>572</v>
      </c>
      <c r="FE68" s="131" t="s">
        <v>383</v>
      </c>
      <c r="FF68" s="131" t="s">
        <v>573</v>
      </c>
      <c r="FG68" s="131" t="s">
        <v>574</v>
      </c>
      <c r="FH68" s="131" t="s">
        <v>378</v>
      </c>
      <c r="FI68" s="131"/>
      <c r="FJ68" s="131"/>
      <c r="FK68" s="131"/>
      <c r="FL68" s="131"/>
      <c r="FM68" s="131"/>
      <c r="FN68" s="131"/>
      <c r="FO68" s="131"/>
      <c r="FP68" s="131"/>
      <c r="FQ68" s="131"/>
      <c r="FR68" s="131"/>
      <c r="FS68" s="131"/>
      <c r="FT68" s="131"/>
      <c r="FU68" s="131"/>
      <c r="FV68" s="131"/>
      <c r="FW68" s="131"/>
      <c r="FX68" s="131"/>
      <c r="FY68" s="131"/>
      <c r="FZ68" s="131"/>
      <c r="GA68" s="131"/>
      <c r="GB68" s="131"/>
      <c r="GC68" s="131"/>
      <c r="GD68" s="131"/>
      <c r="GE68" s="131"/>
      <c r="GF68" s="131"/>
      <c r="GG68" s="131"/>
      <c r="GH68" s="131"/>
      <c r="GI68" s="131"/>
      <c r="GJ68" s="131"/>
      <c r="GK68" s="131"/>
      <c r="GL68" s="131"/>
      <c r="GM68" s="131"/>
      <c r="GN68" s="131"/>
      <c r="GO68" s="131"/>
      <c r="GP68" s="131"/>
      <c r="GQ68" s="131"/>
      <c r="GR68" s="131"/>
      <c r="GS68" s="131"/>
      <c r="GT68" s="131"/>
      <c r="GU68" s="131"/>
      <c r="GV68" s="131"/>
      <c r="GW68" s="131"/>
      <c r="GX68" s="131"/>
      <c r="GY68" s="131"/>
      <c r="GZ68" s="131"/>
      <c r="HA68" s="131"/>
      <c r="HB68" s="131"/>
      <c r="HC68" s="131"/>
      <c r="HD68" s="131"/>
      <c r="HE68" s="131"/>
      <c r="HF68" s="128" t="n">
        <v>10</v>
      </c>
      <c r="HG68" s="128" t="n">
        <v>2</v>
      </c>
      <c r="HH68" s="131" t="s">
        <v>572</v>
      </c>
      <c r="HI68" s="131" t="s">
        <v>383</v>
      </c>
      <c r="HJ68" s="131" t="s">
        <v>573</v>
      </c>
      <c r="HK68" s="131" t="s">
        <v>574</v>
      </c>
      <c r="HL68" s="131" t="s">
        <v>378</v>
      </c>
      <c r="HM68" s="39" t="n">
        <v>10</v>
      </c>
      <c r="HN68" s="128" t="n">
        <v>2</v>
      </c>
      <c r="HO68" s="131" t="s">
        <v>572</v>
      </c>
      <c r="HP68" s="131" t="s">
        <v>383</v>
      </c>
      <c r="HQ68" s="131" t="s">
        <v>573</v>
      </c>
      <c r="HR68" s="131" t="s">
        <v>574</v>
      </c>
      <c r="HS68" s="131" t="s">
        <v>378</v>
      </c>
      <c r="HT68" s="131"/>
      <c r="HU68" s="128"/>
      <c r="HV68" s="131"/>
      <c r="HW68" s="131"/>
      <c r="HX68" s="131"/>
      <c r="HY68" s="131"/>
      <c r="HZ68" s="131"/>
    </row>
    <row r="69" customFormat="false" ht="12.8" hidden="true" customHeight="false" outlineLevel="0" collapsed="false">
      <c r="A69" s="16" t="s">
        <v>52</v>
      </c>
      <c r="B69" s="17" t="s">
        <v>93</v>
      </c>
      <c r="C69" s="130" t="s">
        <v>189</v>
      </c>
      <c r="D69" s="17" t="s">
        <v>191</v>
      </c>
      <c r="E69" s="156" t="s">
        <v>87</v>
      </c>
      <c r="F69" s="16" t="s">
        <v>192</v>
      </c>
      <c r="G69" s="157" t="s">
        <v>682</v>
      </c>
      <c r="H69" s="148" t="s">
        <v>92</v>
      </c>
      <c r="I69" s="150"/>
      <c r="J69" s="150"/>
      <c r="K69" s="128" t="n">
        <v>3500</v>
      </c>
      <c r="L69" s="18" t="n">
        <v>7</v>
      </c>
      <c r="M69" s="18" t="n">
        <f aca="false">IF(AD69,1,0)+IF(AK69,1,0)+AN69+AU69+BB69+BI69+BP69+BW69+CD69+CK69+CR69+CY69+DF69+DM69+DT69+EA69+EH69+EO69+EV69+FC69+FJ69+FQ69+FX69+GE69+GL69+GS69+GZ69+HG69+HN69+HU69</f>
        <v>0</v>
      </c>
      <c r="N69" s="131"/>
      <c r="O69" s="147" t="n">
        <v>1285</v>
      </c>
      <c r="P69" s="147" t="n">
        <v>891</v>
      </c>
      <c r="Q69" s="147" t="n">
        <v>180</v>
      </c>
      <c r="R69" s="21" t="s">
        <v>44</v>
      </c>
      <c r="S69" s="21" t="s">
        <v>44</v>
      </c>
      <c r="T69" s="18"/>
      <c r="U69" s="18"/>
      <c r="V69" s="18"/>
      <c r="W69" s="18"/>
      <c r="X69" s="18"/>
      <c r="Y69" s="21" t="s">
        <v>588</v>
      </c>
      <c r="Z69" s="18"/>
      <c r="AA69" s="18"/>
      <c r="AB69" s="18"/>
      <c r="AC69" s="23" t="s">
        <v>618</v>
      </c>
      <c r="AD69" s="128" t="n">
        <v>14</v>
      </c>
      <c r="AE69" s="128"/>
      <c r="AF69" s="128" t="n">
        <v>60</v>
      </c>
      <c r="AG69" s="128" t="n">
        <v>15</v>
      </c>
      <c r="AH69" s="128" t="n">
        <v>10</v>
      </c>
      <c r="AI69" s="147" t="s">
        <v>619</v>
      </c>
      <c r="AJ69" s="128"/>
      <c r="AK69" s="128"/>
      <c r="AL69" s="147"/>
      <c r="AM69" s="131"/>
      <c r="AN69" s="128"/>
      <c r="AO69" s="131"/>
      <c r="AP69" s="131"/>
      <c r="AQ69" s="131"/>
      <c r="AR69" s="131"/>
      <c r="AS69" s="131"/>
      <c r="AT69" s="131"/>
      <c r="AU69" s="131"/>
      <c r="AV69" s="131"/>
      <c r="AW69" s="131"/>
      <c r="AX69" s="131"/>
      <c r="AY69" s="131"/>
      <c r="AZ69" s="131"/>
      <c r="BA69" s="128" t="n">
        <v>8</v>
      </c>
      <c r="BB69" s="128" t="n">
        <v>1</v>
      </c>
      <c r="BC69" s="131" t="s">
        <v>683</v>
      </c>
      <c r="BD69" s="131"/>
      <c r="BE69" s="131"/>
      <c r="BF69" s="131"/>
      <c r="BG69" s="131"/>
      <c r="BH69" s="131"/>
      <c r="BI69" s="131"/>
      <c r="BJ69" s="131"/>
      <c r="BK69" s="131"/>
      <c r="BL69" s="131"/>
      <c r="BM69" s="131"/>
      <c r="BN69" s="131"/>
      <c r="BO69" s="131"/>
      <c r="BP69" s="131"/>
      <c r="BQ69" s="131"/>
      <c r="BR69" s="131"/>
      <c r="BS69" s="131"/>
      <c r="BT69" s="131"/>
      <c r="BU69" s="131"/>
      <c r="BV69" s="131"/>
      <c r="BW69" s="131"/>
      <c r="BX69" s="131"/>
      <c r="BY69" s="131"/>
      <c r="BZ69" s="131"/>
      <c r="CA69" s="131"/>
      <c r="CB69" s="131"/>
      <c r="CC69" s="131"/>
      <c r="CD69" s="131"/>
      <c r="CE69" s="131"/>
      <c r="CF69" s="131"/>
      <c r="CG69" s="131"/>
      <c r="CH69" s="131"/>
      <c r="CI69" s="131"/>
      <c r="CJ69" s="131"/>
      <c r="CK69" s="131"/>
      <c r="CL69" s="131"/>
      <c r="CM69" s="131"/>
      <c r="CN69" s="131"/>
      <c r="CO69" s="131"/>
      <c r="CP69" s="131"/>
      <c r="CQ69" s="128" t="n">
        <v>8</v>
      </c>
      <c r="CR69" s="128" t="n">
        <v>2</v>
      </c>
      <c r="CS69" s="131" t="s">
        <v>390</v>
      </c>
      <c r="CT69" s="131" t="s">
        <v>391</v>
      </c>
      <c r="CU69" s="131" t="s">
        <v>383</v>
      </c>
      <c r="CV69" s="131" t="s">
        <v>384</v>
      </c>
      <c r="CW69" s="131" t="s">
        <v>399</v>
      </c>
      <c r="CX69" s="131"/>
      <c r="CY69" s="131"/>
      <c r="CZ69" s="131"/>
      <c r="DA69" s="131"/>
      <c r="DB69" s="131"/>
      <c r="DC69" s="131"/>
      <c r="DD69" s="131"/>
      <c r="DE69" s="131"/>
      <c r="DF69" s="131"/>
      <c r="DG69" s="131"/>
      <c r="DH69" s="131"/>
      <c r="DI69" s="131"/>
      <c r="DJ69" s="131"/>
      <c r="DK69" s="131"/>
      <c r="DL69" s="131"/>
      <c r="DM69" s="131"/>
      <c r="DN69" s="131"/>
      <c r="DO69" s="131"/>
      <c r="DP69" s="131"/>
      <c r="DQ69" s="131"/>
      <c r="DR69" s="131"/>
      <c r="DS69" s="131"/>
      <c r="DT69" s="131"/>
      <c r="DU69" s="131"/>
      <c r="DV69" s="131"/>
      <c r="DW69" s="131"/>
      <c r="DX69" s="131"/>
      <c r="DY69" s="131"/>
      <c r="DZ69" s="131"/>
      <c r="EA69" s="131"/>
      <c r="EB69" s="131"/>
      <c r="EC69" s="131"/>
      <c r="ED69" s="131"/>
      <c r="EE69" s="131"/>
      <c r="EF69" s="131"/>
      <c r="EG69" s="131"/>
      <c r="EH69" s="131"/>
      <c r="EI69" s="131"/>
      <c r="EJ69" s="131"/>
      <c r="EK69" s="131"/>
      <c r="EL69" s="131"/>
      <c r="EM69" s="131"/>
      <c r="EN69" s="131"/>
      <c r="EO69" s="131"/>
      <c r="EP69" s="131"/>
      <c r="EQ69" s="131"/>
      <c r="ER69" s="131"/>
      <c r="ES69" s="131"/>
      <c r="ET69" s="131"/>
      <c r="EU69" s="131"/>
      <c r="EV69" s="131"/>
      <c r="EW69" s="131"/>
      <c r="EX69" s="131"/>
      <c r="EY69" s="131"/>
      <c r="EZ69" s="131"/>
      <c r="FA69" s="131"/>
      <c r="FB69" s="128" t="n">
        <v>8</v>
      </c>
      <c r="FC69" s="128" t="n">
        <v>2</v>
      </c>
      <c r="FD69" s="131" t="s">
        <v>451</v>
      </c>
      <c r="FE69" s="131" t="s">
        <v>410</v>
      </c>
      <c r="FF69" s="131" t="s">
        <v>573</v>
      </c>
      <c r="FG69" s="131" t="s">
        <v>574</v>
      </c>
      <c r="FH69" s="131" t="s">
        <v>378</v>
      </c>
      <c r="FI69" s="131"/>
      <c r="FJ69" s="131"/>
      <c r="FK69" s="131"/>
      <c r="FL69" s="131"/>
      <c r="FM69" s="131"/>
      <c r="FN69" s="131"/>
      <c r="FO69" s="131"/>
      <c r="FP69" s="131"/>
      <c r="FQ69" s="131"/>
      <c r="FR69" s="131"/>
      <c r="FS69" s="131"/>
      <c r="FT69" s="131"/>
      <c r="FU69" s="131"/>
      <c r="FV69" s="131"/>
      <c r="FW69" s="131"/>
      <c r="FX69" s="131"/>
      <c r="FY69" s="131"/>
      <c r="FZ69" s="131"/>
      <c r="GA69" s="131"/>
      <c r="GB69" s="131"/>
      <c r="GC69" s="131"/>
      <c r="GD69" s="131"/>
      <c r="GE69" s="131"/>
      <c r="GF69" s="131"/>
      <c r="GG69" s="131"/>
      <c r="GH69" s="131"/>
      <c r="GI69" s="131"/>
      <c r="GJ69" s="131"/>
      <c r="GK69" s="131"/>
      <c r="GL69" s="131"/>
      <c r="GM69" s="131"/>
      <c r="GN69" s="131"/>
      <c r="GO69" s="131"/>
      <c r="GP69" s="131"/>
      <c r="GQ69" s="131"/>
      <c r="GR69" s="131"/>
      <c r="GS69" s="131"/>
      <c r="GT69" s="131"/>
      <c r="GU69" s="131"/>
      <c r="GV69" s="131"/>
      <c r="GW69" s="131"/>
      <c r="GX69" s="131"/>
      <c r="GY69" s="131"/>
      <c r="GZ69" s="131"/>
      <c r="HA69" s="131"/>
      <c r="HB69" s="131"/>
      <c r="HC69" s="131"/>
      <c r="HD69" s="131"/>
      <c r="HE69" s="131"/>
      <c r="HF69" s="128" t="n">
        <v>8</v>
      </c>
      <c r="HG69" s="128" t="n">
        <v>2</v>
      </c>
      <c r="HH69" s="131" t="s">
        <v>451</v>
      </c>
      <c r="HI69" s="131" t="s">
        <v>410</v>
      </c>
      <c r="HJ69" s="131" t="s">
        <v>573</v>
      </c>
      <c r="HK69" s="131" t="s">
        <v>574</v>
      </c>
      <c r="HL69" s="131" t="s">
        <v>378</v>
      </c>
      <c r="HM69" s="39" t="n">
        <v>8</v>
      </c>
      <c r="HN69" s="128" t="n">
        <v>2</v>
      </c>
      <c r="HO69" s="131" t="s">
        <v>451</v>
      </c>
      <c r="HP69" s="131" t="s">
        <v>410</v>
      </c>
      <c r="HQ69" s="131" t="s">
        <v>573</v>
      </c>
      <c r="HR69" s="131" t="s">
        <v>574</v>
      </c>
      <c r="HS69" s="131" t="s">
        <v>378</v>
      </c>
      <c r="HT69" s="131"/>
      <c r="HU69" s="128"/>
      <c r="HV69" s="131"/>
      <c r="HW69" s="131"/>
      <c r="HX69" s="131"/>
      <c r="HY69" s="131"/>
      <c r="HZ69" s="131"/>
    </row>
    <row r="70" customFormat="false" ht="12.8" hidden="true" customHeight="false" outlineLevel="0" collapsed="false">
      <c r="A70" s="16" t="s">
        <v>52</v>
      </c>
      <c r="B70" s="17" t="s">
        <v>93</v>
      </c>
      <c r="C70" s="130" t="s">
        <v>189</v>
      </c>
      <c r="D70" s="17" t="s">
        <v>193</v>
      </c>
      <c r="E70" s="156" t="s">
        <v>88</v>
      </c>
      <c r="F70" s="16" t="s">
        <v>194</v>
      </c>
      <c r="G70" s="157" t="s">
        <v>678</v>
      </c>
      <c r="H70" s="148" t="s">
        <v>92</v>
      </c>
      <c r="I70" s="150"/>
      <c r="J70" s="150"/>
      <c r="K70" s="128" t="n">
        <v>3500</v>
      </c>
      <c r="L70" s="18" t="n">
        <v>7</v>
      </c>
      <c r="M70" s="18" t="n">
        <f aca="false">IF(AD70,1,0)+IF(AK70,1,0)+AN70+AU70+BB70+BI70+BP70+BW70+CD70+CK70+CR70+CY70+DF70+DM70+DT70+EA70+EH70+EO70+EV70+FC70+FJ70+FQ70+FX70+GE70+GL70+GS70+GZ70+HG70+HN70+HU70</f>
        <v>0</v>
      </c>
      <c r="N70" s="131"/>
      <c r="O70" s="147" t="n">
        <v>642</v>
      </c>
      <c r="P70" s="147" t="n">
        <v>737</v>
      </c>
      <c r="Q70" s="147" t="n">
        <v>90</v>
      </c>
      <c r="R70" s="21" t="s">
        <v>44</v>
      </c>
      <c r="S70" s="21" t="s">
        <v>44</v>
      </c>
      <c r="T70" s="18"/>
      <c r="U70" s="18"/>
      <c r="V70" s="18"/>
      <c r="W70" s="18"/>
      <c r="X70" s="18"/>
      <c r="Y70" s="21" t="s">
        <v>588</v>
      </c>
      <c r="Z70" s="18"/>
      <c r="AA70" s="18"/>
      <c r="AB70" s="18"/>
      <c r="AC70" s="23" t="s">
        <v>618</v>
      </c>
      <c r="AD70" s="128" t="n">
        <v>14</v>
      </c>
      <c r="AE70" s="128"/>
      <c r="AF70" s="128" t="n">
        <v>60</v>
      </c>
      <c r="AG70" s="128" t="n">
        <v>15</v>
      </c>
      <c r="AH70" s="128" t="n">
        <v>10</v>
      </c>
      <c r="AI70" s="147" t="s">
        <v>619</v>
      </c>
      <c r="AJ70" s="128"/>
      <c r="AK70" s="128"/>
      <c r="AL70" s="147"/>
      <c r="AM70" s="131"/>
      <c r="AN70" s="128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28" t="n">
        <v>9</v>
      </c>
      <c r="BB70" s="128" t="n">
        <v>1</v>
      </c>
      <c r="BC70" s="131" t="s">
        <v>659</v>
      </c>
      <c r="BD70" s="131" t="s">
        <v>660</v>
      </c>
      <c r="BE70" s="131" t="s">
        <v>680</v>
      </c>
      <c r="BF70" s="131" t="s">
        <v>681</v>
      </c>
      <c r="BG70" s="131" t="s">
        <v>381</v>
      </c>
      <c r="BH70" s="131"/>
      <c r="BI70" s="131"/>
      <c r="BJ70" s="131"/>
      <c r="BK70" s="131"/>
      <c r="BL70" s="131"/>
      <c r="BM70" s="131"/>
      <c r="BN70" s="131"/>
      <c r="BO70" s="131"/>
      <c r="BP70" s="131"/>
      <c r="BQ70" s="131"/>
      <c r="BR70" s="131"/>
      <c r="BS70" s="131"/>
      <c r="BT70" s="131"/>
      <c r="BU70" s="131"/>
      <c r="BV70" s="131"/>
      <c r="BW70" s="131"/>
      <c r="BX70" s="131"/>
      <c r="BY70" s="131"/>
      <c r="BZ70" s="131"/>
      <c r="CA70" s="131"/>
      <c r="CB70" s="131"/>
      <c r="CC70" s="131"/>
      <c r="CD70" s="131"/>
      <c r="CE70" s="131"/>
      <c r="CF70" s="131"/>
      <c r="CG70" s="131"/>
      <c r="CH70" s="131"/>
      <c r="CI70" s="131"/>
      <c r="CJ70" s="131"/>
      <c r="CK70" s="131"/>
      <c r="CL70" s="131"/>
      <c r="CM70" s="131"/>
      <c r="CN70" s="131"/>
      <c r="CO70" s="131"/>
      <c r="CP70" s="131"/>
      <c r="CQ70" s="128" t="n">
        <v>9</v>
      </c>
      <c r="CR70" s="128" t="n">
        <v>2</v>
      </c>
      <c r="CS70" s="131" t="s">
        <v>390</v>
      </c>
      <c r="CT70" s="131" t="s">
        <v>382</v>
      </c>
      <c r="CU70" s="131" t="s">
        <v>383</v>
      </c>
      <c r="CV70" s="131" t="s">
        <v>384</v>
      </c>
      <c r="CW70" s="131" t="s">
        <v>399</v>
      </c>
      <c r="CX70" s="131"/>
      <c r="CY70" s="131"/>
      <c r="CZ70" s="131"/>
      <c r="DA70" s="131"/>
      <c r="DB70" s="131"/>
      <c r="DC70" s="131"/>
      <c r="DD70" s="131"/>
      <c r="DE70" s="131"/>
      <c r="DF70" s="131"/>
      <c r="DG70" s="131"/>
      <c r="DH70" s="131"/>
      <c r="DI70" s="131"/>
      <c r="DJ70" s="131"/>
      <c r="DK70" s="131"/>
      <c r="DL70" s="131"/>
      <c r="DM70" s="131"/>
      <c r="DN70" s="131"/>
      <c r="DO70" s="131"/>
      <c r="DP70" s="131"/>
      <c r="DQ70" s="131"/>
      <c r="DR70" s="131"/>
      <c r="DS70" s="131"/>
      <c r="DT70" s="131"/>
      <c r="DU70" s="131"/>
      <c r="DV70" s="131"/>
      <c r="DW70" s="131"/>
      <c r="DX70" s="131"/>
      <c r="DY70" s="131"/>
      <c r="DZ70" s="131"/>
      <c r="EA70" s="131"/>
      <c r="EB70" s="131"/>
      <c r="EC70" s="131"/>
      <c r="ED70" s="131"/>
      <c r="EE70" s="131"/>
      <c r="EF70" s="131"/>
      <c r="EG70" s="131"/>
      <c r="EH70" s="131"/>
      <c r="EI70" s="131"/>
      <c r="EJ70" s="131"/>
      <c r="EK70" s="131"/>
      <c r="EL70" s="131"/>
      <c r="EM70" s="131"/>
      <c r="EN70" s="131"/>
      <c r="EO70" s="131"/>
      <c r="EP70" s="131"/>
      <c r="EQ70" s="131"/>
      <c r="ER70" s="131"/>
      <c r="ES70" s="131"/>
      <c r="ET70" s="131"/>
      <c r="EU70" s="131"/>
      <c r="EV70" s="131"/>
      <c r="EW70" s="131"/>
      <c r="EX70" s="131"/>
      <c r="EY70" s="131"/>
      <c r="EZ70" s="131"/>
      <c r="FA70" s="131"/>
      <c r="FB70" s="128" t="n">
        <v>9</v>
      </c>
      <c r="FC70" s="128" t="n">
        <v>2</v>
      </c>
      <c r="FD70" s="131" t="s">
        <v>451</v>
      </c>
      <c r="FE70" s="131" t="s">
        <v>383</v>
      </c>
      <c r="FF70" s="131" t="s">
        <v>573</v>
      </c>
      <c r="FG70" s="131" t="s">
        <v>574</v>
      </c>
      <c r="FH70" s="131" t="s">
        <v>378</v>
      </c>
      <c r="FI70" s="131"/>
      <c r="FJ70" s="131"/>
      <c r="FK70" s="131"/>
      <c r="FL70" s="131"/>
      <c r="FM70" s="131"/>
      <c r="FN70" s="131"/>
      <c r="FO70" s="131"/>
      <c r="FP70" s="131"/>
      <c r="FQ70" s="131"/>
      <c r="FR70" s="131"/>
      <c r="FS70" s="131"/>
      <c r="FT70" s="131"/>
      <c r="FU70" s="131"/>
      <c r="FV70" s="131"/>
      <c r="FW70" s="131"/>
      <c r="FX70" s="131"/>
      <c r="FY70" s="131"/>
      <c r="FZ70" s="131"/>
      <c r="GA70" s="131"/>
      <c r="GB70" s="131"/>
      <c r="GC70" s="131"/>
      <c r="GD70" s="131"/>
      <c r="GE70" s="131"/>
      <c r="GF70" s="131"/>
      <c r="GG70" s="131"/>
      <c r="GH70" s="131"/>
      <c r="GI70" s="131"/>
      <c r="GJ70" s="131"/>
      <c r="GK70" s="131"/>
      <c r="GL70" s="131"/>
      <c r="GM70" s="131"/>
      <c r="GN70" s="131"/>
      <c r="GO70" s="131"/>
      <c r="GP70" s="131"/>
      <c r="GQ70" s="131"/>
      <c r="GR70" s="131"/>
      <c r="GS70" s="131"/>
      <c r="GT70" s="131"/>
      <c r="GU70" s="131"/>
      <c r="GV70" s="131"/>
      <c r="GW70" s="131"/>
      <c r="GX70" s="131"/>
      <c r="GY70" s="131"/>
      <c r="GZ70" s="131"/>
      <c r="HA70" s="131"/>
      <c r="HB70" s="131"/>
      <c r="HC70" s="131"/>
      <c r="HD70" s="131"/>
      <c r="HE70" s="131"/>
      <c r="HF70" s="128" t="n">
        <v>9</v>
      </c>
      <c r="HG70" s="128" t="n">
        <v>2</v>
      </c>
      <c r="HH70" s="131" t="s">
        <v>451</v>
      </c>
      <c r="HI70" s="131" t="s">
        <v>383</v>
      </c>
      <c r="HJ70" s="131" t="s">
        <v>573</v>
      </c>
      <c r="HK70" s="131" t="s">
        <v>574</v>
      </c>
      <c r="HL70" s="131" t="s">
        <v>378</v>
      </c>
      <c r="HM70" s="39" t="n">
        <v>9</v>
      </c>
      <c r="HN70" s="128" t="n">
        <v>2</v>
      </c>
      <c r="HO70" s="131" t="s">
        <v>451</v>
      </c>
      <c r="HP70" s="131" t="s">
        <v>383</v>
      </c>
      <c r="HQ70" s="131" t="s">
        <v>573</v>
      </c>
      <c r="HR70" s="131" t="s">
        <v>574</v>
      </c>
      <c r="HS70" s="131" t="s">
        <v>378</v>
      </c>
      <c r="HT70" s="131"/>
      <c r="HU70" s="128"/>
      <c r="HV70" s="131"/>
      <c r="HW70" s="131"/>
      <c r="HX70" s="131"/>
      <c r="HY70" s="131"/>
      <c r="HZ70" s="131"/>
    </row>
    <row r="71" customFormat="false" ht="12.8" hidden="true" customHeight="false" outlineLevel="0" collapsed="false">
      <c r="A71" s="16" t="s">
        <v>52</v>
      </c>
      <c r="B71" s="17" t="s">
        <v>93</v>
      </c>
      <c r="C71" s="140" t="s">
        <v>195</v>
      </c>
      <c r="D71" s="16" t="s">
        <v>196</v>
      </c>
      <c r="E71" s="156" t="s">
        <v>89</v>
      </c>
      <c r="F71" s="17" t="s">
        <v>197</v>
      </c>
      <c r="G71" s="154" t="s">
        <v>648</v>
      </c>
      <c r="H71" s="150"/>
      <c r="I71" s="150"/>
      <c r="J71" s="150"/>
      <c r="K71" s="128" t="n">
        <v>1500</v>
      </c>
      <c r="L71" s="18" t="n">
        <v>0</v>
      </c>
      <c r="M71" s="18" t="n">
        <f aca="false">IF(AD71,1,0)+IF(AK71,1,0)+AN71+AU71+BB71+BI71+BP71+BW71+CD71+CK71+CR71+CY71+DF71+DM71+DT71+EA71+EH71+EO71+EV71+FC71+FJ71+FQ71+FX71+GE71+GL71+GS71+GZ71+HG71+HN71+HU71</f>
        <v>0</v>
      </c>
      <c r="N71" s="131"/>
      <c r="O71" s="147" t="n">
        <v>450</v>
      </c>
      <c r="P71" s="147" t="n">
        <v>207</v>
      </c>
      <c r="Q71" s="147" t="n">
        <v>18</v>
      </c>
      <c r="R71" s="21" t="s">
        <v>44</v>
      </c>
      <c r="S71" s="18"/>
      <c r="T71" s="18"/>
      <c r="U71" s="18"/>
      <c r="V71" s="18"/>
      <c r="W71" s="18"/>
      <c r="X71" s="18"/>
      <c r="Y71" s="21" t="s">
        <v>541</v>
      </c>
      <c r="Z71" s="18"/>
      <c r="AA71" s="18"/>
      <c r="AB71" s="18"/>
      <c r="AC71" s="131"/>
      <c r="AD71" s="128"/>
      <c r="AE71" s="128"/>
      <c r="AF71" s="128"/>
      <c r="AG71" s="128"/>
      <c r="AH71" s="128"/>
      <c r="AI71" s="147"/>
      <c r="AJ71" s="128"/>
      <c r="AK71" s="128"/>
      <c r="AL71" s="147"/>
      <c r="AM71" s="131"/>
      <c r="AN71" s="128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  <c r="BA71" s="131"/>
      <c r="BB71" s="128"/>
      <c r="BC71" s="131"/>
      <c r="BD71" s="131"/>
      <c r="BE71" s="131"/>
      <c r="BF71" s="131"/>
      <c r="BG71" s="131"/>
      <c r="BH71" s="131"/>
      <c r="BI71" s="131"/>
      <c r="BJ71" s="131"/>
      <c r="BK71" s="131"/>
      <c r="BL71" s="131"/>
      <c r="BM71" s="131"/>
      <c r="BN71" s="131"/>
      <c r="BO71" s="131"/>
      <c r="BP71" s="131"/>
      <c r="BQ71" s="131"/>
      <c r="BR71" s="131"/>
      <c r="BS71" s="131"/>
      <c r="BT71" s="131"/>
      <c r="BU71" s="131"/>
      <c r="BV71" s="131"/>
      <c r="BW71" s="131"/>
      <c r="BX71" s="131"/>
      <c r="BY71" s="131"/>
      <c r="BZ71" s="131"/>
      <c r="CA71" s="131"/>
      <c r="CB71" s="131"/>
      <c r="CC71" s="131"/>
      <c r="CD71" s="131"/>
      <c r="CE71" s="131"/>
      <c r="CF71" s="131"/>
      <c r="CG71" s="131"/>
      <c r="CH71" s="131"/>
      <c r="CI71" s="131"/>
      <c r="CJ71" s="131"/>
      <c r="CK71" s="131"/>
      <c r="CL71" s="131"/>
      <c r="CM71" s="131"/>
      <c r="CN71" s="131"/>
      <c r="CO71" s="131"/>
      <c r="CP71" s="131"/>
      <c r="CQ71" s="131"/>
      <c r="CR71" s="128"/>
      <c r="CS71" s="131"/>
      <c r="CT71" s="131"/>
      <c r="CU71" s="131"/>
      <c r="CV71" s="131"/>
      <c r="CW71" s="131"/>
      <c r="CX71" s="131"/>
      <c r="CY71" s="131"/>
      <c r="CZ71" s="131"/>
      <c r="DA71" s="131"/>
      <c r="DB71" s="131"/>
      <c r="DC71" s="131"/>
      <c r="DD71" s="131"/>
      <c r="DE71" s="131"/>
      <c r="DF71" s="131"/>
      <c r="DG71" s="131"/>
      <c r="DH71" s="131"/>
      <c r="DI71" s="131"/>
      <c r="DJ71" s="131"/>
      <c r="DK71" s="131"/>
      <c r="DL71" s="131"/>
      <c r="DM71" s="131"/>
      <c r="DN71" s="131"/>
      <c r="DO71" s="131"/>
      <c r="DP71" s="131"/>
      <c r="DQ71" s="131"/>
      <c r="DR71" s="131"/>
      <c r="DS71" s="131"/>
      <c r="DT71" s="131"/>
      <c r="DU71" s="131"/>
      <c r="DV71" s="131"/>
      <c r="DW71" s="131"/>
      <c r="DX71" s="131"/>
      <c r="DY71" s="131"/>
      <c r="DZ71" s="131"/>
      <c r="EA71" s="131"/>
      <c r="EB71" s="131"/>
      <c r="EC71" s="131"/>
      <c r="ED71" s="131"/>
      <c r="EE71" s="131"/>
      <c r="EF71" s="131"/>
      <c r="EG71" s="131"/>
      <c r="EH71" s="131"/>
      <c r="EI71" s="131"/>
      <c r="EJ71" s="131"/>
      <c r="EK71" s="131"/>
      <c r="EL71" s="131"/>
      <c r="EM71" s="131"/>
      <c r="EN71" s="131"/>
      <c r="EO71" s="131"/>
      <c r="EP71" s="131"/>
      <c r="EQ71" s="131"/>
      <c r="ER71" s="131"/>
      <c r="ES71" s="131"/>
      <c r="ET71" s="131"/>
      <c r="EU71" s="131"/>
      <c r="EV71" s="131"/>
      <c r="EW71" s="131"/>
      <c r="EX71" s="131"/>
      <c r="EY71" s="131"/>
      <c r="EZ71" s="131"/>
      <c r="FA71" s="131"/>
      <c r="FB71" s="131"/>
      <c r="FC71" s="128"/>
      <c r="FD71" s="131"/>
      <c r="FE71" s="131"/>
      <c r="FF71" s="131"/>
      <c r="FG71" s="131"/>
      <c r="FH71" s="131"/>
      <c r="FI71" s="131"/>
      <c r="FJ71" s="131"/>
      <c r="FK71" s="131"/>
      <c r="FL71" s="131"/>
      <c r="FM71" s="131"/>
      <c r="FN71" s="131"/>
      <c r="FO71" s="131"/>
      <c r="FP71" s="131"/>
      <c r="FQ71" s="131"/>
      <c r="FR71" s="131"/>
      <c r="FS71" s="131"/>
      <c r="FT71" s="131"/>
      <c r="FU71" s="131"/>
      <c r="FV71" s="131"/>
      <c r="FW71" s="131"/>
      <c r="FX71" s="131"/>
      <c r="FY71" s="131"/>
      <c r="FZ71" s="131"/>
      <c r="GA71" s="131"/>
      <c r="GB71" s="131"/>
      <c r="GC71" s="131"/>
      <c r="GD71" s="131"/>
      <c r="GE71" s="131"/>
      <c r="GF71" s="131"/>
      <c r="GG71" s="131"/>
      <c r="GH71" s="131"/>
      <c r="GI71" s="131"/>
      <c r="GJ71" s="131"/>
      <c r="GK71" s="131"/>
      <c r="GL71" s="131"/>
      <c r="GM71" s="131"/>
      <c r="GN71" s="131"/>
      <c r="GO71" s="131"/>
      <c r="GP71" s="131"/>
      <c r="GQ71" s="131"/>
      <c r="GR71" s="131"/>
      <c r="GS71" s="131"/>
      <c r="GT71" s="131"/>
      <c r="GU71" s="131"/>
      <c r="GV71" s="131"/>
      <c r="GW71" s="131"/>
      <c r="GX71" s="131"/>
      <c r="GY71" s="131"/>
      <c r="GZ71" s="131"/>
      <c r="HA71" s="131"/>
      <c r="HB71" s="131"/>
      <c r="HC71" s="131"/>
      <c r="HD71" s="131"/>
      <c r="HE71" s="131"/>
      <c r="HF71" s="131"/>
      <c r="HG71" s="128"/>
      <c r="HH71" s="131"/>
      <c r="HI71" s="131"/>
      <c r="HJ71" s="131"/>
      <c r="HK71" s="131"/>
      <c r="HL71" s="131"/>
      <c r="HM71" s="131"/>
      <c r="HN71" s="128"/>
      <c r="HO71" s="131"/>
      <c r="HP71" s="131"/>
      <c r="HQ71" s="131"/>
      <c r="HR71" s="131"/>
      <c r="HS71" s="131"/>
      <c r="HT71" s="131"/>
      <c r="HU71" s="128"/>
      <c r="HV71" s="131"/>
      <c r="HW71" s="131"/>
      <c r="HX71" s="131"/>
      <c r="HY71" s="131"/>
      <c r="HZ71" s="131"/>
    </row>
    <row r="72" customFormat="false" ht="12.8" hidden="true" customHeight="false" outlineLevel="0" collapsed="false">
      <c r="A72" s="35" t="s">
        <v>199</v>
      </c>
      <c r="B72" s="35" t="s">
        <v>98</v>
      </c>
      <c r="C72" s="35" t="s">
        <v>200</v>
      </c>
      <c r="D72" s="35" t="s">
        <v>201</v>
      </c>
      <c r="E72" s="34" t="s">
        <v>89</v>
      </c>
      <c r="F72" s="35" t="s">
        <v>130</v>
      </c>
      <c r="G72" s="154" t="s">
        <v>592</v>
      </c>
      <c r="H72" s="148" t="s">
        <v>92</v>
      </c>
      <c r="I72" s="150"/>
      <c r="J72" s="150"/>
      <c r="K72" s="39" t="n">
        <v>200</v>
      </c>
      <c r="L72" s="18" t="n">
        <v>7</v>
      </c>
      <c r="M72" s="18" t="n">
        <f aca="false">IF(AD72,1,0)+IF(AK72,1,0)+AN72+AU72+BB72+BI72+BP72+BW72+CD72+CK72+CR72+CY72+DF72+DM72+DT72+EA72+EH72+EO72+EV72+FC72+FJ72+FQ72+FX72+GE72+GL72+GS72+GZ72+HG72+HN72+HU72</f>
        <v>0</v>
      </c>
      <c r="N72" s="131"/>
      <c r="O72" s="147" t="n">
        <v>553</v>
      </c>
      <c r="P72" s="147" t="n">
        <v>885</v>
      </c>
      <c r="Q72" s="147" t="n">
        <v>0</v>
      </c>
      <c r="R72" s="21" t="s">
        <v>44</v>
      </c>
      <c r="S72" s="128"/>
      <c r="T72" s="128"/>
      <c r="U72" s="21" t="s">
        <v>541</v>
      </c>
      <c r="V72" s="21" t="s">
        <v>541</v>
      </c>
      <c r="W72" s="18"/>
      <c r="X72" s="18"/>
      <c r="Y72" s="18"/>
      <c r="Z72" s="18"/>
      <c r="AA72" s="18"/>
      <c r="AB72" s="18"/>
      <c r="AC72" s="23" t="s">
        <v>684</v>
      </c>
      <c r="AD72" s="128" t="n">
        <v>14</v>
      </c>
      <c r="AE72" s="21" t="s">
        <v>685</v>
      </c>
      <c r="AF72" s="128"/>
      <c r="AG72" s="128"/>
      <c r="AH72" s="128"/>
      <c r="AI72" s="147" t="s">
        <v>686</v>
      </c>
      <c r="AJ72" s="21" t="s">
        <v>687</v>
      </c>
      <c r="AK72" s="128" t="n">
        <v>10</v>
      </c>
      <c r="AL72" s="147" t="s">
        <v>688</v>
      </c>
      <c r="AM72" s="131"/>
      <c r="AN72" s="128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128" t="n">
        <v>10</v>
      </c>
      <c r="CD72" s="128" t="n">
        <v>2</v>
      </c>
      <c r="CE72" s="131" t="s">
        <v>384</v>
      </c>
      <c r="CF72" s="131" t="s">
        <v>616</v>
      </c>
      <c r="CG72" s="131" t="s">
        <v>468</v>
      </c>
      <c r="CH72" s="131" t="s">
        <v>617</v>
      </c>
      <c r="CI72" s="131" t="s">
        <v>596</v>
      </c>
      <c r="CJ72" s="128" t="n">
        <v>10</v>
      </c>
      <c r="CK72" s="128" t="n">
        <v>1</v>
      </c>
      <c r="CL72" s="131" t="s">
        <v>383</v>
      </c>
      <c r="CM72" s="131" t="s">
        <v>574</v>
      </c>
      <c r="CN72" s="131" t="s">
        <v>467</v>
      </c>
      <c r="CO72" s="131" t="s">
        <v>468</v>
      </c>
      <c r="CP72" s="131" t="s">
        <v>380</v>
      </c>
      <c r="CQ72" s="128" t="n">
        <v>10</v>
      </c>
      <c r="CR72" s="128" t="n">
        <v>2</v>
      </c>
      <c r="CS72" s="131" t="s">
        <v>381</v>
      </c>
      <c r="CT72" s="131" t="s">
        <v>382</v>
      </c>
      <c r="CU72" s="131" t="s">
        <v>383</v>
      </c>
      <c r="CV72" s="131" t="s">
        <v>384</v>
      </c>
      <c r="CW72" s="131" t="s">
        <v>399</v>
      </c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128"/>
      <c r="EV72" s="128"/>
      <c r="EW72" s="131"/>
      <c r="EX72" s="131"/>
      <c r="EY72" s="131"/>
      <c r="EZ72" s="131"/>
      <c r="FA72" s="131"/>
      <c r="FB72" s="128" t="n">
        <v>10</v>
      </c>
      <c r="FC72" s="128" t="n">
        <v>2</v>
      </c>
      <c r="FD72" s="131" t="s">
        <v>572</v>
      </c>
      <c r="FE72" s="131" t="s">
        <v>383</v>
      </c>
      <c r="FF72" s="131" t="s">
        <v>573</v>
      </c>
      <c r="FG72" s="131" t="s">
        <v>574</v>
      </c>
      <c r="FH72" s="131" t="s">
        <v>378</v>
      </c>
      <c r="FI72" s="52"/>
      <c r="FJ72" s="52"/>
      <c r="FK72" s="52"/>
      <c r="FL72" s="52"/>
      <c r="FM72" s="52"/>
      <c r="FN72" s="52"/>
      <c r="FO72" s="52"/>
      <c r="FP72" s="128" t="n">
        <v>10</v>
      </c>
      <c r="FQ72" s="128" t="n">
        <v>1</v>
      </c>
      <c r="FR72" s="131" t="s">
        <v>381</v>
      </c>
      <c r="FS72" s="131" t="s">
        <v>382</v>
      </c>
      <c r="FT72" s="131" t="s">
        <v>383</v>
      </c>
      <c r="FU72" s="131" t="s">
        <v>384</v>
      </c>
      <c r="FV72" s="131" t="s">
        <v>399</v>
      </c>
      <c r="FW72" s="52"/>
      <c r="FX72" s="52"/>
      <c r="FY72" s="52"/>
      <c r="FZ72" s="52"/>
      <c r="GA72" s="52"/>
      <c r="GB72" s="52"/>
      <c r="GC72" s="52"/>
      <c r="GD72" s="52"/>
      <c r="GE72" s="52"/>
      <c r="GF72" s="52"/>
      <c r="GG72" s="52"/>
      <c r="GH72" s="52"/>
      <c r="GI72" s="52"/>
      <c r="GJ72" s="52"/>
      <c r="GK72" s="52"/>
      <c r="GL72" s="52"/>
      <c r="GM72" s="52"/>
      <c r="GN72" s="52"/>
      <c r="GO72" s="52"/>
      <c r="GP72" s="52"/>
      <c r="GQ72" s="52"/>
      <c r="GR72" s="52"/>
      <c r="GS72" s="52"/>
      <c r="GT72" s="52"/>
      <c r="GU72" s="52"/>
      <c r="GV72" s="52"/>
      <c r="GW72" s="52"/>
      <c r="GX72" s="52"/>
      <c r="GY72" s="52"/>
      <c r="GZ72" s="52"/>
      <c r="HA72" s="52"/>
      <c r="HB72" s="52"/>
      <c r="HC72" s="52"/>
      <c r="HD72" s="52"/>
      <c r="HE72" s="52"/>
      <c r="HF72" s="52"/>
      <c r="HG72" s="52"/>
      <c r="HH72" s="52"/>
      <c r="HI72" s="52"/>
      <c r="HJ72" s="52"/>
      <c r="HK72" s="52"/>
      <c r="HL72" s="52"/>
      <c r="HM72" s="52"/>
      <c r="HN72" s="52"/>
      <c r="HO72" s="52"/>
      <c r="HP72" s="52"/>
      <c r="HQ72" s="52"/>
      <c r="HR72" s="52"/>
      <c r="HS72" s="52"/>
      <c r="HT72" s="131"/>
      <c r="HU72" s="128"/>
      <c r="HV72" s="131"/>
      <c r="HW72" s="131"/>
      <c r="HX72" s="131"/>
      <c r="HY72" s="131"/>
      <c r="HZ72" s="131"/>
    </row>
    <row r="73" customFormat="false" ht="12.8" hidden="true" customHeight="false" outlineLevel="0" collapsed="false">
      <c r="A73" s="17" t="s">
        <v>199</v>
      </c>
      <c r="B73" s="17" t="s">
        <v>98</v>
      </c>
      <c r="C73" s="17" t="s">
        <v>203</v>
      </c>
      <c r="D73" s="17" t="s">
        <v>204</v>
      </c>
      <c r="E73" s="130" t="s">
        <v>89</v>
      </c>
      <c r="F73" s="17" t="s">
        <v>205</v>
      </c>
      <c r="G73" s="154" t="s">
        <v>689</v>
      </c>
      <c r="H73" s="150"/>
      <c r="I73" s="150"/>
      <c r="J73" s="150"/>
      <c r="K73" s="39" t="n">
        <v>200</v>
      </c>
      <c r="L73" s="18" t="n">
        <v>4</v>
      </c>
      <c r="M73" s="18" t="n">
        <f aca="false">IF(AD73,1,0)+IF(AK73,1,0)+AN73+AU73+BB73+BI73+BP73+BW73+CD73+CK73+CR73+CY73+DF73+DM73+DT73+EA73+EH73+EO73+EV73+FC73+FJ73+FQ73+FX73+GE73+GL73+GS73+GZ73+HG73+HN73+HU73</f>
        <v>0</v>
      </c>
      <c r="N73" s="131"/>
      <c r="O73" s="147" t="n">
        <v>300</v>
      </c>
      <c r="P73" s="147" t="n">
        <v>288</v>
      </c>
      <c r="Q73" s="147" t="n">
        <v>0</v>
      </c>
      <c r="R73" s="21" t="s">
        <v>44</v>
      </c>
      <c r="S73" s="18"/>
      <c r="T73" s="18"/>
      <c r="U73" s="18"/>
      <c r="V73" s="18"/>
      <c r="W73" s="18"/>
      <c r="X73" s="18"/>
      <c r="Y73" s="21" t="s">
        <v>541</v>
      </c>
      <c r="Z73" s="18"/>
      <c r="AA73" s="18"/>
      <c r="AB73" s="18"/>
      <c r="AC73" s="131"/>
      <c r="AD73" s="128"/>
      <c r="AE73" s="128"/>
      <c r="AF73" s="128"/>
      <c r="AG73" s="128"/>
      <c r="AH73" s="128"/>
      <c r="AI73" s="147"/>
      <c r="AJ73" s="128"/>
      <c r="AK73" s="128"/>
      <c r="AL73" s="147"/>
      <c r="AM73" s="131"/>
      <c r="AN73" s="128"/>
      <c r="AO73" s="131"/>
      <c r="AP73" s="131"/>
      <c r="AQ73" s="131"/>
      <c r="AR73" s="131"/>
      <c r="AS73" s="131"/>
      <c r="AT73" s="131"/>
      <c r="AU73" s="131"/>
      <c r="AV73" s="131"/>
      <c r="AW73" s="131"/>
      <c r="AX73" s="131"/>
      <c r="AY73" s="131"/>
      <c r="AZ73" s="131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16"/>
      <c r="CK73" s="16"/>
      <c r="CL73" s="16"/>
      <c r="CM73" s="16"/>
      <c r="CN73" s="16"/>
      <c r="CO73" s="16"/>
      <c r="CP73" s="16"/>
      <c r="CQ73" s="128" t="n">
        <v>2</v>
      </c>
      <c r="CR73" s="128" t="n">
        <v>2</v>
      </c>
      <c r="CS73" s="131" t="s">
        <v>399</v>
      </c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  <c r="FB73" s="128" t="n">
        <v>2</v>
      </c>
      <c r="FC73" s="128" t="n">
        <v>2</v>
      </c>
      <c r="FD73" s="131" t="s">
        <v>378</v>
      </c>
      <c r="FE73" s="52"/>
      <c r="FF73" s="52"/>
      <c r="FG73" s="52"/>
      <c r="FH73" s="52"/>
      <c r="FI73" s="52"/>
      <c r="FJ73" s="52"/>
      <c r="FK73" s="52"/>
      <c r="FL73" s="52"/>
      <c r="FM73" s="52"/>
      <c r="FN73" s="52"/>
      <c r="FO73" s="52"/>
      <c r="FP73" s="52"/>
      <c r="FQ73" s="52"/>
      <c r="FR73" s="52"/>
      <c r="FS73" s="52"/>
      <c r="FT73" s="52"/>
      <c r="FU73" s="52"/>
      <c r="FV73" s="52"/>
      <c r="FW73" s="52"/>
      <c r="FX73" s="52"/>
      <c r="FY73" s="52"/>
      <c r="FZ73" s="52"/>
      <c r="GA73" s="52"/>
      <c r="GB73" s="52"/>
      <c r="GC73" s="52"/>
      <c r="GD73" s="52"/>
      <c r="GE73" s="52"/>
      <c r="GF73" s="52"/>
      <c r="GG73" s="52"/>
      <c r="GH73" s="52"/>
      <c r="GI73" s="52"/>
      <c r="GJ73" s="52"/>
      <c r="GK73" s="52"/>
      <c r="GL73" s="52"/>
      <c r="GM73" s="52"/>
      <c r="GN73" s="52"/>
      <c r="GO73" s="52"/>
      <c r="GP73" s="52"/>
      <c r="GQ73" s="52"/>
      <c r="GR73" s="52"/>
      <c r="GS73" s="52"/>
      <c r="GT73" s="52"/>
      <c r="GU73" s="52"/>
      <c r="GV73" s="52"/>
      <c r="GW73" s="52"/>
      <c r="GX73" s="52"/>
      <c r="GY73" s="52"/>
      <c r="GZ73" s="52"/>
      <c r="HA73" s="52"/>
      <c r="HB73" s="52"/>
      <c r="HC73" s="52"/>
      <c r="HD73" s="52"/>
      <c r="HE73" s="52"/>
      <c r="HF73" s="128" t="n">
        <v>2</v>
      </c>
      <c r="HG73" s="128" t="n">
        <v>2</v>
      </c>
      <c r="HH73" s="131" t="s">
        <v>378</v>
      </c>
      <c r="HI73" s="52"/>
      <c r="HJ73" s="52"/>
      <c r="HK73" s="52"/>
      <c r="HL73" s="52"/>
      <c r="HM73" s="52"/>
      <c r="HN73" s="52"/>
      <c r="HO73" s="52"/>
      <c r="HP73" s="52"/>
      <c r="HQ73" s="52"/>
      <c r="HR73" s="52"/>
      <c r="HS73" s="52"/>
      <c r="HT73" s="131"/>
      <c r="HU73" s="128"/>
      <c r="HV73" s="131"/>
      <c r="HW73" s="131"/>
      <c r="HX73" s="131"/>
      <c r="HY73" s="131"/>
      <c r="HZ73" s="131"/>
    </row>
    <row r="74" customFormat="false" ht="12.8" hidden="true" customHeight="false" outlineLevel="0" collapsed="false">
      <c r="A74" s="17" t="s">
        <v>199</v>
      </c>
      <c r="B74" s="17" t="s">
        <v>158</v>
      </c>
      <c r="C74" s="17" t="s">
        <v>206</v>
      </c>
      <c r="D74" s="17" t="s">
        <v>207</v>
      </c>
      <c r="E74" s="130" t="s">
        <v>89</v>
      </c>
      <c r="F74" s="17" t="s">
        <v>130</v>
      </c>
      <c r="G74" s="154" t="s">
        <v>690</v>
      </c>
      <c r="H74" s="148" t="s">
        <v>92</v>
      </c>
      <c r="I74" s="150"/>
      <c r="J74" s="150"/>
      <c r="K74" s="39" t="n">
        <v>200</v>
      </c>
      <c r="L74" s="18" t="n">
        <v>7</v>
      </c>
      <c r="M74" s="18" t="n">
        <f aca="false">IF(AD74,1,0)+IF(AK74,1,0)+AN74+AU74+BB74+BI74+BP74+BW74+CD74+CK74+CR74+CY74+DF74+DM74+DT74+EA74+EH74+EO74+EV74+FC74+FJ74+FQ74+FX74+GE74+GL74+GS74+GZ74+HG74+HN74+HU74</f>
        <v>0</v>
      </c>
      <c r="N74" s="131"/>
      <c r="O74" s="147" t="n">
        <v>276</v>
      </c>
      <c r="P74" s="147" t="n">
        <v>664</v>
      </c>
      <c r="Q74" s="147" t="n">
        <v>0</v>
      </c>
      <c r="R74" s="21" t="s">
        <v>44</v>
      </c>
      <c r="S74" s="18"/>
      <c r="T74" s="18"/>
      <c r="U74" s="21" t="s">
        <v>541</v>
      </c>
      <c r="V74" s="128"/>
      <c r="W74" s="21" t="s">
        <v>541</v>
      </c>
      <c r="X74" s="128"/>
      <c r="Y74" s="128"/>
      <c r="Z74" s="128"/>
      <c r="AA74" s="128"/>
      <c r="AB74" s="128"/>
      <c r="AC74" s="23" t="s">
        <v>684</v>
      </c>
      <c r="AD74" s="128" t="n">
        <v>14</v>
      </c>
      <c r="AE74" s="21" t="s">
        <v>685</v>
      </c>
      <c r="AF74" s="128"/>
      <c r="AG74" s="128"/>
      <c r="AH74" s="128"/>
      <c r="AI74" s="147" t="s">
        <v>686</v>
      </c>
      <c r="AJ74" s="21" t="s">
        <v>687</v>
      </c>
      <c r="AK74" s="128" t="n">
        <v>9</v>
      </c>
      <c r="AL74" s="147" t="s">
        <v>688</v>
      </c>
      <c r="AM74" s="131"/>
      <c r="AN74" s="128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128" t="n">
        <v>5</v>
      </c>
      <c r="CK74" s="128" t="n">
        <v>1</v>
      </c>
      <c r="CL74" s="131" t="s">
        <v>410</v>
      </c>
      <c r="CM74" s="131" t="s">
        <v>453</v>
      </c>
      <c r="CN74" s="131" t="s">
        <v>489</v>
      </c>
      <c r="CO74" s="131" t="s">
        <v>447</v>
      </c>
      <c r="CP74" s="131" t="s">
        <v>579</v>
      </c>
      <c r="CQ74" s="128" t="n">
        <v>5</v>
      </c>
      <c r="CR74" s="128" t="n">
        <v>2</v>
      </c>
      <c r="CS74" s="131" t="s">
        <v>390</v>
      </c>
      <c r="CT74" s="131" t="s">
        <v>391</v>
      </c>
      <c r="CU74" s="131" t="s">
        <v>410</v>
      </c>
      <c r="CV74" s="131" t="s">
        <v>411</v>
      </c>
      <c r="CW74" s="131" t="s">
        <v>415</v>
      </c>
      <c r="CX74" s="131"/>
      <c r="CY74" s="131"/>
      <c r="CZ74" s="131"/>
      <c r="DA74" s="131"/>
      <c r="DB74" s="131"/>
      <c r="DC74" s="131"/>
      <c r="DD74" s="131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128" t="s">
        <v>376</v>
      </c>
      <c r="EV74" s="128" t="n">
        <v>2</v>
      </c>
      <c r="EW74" s="131" t="s">
        <v>451</v>
      </c>
      <c r="EX74" s="131" t="s">
        <v>410</v>
      </c>
      <c r="EY74" s="131" t="s">
        <v>452</v>
      </c>
      <c r="EZ74" s="131" t="s">
        <v>453</v>
      </c>
      <c r="FA74" s="131" t="s">
        <v>389</v>
      </c>
      <c r="FB74" s="128" t="n">
        <v>5</v>
      </c>
      <c r="FC74" s="128" t="n">
        <v>2</v>
      </c>
      <c r="FD74" s="131" t="s">
        <v>451</v>
      </c>
      <c r="FE74" s="131" t="s">
        <v>410</v>
      </c>
      <c r="FF74" s="131" t="s">
        <v>452</v>
      </c>
      <c r="FG74" s="131" t="s">
        <v>453</v>
      </c>
      <c r="FH74" s="131" t="s">
        <v>389</v>
      </c>
      <c r="FI74" s="131"/>
      <c r="FJ74" s="131"/>
      <c r="FK74" s="131"/>
      <c r="FL74" s="131"/>
      <c r="FM74" s="131"/>
      <c r="FN74" s="131"/>
      <c r="FO74" s="131"/>
      <c r="FP74" s="52"/>
      <c r="FQ74" s="52"/>
      <c r="FR74" s="52"/>
      <c r="FS74" s="52"/>
      <c r="FT74" s="52"/>
      <c r="FU74" s="52"/>
      <c r="FV74" s="52"/>
      <c r="FW74" s="52"/>
      <c r="FX74" s="52"/>
      <c r="FY74" s="52"/>
      <c r="FZ74" s="52"/>
      <c r="GA74" s="52"/>
      <c r="GB74" s="52"/>
      <c r="GC74" s="52"/>
      <c r="GD74" s="52"/>
      <c r="GE74" s="52"/>
      <c r="GF74" s="52"/>
      <c r="GG74" s="52"/>
      <c r="GH74" s="52"/>
      <c r="GI74" s="52"/>
      <c r="GJ74" s="52"/>
      <c r="GK74" s="52"/>
      <c r="GL74" s="52"/>
      <c r="GM74" s="52"/>
      <c r="GN74" s="52"/>
      <c r="GO74" s="52"/>
      <c r="GP74" s="52"/>
      <c r="GQ74" s="52"/>
      <c r="GR74" s="52"/>
      <c r="GS74" s="52"/>
      <c r="GT74" s="52"/>
      <c r="GU74" s="52"/>
      <c r="GV74" s="52"/>
      <c r="GW74" s="52"/>
      <c r="GX74" s="52"/>
      <c r="GY74" s="52"/>
      <c r="GZ74" s="52"/>
      <c r="HA74" s="52"/>
      <c r="HB74" s="52"/>
      <c r="HC74" s="52"/>
      <c r="HD74" s="52"/>
      <c r="HE74" s="52"/>
      <c r="HF74" s="128" t="n">
        <v>5</v>
      </c>
      <c r="HG74" s="128" t="n">
        <v>1</v>
      </c>
      <c r="HH74" s="131" t="s">
        <v>451</v>
      </c>
      <c r="HI74" s="131" t="s">
        <v>410</v>
      </c>
      <c r="HJ74" s="131" t="s">
        <v>452</v>
      </c>
      <c r="HK74" s="131" t="s">
        <v>453</v>
      </c>
      <c r="HL74" s="131" t="s">
        <v>389</v>
      </c>
      <c r="HM74" s="52"/>
      <c r="HN74" s="52"/>
      <c r="HO74" s="52"/>
      <c r="HP74" s="52"/>
      <c r="HQ74" s="52"/>
      <c r="HR74" s="52"/>
      <c r="HS74" s="52"/>
      <c r="HT74" s="131"/>
      <c r="HU74" s="128"/>
      <c r="HV74" s="131"/>
      <c r="HW74" s="131"/>
      <c r="HX74" s="131"/>
      <c r="HY74" s="131"/>
      <c r="HZ74" s="131"/>
    </row>
    <row r="75" customFormat="false" ht="12.8" hidden="true" customHeight="false" outlineLevel="0" collapsed="false">
      <c r="A75" s="17" t="s">
        <v>199</v>
      </c>
      <c r="B75" s="17" t="s">
        <v>81</v>
      </c>
      <c r="C75" s="17" t="s">
        <v>208</v>
      </c>
      <c r="D75" s="17" t="s">
        <v>209</v>
      </c>
      <c r="E75" s="130" t="s">
        <v>89</v>
      </c>
      <c r="F75" s="17" t="s">
        <v>210</v>
      </c>
      <c r="G75" s="154" t="s">
        <v>691</v>
      </c>
      <c r="H75" s="148" t="s">
        <v>92</v>
      </c>
      <c r="I75" s="150"/>
      <c r="J75" s="150"/>
      <c r="K75" s="39" t="n">
        <v>200</v>
      </c>
      <c r="L75" s="18" t="n">
        <v>7</v>
      </c>
      <c r="M75" s="18" t="n">
        <f aca="false">IF(AD75,1,0)+IF(AK75,1,0)+AN75+AU75+BB75+BI75+BP75+BW75+CD75+CK75+CR75+CY75+DF75+DM75+DT75+EA75+EH75+EO75+EV75+FC75+FJ75+FQ75+FX75+GE75+GL75+GS75+GZ75+HG75+HN75+HU75</f>
        <v>0</v>
      </c>
      <c r="N75" s="131"/>
      <c r="O75" s="147" t="n">
        <v>246</v>
      </c>
      <c r="P75" s="147" t="n">
        <v>895</v>
      </c>
      <c r="Q75" s="147" t="n">
        <v>0</v>
      </c>
      <c r="R75" s="21" t="s">
        <v>44</v>
      </c>
      <c r="S75" s="21" t="s">
        <v>45</v>
      </c>
      <c r="T75" s="128"/>
      <c r="U75" s="18"/>
      <c r="V75" s="21" t="s">
        <v>541</v>
      </c>
      <c r="W75" s="128"/>
      <c r="X75" s="128"/>
      <c r="Y75" s="21" t="s">
        <v>542</v>
      </c>
      <c r="Z75" s="128"/>
      <c r="AA75" s="18"/>
      <c r="AB75" s="18"/>
      <c r="AC75" s="23" t="s">
        <v>684</v>
      </c>
      <c r="AD75" s="128" t="n">
        <v>13</v>
      </c>
      <c r="AE75" s="21" t="s">
        <v>685</v>
      </c>
      <c r="AF75" s="128"/>
      <c r="AG75" s="128"/>
      <c r="AH75" s="128"/>
      <c r="AI75" s="147" t="s">
        <v>686</v>
      </c>
      <c r="AJ75" s="128"/>
      <c r="AK75" s="128"/>
      <c r="AL75" s="147"/>
      <c r="AM75" s="131"/>
      <c r="AN75" s="128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128" t="n">
        <v>5</v>
      </c>
      <c r="CK75" s="128" t="n">
        <v>1</v>
      </c>
      <c r="CL75" s="131" t="s">
        <v>410</v>
      </c>
      <c r="CM75" s="131" t="s">
        <v>453</v>
      </c>
      <c r="CN75" s="131" t="s">
        <v>489</v>
      </c>
      <c r="CO75" s="131" t="s">
        <v>447</v>
      </c>
      <c r="CP75" s="131" t="s">
        <v>579</v>
      </c>
      <c r="CQ75" s="128" t="n">
        <v>5</v>
      </c>
      <c r="CR75" s="128" t="n">
        <v>2</v>
      </c>
      <c r="CS75" s="131" t="s">
        <v>390</v>
      </c>
      <c r="CT75" s="131" t="s">
        <v>391</v>
      </c>
      <c r="CU75" s="131" t="s">
        <v>410</v>
      </c>
      <c r="CV75" s="131" t="s">
        <v>411</v>
      </c>
      <c r="CW75" s="131" t="s">
        <v>415</v>
      </c>
      <c r="CX75" s="131"/>
      <c r="CY75" s="131"/>
      <c r="CZ75" s="131"/>
      <c r="DA75" s="131"/>
      <c r="DB75" s="131"/>
      <c r="DC75" s="131"/>
      <c r="DD75" s="131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128" t="n">
        <v>5</v>
      </c>
      <c r="EH75" s="128" t="n">
        <v>1</v>
      </c>
      <c r="EI75" s="131" t="s">
        <v>391</v>
      </c>
      <c r="EJ75" s="131" t="s">
        <v>411</v>
      </c>
      <c r="EK75" s="131" t="s">
        <v>453</v>
      </c>
      <c r="EL75" s="131" t="s">
        <v>446</v>
      </c>
      <c r="EM75" s="131" t="s">
        <v>584</v>
      </c>
      <c r="EN75" s="52"/>
      <c r="EO75" s="52"/>
      <c r="EP75" s="52"/>
      <c r="EQ75" s="52"/>
      <c r="ER75" s="52"/>
      <c r="ES75" s="52"/>
      <c r="ET75" s="52"/>
      <c r="EU75" s="128" t="s">
        <v>376</v>
      </c>
      <c r="EV75" s="128" t="n">
        <v>2</v>
      </c>
      <c r="EW75" s="131" t="s">
        <v>451</v>
      </c>
      <c r="EX75" s="131" t="s">
        <v>410</v>
      </c>
      <c r="EY75" s="131" t="s">
        <v>452</v>
      </c>
      <c r="EZ75" s="131" t="s">
        <v>453</v>
      </c>
      <c r="FA75" s="131" t="s">
        <v>389</v>
      </c>
      <c r="FB75" s="128" t="n">
        <v>5</v>
      </c>
      <c r="FC75" s="128" t="n">
        <v>2</v>
      </c>
      <c r="FD75" s="131" t="s">
        <v>451</v>
      </c>
      <c r="FE75" s="131" t="s">
        <v>410</v>
      </c>
      <c r="FF75" s="131" t="s">
        <v>452</v>
      </c>
      <c r="FG75" s="131" t="s">
        <v>453</v>
      </c>
      <c r="FH75" s="131" t="s">
        <v>389</v>
      </c>
      <c r="FI75" s="131"/>
      <c r="FJ75" s="131"/>
      <c r="FK75" s="131"/>
      <c r="FL75" s="131"/>
      <c r="FM75" s="131"/>
      <c r="FN75" s="131"/>
      <c r="FO75" s="131"/>
      <c r="FP75" s="52"/>
      <c r="FQ75" s="52"/>
      <c r="FR75" s="52"/>
      <c r="FS75" s="52"/>
      <c r="FT75" s="52"/>
      <c r="FU75" s="52"/>
      <c r="FV75" s="52"/>
      <c r="FW75" s="52"/>
      <c r="FX75" s="52"/>
      <c r="FY75" s="52"/>
      <c r="FZ75" s="52"/>
      <c r="GA75" s="52"/>
      <c r="GB75" s="52"/>
      <c r="GC75" s="52"/>
      <c r="GD75" s="52"/>
      <c r="GE75" s="52"/>
      <c r="GF75" s="52"/>
      <c r="GG75" s="52"/>
      <c r="GH75" s="52"/>
      <c r="GI75" s="52"/>
      <c r="GJ75" s="52"/>
      <c r="GK75" s="52"/>
      <c r="GL75" s="52"/>
      <c r="GM75" s="52"/>
      <c r="GN75" s="52"/>
      <c r="GO75" s="52"/>
      <c r="GP75" s="52"/>
      <c r="GQ75" s="52"/>
      <c r="GR75" s="52"/>
      <c r="GS75" s="52"/>
      <c r="GT75" s="52"/>
      <c r="GU75" s="52"/>
      <c r="GV75" s="52"/>
      <c r="GW75" s="52"/>
      <c r="GX75" s="52"/>
      <c r="GY75" s="52"/>
      <c r="GZ75" s="52"/>
      <c r="HA75" s="52"/>
      <c r="HB75" s="52"/>
      <c r="HC75" s="52"/>
      <c r="HD75" s="52"/>
      <c r="HE75" s="52"/>
      <c r="HF75" s="128" t="n">
        <v>5</v>
      </c>
      <c r="HG75" s="128" t="n">
        <v>1</v>
      </c>
      <c r="HH75" s="131" t="s">
        <v>451</v>
      </c>
      <c r="HI75" s="131" t="s">
        <v>410</v>
      </c>
      <c r="HJ75" s="131" t="s">
        <v>452</v>
      </c>
      <c r="HK75" s="131" t="s">
        <v>453</v>
      </c>
      <c r="HL75" s="131" t="s">
        <v>389</v>
      </c>
      <c r="HM75" s="52"/>
      <c r="HN75" s="52"/>
      <c r="HO75" s="52"/>
      <c r="HP75" s="52"/>
      <c r="HQ75" s="52"/>
      <c r="HR75" s="52"/>
      <c r="HS75" s="52"/>
      <c r="HT75" s="131"/>
      <c r="HU75" s="128"/>
      <c r="HV75" s="131"/>
      <c r="HW75" s="131"/>
      <c r="HX75" s="131"/>
      <c r="HY75" s="131"/>
      <c r="HZ75" s="131"/>
    </row>
    <row r="76" customFormat="false" ht="12.8" hidden="true" customHeight="false" outlineLevel="0" collapsed="false">
      <c r="A76" s="17" t="s">
        <v>199</v>
      </c>
      <c r="B76" s="17" t="s">
        <v>93</v>
      </c>
      <c r="C76" s="130" t="s">
        <v>211</v>
      </c>
      <c r="D76" s="17" t="s">
        <v>212</v>
      </c>
      <c r="E76" s="130" t="s">
        <v>89</v>
      </c>
      <c r="F76" s="17" t="s">
        <v>148</v>
      </c>
      <c r="G76" s="154" t="s">
        <v>689</v>
      </c>
      <c r="H76" s="150"/>
      <c r="I76" s="150"/>
      <c r="J76" s="150"/>
      <c r="K76" s="39" t="n">
        <v>200</v>
      </c>
      <c r="L76" s="18" t="n">
        <v>4</v>
      </c>
      <c r="M76" s="18" t="n">
        <f aca="false">IF(AD76,1,0)+IF(AK76,1,0)+AN76+AU76+BB76+BI76+BP76+BW76+CD76+CK76+CR76+CY76+DF76+DM76+DT76+EA76+EH76+EO76+EV76+FC76+FJ76+FQ76+FX76+GE76+GL76+GS76+GZ76+HG76+HN76+HU76</f>
        <v>0</v>
      </c>
      <c r="N76" s="131"/>
      <c r="O76" s="147" t="n">
        <v>234</v>
      </c>
      <c r="P76" s="147" t="n">
        <v>234</v>
      </c>
      <c r="Q76" s="147" t="n">
        <v>0</v>
      </c>
      <c r="R76" s="21" t="s">
        <v>44</v>
      </c>
      <c r="S76" s="18"/>
      <c r="T76" s="18"/>
      <c r="U76" s="18"/>
      <c r="V76" s="18"/>
      <c r="W76" s="18"/>
      <c r="X76" s="18"/>
      <c r="Y76" s="21" t="s">
        <v>541</v>
      </c>
      <c r="Z76" s="18"/>
      <c r="AA76" s="18"/>
      <c r="AB76" s="18"/>
      <c r="AC76" s="131"/>
      <c r="AD76" s="128"/>
      <c r="AE76" s="128"/>
      <c r="AF76" s="128"/>
      <c r="AG76" s="128"/>
      <c r="AH76" s="128"/>
      <c r="AI76" s="147"/>
      <c r="AJ76" s="128"/>
      <c r="AK76" s="128"/>
      <c r="AL76" s="147"/>
      <c r="AM76" s="131"/>
      <c r="AN76" s="128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16"/>
      <c r="CK76" s="16"/>
      <c r="CL76" s="16"/>
      <c r="CM76" s="16"/>
      <c r="CN76" s="16"/>
      <c r="CO76" s="16"/>
      <c r="CP76" s="16"/>
      <c r="CQ76" s="128" t="n">
        <v>2</v>
      </c>
      <c r="CR76" s="128" t="n">
        <v>2</v>
      </c>
      <c r="CS76" s="131" t="s">
        <v>399</v>
      </c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  <c r="FB76" s="128" t="n">
        <v>2</v>
      </c>
      <c r="FC76" s="128" t="n">
        <v>2</v>
      </c>
      <c r="FD76" s="131" t="s">
        <v>378</v>
      </c>
      <c r="FE76" s="52"/>
      <c r="FF76" s="52"/>
      <c r="FG76" s="52"/>
      <c r="FH76" s="52"/>
      <c r="FI76" s="52"/>
      <c r="FJ76" s="52"/>
      <c r="FK76" s="52"/>
      <c r="FL76" s="52"/>
      <c r="FM76" s="52"/>
      <c r="FN76" s="52"/>
      <c r="FO76" s="52"/>
      <c r="FP76" s="52"/>
      <c r="FQ76" s="52"/>
      <c r="FR76" s="52"/>
      <c r="FS76" s="52"/>
      <c r="FT76" s="52"/>
      <c r="FU76" s="52"/>
      <c r="FV76" s="52"/>
      <c r="FW76" s="52"/>
      <c r="FX76" s="52"/>
      <c r="FY76" s="52"/>
      <c r="FZ76" s="52"/>
      <c r="GA76" s="52"/>
      <c r="GB76" s="52"/>
      <c r="GC76" s="52"/>
      <c r="GD76" s="52"/>
      <c r="GE76" s="52"/>
      <c r="GF76" s="52"/>
      <c r="GG76" s="52"/>
      <c r="GH76" s="52"/>
      <c r="GI76" s="52"/>
      <c r="GJ76" s="52"/>
      <c r="GK76" s="52"/>
      <c r="GL76" s="52"/>
      <c r="GM76" s="52"/>
      <c r="GN76" s="52"/>
      <c r="GO76" s="52"/>
      <c r="GP76" s="52"/>
      <c r="GQ76" s="52"/>
      <c r="GR76" s="52"/>
      <c r="GS76" s="52"/>
      <c r="GT76" s="52"/>
      <c r="GU76" s="52"/>
      <c r="GV76" s="52"/>
      <c r="GW76" s="52"/>
      <c r="GX76" s="52"/>
      <c r="GY76" s="52"/>
      <c r="GZ76" s="52"/>
      <c r="HA76" s="52"/>
      <c r="HB76" s="52"/>
      <c r="HC76" s="52"/>
      <c r="HD76" s="52"/>
      <c r="HE76" s="52"/>
      <c r="HF76" s="128" t="n">
        <v>2</v>
      </c>
      <c r="HG76" s="128" t="n">
        <v>2</v>
      </c>
      <c r="HH76" s="131" t="s">
        <v>378</v>
      </c>
      <c r="HI76" s="52"/>
      <c r="HJ76" s="52"/>
      <c r="HK76" s="52"/>
      <c r="HL76" s="52"/>
      <c r="HM76" s="52"/>
      <c r="HN76" s="52"/>
      <c r="HO76" s="52"/>
      <c r="HP76" s="52"/>
      <c r="HQ76" s="52"/>
      <c r="HR76" s="52"/>
      <c r="HS76" s="52"/>
      <c r="HT76" s="131"/>
      <c r="HU76" s="128"/>
      <c r="HV76" s="131"/>
      <c r="HW76" s="131"/>
      <c r="HX76" s="131"/>
      <c r="HY76" s="131"/>
      <c r="HZ76" s="131"/>
    </row>
    <row r="77" customFormat="false" ht="12.8" hidden="true" customHeight="false" outlineLevel="0" collapsed="false">
      <c r="A77" s="16" t="s">
        <v>53</v>
      </c>
      <c r="B77" s="16" t="s">
        <v>98</v>
      </c>
      <c r="C77" s="16" t="s">
        <v>213</v>
      </c>
      <c r="D77" s="16" t="s">
        <v>214</v>
      </c>
      <c r="E77" s="156" t="s">
        <v>89</v>
      </c>
      <c r="F77" s="16" t="s">
        <v>116</v>
      </c>
      <c r="G77" s="154" t="s">
        <v>692</v>
      </c>
      <c r="H77" s="148" t="s">
        <v>92</v>
      </c>
      <c r="I77" s="150"/>
      <c r="J77" s="150"/>
      <c r="K77" s="128" t="n">
        <v>5500</v>
      </c>
      <c r="L77" s="18" t="n">
        <v>6</v>
      </c>
      <c r="M77" s="18" t="n">
        <f aca="false">IF(AD77,1,0)+IF(AK77,1,0)+AN77+AU77+BB77+BI77+BP77+BW77+CD77+CK77+CR77+CY77+DF77+DM77+DT77+EA77+EH77+EO77+EV77+FC77+FJ77+FQ77+FX77+GE77+GL77+GS77+GZ77+HG77+HN77+HU77</f>
        <v>0</v>
      </c>
      <c r="N77" s="131"/>
      <c r="O77" s="147" t="n">
        <v>2800</v>
      </c>
      <c r="P77" s="147" t="n">
        <v>1433</v>
      </c>
      <c r="Q77" s="147" t="n">
        <v>196</v>
      </c>
      <c r="R77" s="21" t="s">
        <v>45</v>
      </c>
      <c r="S77" s="18"/>
      <c r="T77" s="18"/>
      <c r="U77" s="18"/>
      <c r="V77" s="18"/>
      <c r="W77" s="18"/>
      <c r="X77" s="18"/>
      <c r="Y77" s="21" t="s">
        <v>541</v>
      </c>
      <c r="Z77" s="18"/>
      <c r="AA77" s="18"/>
      <c r="AB77" s="21" t="s">
        <v>541</v>
      </c>
      <c r="AC77" s="23" t="s">
        <v>693</v>
      </c>
      <c r="AD77" s="128" t="n">
        <v>12</v>
      </c>
      <c r="AE77" s="128"/>
      <c r="AF77" s="128" t="n">
        <v>90</v>
      </c>
      <c r="AG77" s="128" t="n">
        <v>8</v>
      </c>
      <c r="AH77" s="128"/>
      <c r="AI77" s="147" t="s">
        <v>694</v>
      </c>
      <c r="AJ77" s="128"/>
      <c r="AK77" s="128"/>
      <c r="AL77" s="147"/>
      <c r="AM77" s="131"/>
      <c r="AN77" s="128"/>
      <c r="AO77" s="131"/>
      <c r="AP77" s="131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16"/>
      <c r="CK77" s="16"/>
      <c r="CL77" s="16"/>
      <c r="CM77" s="16"/>
      <c r="CN77" s="16"/>
      <c r="CO77" s="16"/>
      <c r="CP77" s="16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128" t="n">
        <v>7</v>
      </c>
      <c r="DF77" s="128" t="n">
        <v>2</v>
      </c>
      <c r="DG77" s="131" t="s">
        <v>390</v>
      </c>
      <c r="DH77" s="131" t="s">
        <v>391</v>
      </c>
      <c r="DI77" s="131" t="s">
        <v>410</v>
      </c>
      <c r="DJ77" s="131" t="s">
        <v>384</v>
      </c>
      <c r="DK77" s="131" t="s">
        <v>399</v>
      </c>
      <c r="DL77" s="52"/>
      <c r="DM77" s="52"/>
      <c r="DN77" s="52"/>
      <c r="DO77" s="52"/>
      <c r="DP77" s="52"/>
      <c r="DQ77" s="52"/>
      <c r="DR77" s="52"/>
      <c r="DS77" s="52"/>
      <c r="DT77" s="52"/>
      <c r="DU77" s="52"/>
      <c r="DV77" s="52"/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  <c r="EM77" s="52"/>
      <c r="EN77" s="52"/>
      <c r="EO77" s="52"/>
      <c r="EP77" s="52"/>
      <c r="EQ77" s="52"/>
      <c r="ER77" s="52"/>
      <c r="ES77" s="52"/>
      <c r="ET77" s="52"/>
      <c r="EU77" s="52"/>
      <c r="EV77" s="52"/>
      <c r="EW77" s="52"/>
      <c r="EX77" s="52"/>
      <c r="EY77" s="52"/>
      <c r="EZ77" s="52"/>
      <c r="FA77" s="52"/>
      <c r="FB77" s="128" t="n">
        <v>7</v>
      </c>
      <c r="FC77" s="128" t="n">
        <v>2</v>
      </c>
      <c r="FD77" s="131" t="s">
        <v>451</v>
      </c>
      <c r="FE77" s="131" t="s">
        <v>410</v>
      </c>
      <c r="FF77" s="131" t="s">
        <v>452</v>
      </c>
      <c r="FG77" s="131" t="s">
        <v>574</v>
      </c>
      <c r="FH77" s="131" t="s">
        <v>378</v>
      </c>
      <c r="FI77" s="131"/>
      <c r="FJ77" s="131"/>
      <c r="FK77" s="131"/>
      <c r="FL77" s="131"/>
      <c r="FM77" s="131"/>
      <c r="FN77" s="131"/>
      <c r="FO77" s="131"/>
      <c r="FP77" s="52"/>
      <c r="FQ77" s="52"/>
      <c r="FR77" s="52"/>
      <c r="FS77" s="52"/>
      <c r="FT77" s="52"/>
      <c r="FU77" s="52"/>
      <c r="FV77" s="52"/>
      <c r="FW77" s="52"/>
      <c r="FX77" s="52"/>
      <c r="FY77" s="52"/>
      <c r="FZ77" s="52"/>
      <c r="GA77" s="52"/>
      <c r="GB77" s="52"/>
      <c r="GC77" s="52"/>
      <c r="GD77" s="128"/>
      <c r="GE77" s="128"/>
      <c r="GF77" s="131"/>
      <c r="GG77" s="131"/>
      <c r="GH77" s="131"/>
      <c r="GI77" s="131"/>
      <c r="GJ77" s="52"/>
      <c r="GK77" s="128" t="n">
        <v>7</v>
      </c>
      <c r="GL77" s="128" t="n">
        <v>1</v>
      </c>
      <c r="GM77" s="131" t="s">
        <v>695</v>
      </c>
      <c r="GN77" s="131" t="s">
        <v>565</v>
      </c>
      <c r="GO77" s="131" t="s">
        <v>566</v>
      </c>
      <c r="GP77" s="131" t="s">
        <v>567</v>
      </c>
      <c r="GQ77" s="52"/>
      <c r="GR77" s="52"/>
      <c r="GS77" s="52"/>
      <c r="GT77" s="52"/>
      <c r="GU77" s="52"/>
      <c r="GV77" s="52"/>
      <c r="GW77" s="52"/>
      <c r="GX77" s="52"/>
      <c r="GY77" s="52"/>
      <c r="GZ77" s="52"/>
      <c r="HA77" s="52"/>
      <c r="HB77" s="52"/>
      <c r="HC77" s="52"/>
      <c r="HD77" s="52"/>
      <c r="HE77" s="52"/>
      <c r="HF77" s="128" t="n">
        <v>7</v>
      </c>
      <c r="HG77" s="128" t="n">
        <v>2</v>
      </c>
      <c r="HH77" s="131" t="s">
        <v>451</v>
      </c>
      <c r="HI77" s="131" t="s">
        <v>410</v>
      </c>
      <c r="HJ77" s="131" t="s">
        <v>452</v>
      </c>
      <c r="HK77" s="131" t="s">
        <v>574</v>
      </c>
      <c r="HL77" s="131" t="s">
        <v>378</v>
      </c>
      <c r="HM77" s="39" t="n">
        <v>7</v>
      </c>
      <c r="HN77" s="128" t="n">
        <v>1</v>
      </c>
      <c r="HO77" s="131" t="s">
        <v>451</v>
      </c>
      <c r="HP77" s="131" t="s">
        <v>410</v>
      </c>
      <c r="HQ77" s="131" t="s">
        <v>452</v>
      </c>
      <c r="HR77" s="131" t="s">
        <v>574</v>
      </c>
      <c r="HS77" s="131" t="s">
        <v>378</v>
      </c>
      <c r="HT77" s="131"/>
      <c r="HU77" s="128"/>
      <c r="HV77" s="131"/>
      <c r="HW77" s="131"/>
      <c r="HX77" s="131"/>
      <c r="HY77" s="131"/>
      <c r="HZ77" s="131"/>
    </row>
    <row r="78" customFormat="false" ht="12.8" hidden="true" customHeight="false" outlineLevel="0" collapsed="false">
      <c r="A78" s="16" t="s">
        <v>53</v>
      </c>
      <c r="B78" s="16" t="s">
        <v>98</v>
      </c>
      <c r="C78" s="16" t="s">
        <v>213</v>
      </c>
      <c r="D78" s="16" t="s">
        <v>214</v>
      </c>
      <c r="E78" s="156" t="s">
        <v>89</v>
      </c>
      <c r="F78" s="16" t="s">
        <v>116</v>
      </c>
      <c r="G78" s="154" t="s">
        <v>696</v>
      </c>
      <c r="H78" s="150"/>
      <c r="I78" s="150"/>
      <c r="J78" s="150"/>
      <c r="K78" s="128" t="n">
        <v>5500</v>
      </c>
      <c r="L78" s="18" t="n">
        <v>4</v>
      </c>
      <c r="M78" s="18" t="n">
        <f aca="false">IF(AD78,1,0)+IF(AK78,1,0)+AN78+AU78+BB78+BI78+BP78+BW78+CD78+CK78+CR78+CY78+DF78+DM78+DT78+EA78+EH78+EO78+EV78+FC78+FJ78+FQ78+FX78+GE78+GL78+GS78+GZ78+HG78+HN78+HU78</f>
        <v>0</v>
      </c>
      <c r="N78" s="131"/>
      <c r="O78" s="147" t="n">
        <v>1920</v>
      </c>
      <c r="P78" s="147" t="n">
        <v>0</v>
      </c>
      <c r="Q78" s="147" t="n">
        <v>1171</v>
      </c>
      <c r="R78" s="21" t="s">
        <v>44</v>
      </c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31"/>
      <c r="AD78" s="128"/>
      <c r="AE78" s="128"/>
      <c r="AF78" s="128"/>
      <c r="AG78" s="128"/>
      <c r="AH78" s="128"/>
      <c r="AI78" s="147"/>
      <c r="AJ78" s="128"/>
      <c r="AK78" s="128"/>
      <c r="AL78" s="147"/>
      <c r="AM78" s="131"/>
      <c r="AN78" s="128"/>
      <c r="AO78" s="131"/>
      <c r="AP78" s="131"/>
      <c r="AQ78" s="131"/>
      <c r="AR78" s="131"/>
      <c r="AS78" s="131"/>
      <c r="AT78" s="131"/>
      <c r="AU78" s="131"/>
      <c r="AV78" s="131"/>
      <c r="AW78" s="131"/>
      <c r="AX78" s="131"/>
      <c r="AY78" s="131"/>
      <c r="AZ78" s="131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16"/>
      <c r="CK78" s="16"/>
      <c r="CL78" s="16"/>
      <c r="CM78" s="16"/>
      <c r="CN78" s="16"/>
      <c r="CO78" s="16"/>
      <c r="CP78" s="16"/>
      <c r="CQ78" s="128" t="n">
        <v>7</v>
      </c>
      <c r="CR78" s="128" t="n">
        <v>2</v>
      </c>
      <c r="CS78" s="131" t="s">
        <v>390</v>
      </c>
      <c r="CT78" s="131" t="s">
        <v>391</v>
      </c>
      <c r="CU78" s="131" t="s">
        <v>410</v>
      </c>
      <c r="CV78" s="131" t="s">
        <v>384</v>
      </c>
      <c r="CW78" s="131" t="s">
        <v>399</v>
      </c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  <c r="DO78" s="52"/>
      <c r="DP78" s="52"/>
      <c r="DQ78" s="52"/>
      <c r="DR78" s="52"/>
      <c r="DS78" s="52"/>
      <c r="DT78" s="52"/>
      <c r="DU78" s="52"/>
      <c r="DV78" s="52"/>
      <c r="DW78" s="52"/>
      <c r="DX78" s="52"/>
      <c r="DY78" s="52"/>
      <c r="DZ78" s="52"/>
      <c r="EA78" s="52"/>
      <c r="EB78" s="52"/>
      <c r="EC78" s="52"/>
      <c r="ED78" s="52"/>
      <c r="EE78" s="52"/>
      <c r="EF78" s="52"/>
      <c r="EG78" s="52"/>
      <c r="EH78" s="52"/>
      <c r="EI78" s="52"/>
      <c r="EJ78" s="52"/>
      <c r="EK78" s="52"/>
      <c r="EL78" s="52"/>
      <c r="EM78" s="52"/>
      <c r="EN78" s="128" t="n">
        <v>7</v>
      </c>
      <c r="EO78" s="128" t="n">
        <v>1</v>
      </c>
      <c r="EP78" s="131" t="s">
        <v>410</v>
      </c>
      <c r="EQ78" s="131" t="s">
        <v>453</v>
      </c>
      <c r="ER78" s="131" t="s">
        <v>489</v>
      </c>
      <c r="ES78" s="131" t="s">
        <v>468</v>
      </c>
      <c r="ET78" s="131" t="s">
        <v>380</v>
      </c>
      <c r="EU78" s="52"/>
      <c r="EV78" s="52"/>
      <c r="EW78" s="52"/>
      <c r="EX78" s="52"/>
      <c r="EY78" s="52"/>
      <c r="EZ78" s="52"/>
      <c r="FA78" s="52"/>
      <c r="FB78" s="128" t="n">
        <v>7</v>
      </c>
      <c r="FC78" s="128" t="n">
        <v>2</v>
      </c>
      <c r="FD78" s="131" t="s">
        <v>451</v>
      </c>
      <c r="FE78" s="131" t="s">
        <v>410</v>
      </c>
      <c r="FF78" s="131" t="s">
        <v>452</v>
      </c>
      <c r="FG78" s="131" t="s">
        <v>574</v>
      </c>
      <c r="FH78" s="131" t="s">
        <v>378</v>
      </c>
      <c r="FI78" s="131"/>
      <c r="FJ78" s="131"/>
      <c r="FK78" s="131"/>
      <c r="FL78" s="131"/>
      <c r="FM78" s="131"/>
      <c r="FN78" s="131"/>
      <c r="FO78" s="131"/>
      <c r="FP78" s="52"/>
      <c r="FQ78" s="52"/>
      <c r="FR78" s="52"/>
      <c r="FS78" s="52"/>
      <c r="FT78" s="52"/>
      <c r="FU78" s="52"/>
      <c r="FV78" s="52"/>
      <c r="FW78" s="52"/>
      <c r="FX78" s="52"/>
      <c r="FY78" s="52"/>
      <c r="FZ78" s="52"/>
      <c r="GA78" s="52"/>
      <c r="GB78" s="52"/>
      <c r="GC78" s="52"/>
      <c r="GD78" s="52"/>
      <c r="GE78" s="52"/>
      <c r="GF78" s="52"/>
      <c r="GG78" s="52"/>
      <c r="GH78" s="52"/>
      <c r="GI78" s="52"/>
      <c r="GJ78" s="52"/>
      <c r="GK78" s="52"/>
      <c r="GL78" s="52"/>
      <c r="GM78" s="52"/>
      <c r="GN78" s="52"/>
      <c r="GO78" s="52"/>
      <c r="GP78" s="52"/>
      <c r="GQ78" s="52"/>
      <c r="GR78" s="52"/>
      <c r="GS78" s="52"/>
      <c r="GT78" s="52"/>
      <c r="GU78" s="52"/>
      <c r="GV78" s="52"/>
      <c r="GW78" s="52"/>
      <c r="GX78" s="52"/>
      <c r="GY78" s="52"/>
      <c r="GZ78" s="52"/>
      <c r="HA78" s="52"/>
      <c r="HB78" s="52"/>
      <c r="HC78" s="52"/>
      <c r="HD78" s="52"/>
      <c r="HE78" s="52"/>
      <c r="HF78" s="52"/>
      <c r="HG78" s="52"/>
      <c r="HH78" s="52"/>
      <c r="HI78" s="52"/>
      <c r="HJ78" s="52"/>
      <c r="HK78" s="52"/>
      <c r="HL78" s="52"/>
      <c r="HM78" s="39" t="n">
        <v>7</v>
      </c>
      <c r="HN78" s="128" t="n">
        <v>1</v>
      </c>
      <c r="HO78" s="131" t="s">
        <v>451</v>
      </c>
      <c r="HP78" s="131" t="s">
        <v>410</v>
      </c>
      <c r="HQ78" s="131" t="s">
        <v>452</v>
      </c>
      <c r="HR78" s="131" t="s">
        <v>574</v>
      </c>
      <c r="HS78" s="131" t="s">
        <v>378</v>
      </c>
      <c r="HT78" s="131"/>
      <c r="HU78" s="128"/>
      <c r="HV78" s="131"/>
      <c r="HW78" s="131"/>
      <c r="HX78" s="131"/>
      <c r="HY78" s="131"/>
      <c r="HZ78" s="131"/>
    </row>
    <row r="79" customFormat="false" ht="12.8" hidden="true" customHeight="false" outlineLevel="0" collapsed="false">
      <c r="A79" s="16" t="s">
        <v>53</v>
      </c>
      <c r="B79" s="16" t="s">
        <v>98</v>
      </c>
      <c r="C79" s="16" t="s">
        <v>213</v>
      </c>
      <c r="D79" s="16" t="s">
        <v>215</v>
      </c>
      <c r="E79" s="156" t="s">
        <v>87</v>
      </c>
      <c r="F79" s="16" t="s">
        <v>165</v>
      </c>
      <c r="G79" s="157"/>
      <c r="H79" s="150"/>
      <c r="I79" s="150"/>
      <c r="J79" s="150"/>
      <c r="K79" s="128" t="n">
        <v>5500</v>
      </c>
      <c r="L79" s="18"/>
      <c r="M79" s="18" t="n">
        <f aca="false">IF(AD79,1,0)+IF(AK79,1,0)+AN79+AU79+BB79+BI79+BP79+BW79+CD79+CK79+CR79+CY79+DF79+DM79+DT79+EA79+EH79+EO79+EV79+FC79+FJ79+FQ79+FX79+GE79+GL79+GS79+GZ79+HG79+HN79+HU79</f>
        <v>0</v>
      </c>
      <c r="N79" s="131"/>
      <c r="O79" s="147"/>
      <c r="P79" s="147"/>
      <c r="Q79" s="147"/>
      <c r="R79" s="12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31"/>
      <c r="AD79" s="128"/>
      <c r="AE79" s="128"/>
      <c r="AF79" s="128"/>
      <c r="AG79" s="128"/>
      <c r="AH79" s="128"/>
      <c r="AI79" s="147"/>
      <c r="AJ79" s="128"/>
      <c r="AK79" s="128"/>
      <c r="AL79" s="147"/>
      <c r="AM79" s="131"/>
      <c r="AN79" s="128"/>
      <c r="AO79" s="131"/>
      <c r="AP79" s="131"/>
      <c r="AQ79" s="131"/>
      <c r="AR79" s="131"/>
      <c r="AS79" s="131"/>
      <c r="AT79" s="131"/>
      <c r="AU79" s="131"/>
      <c r="AV79" s="131"/>
      <c r="AW79" s="131"/>
      <c r="AX79" s="131"/>
      <c r="AY79" s="131"/>
      <c r="AZ79" s="131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16"/>
      <c r="CK79" s="16"/>
      <c r="CL79" s="16"/>
      <c r="CM79" s="16"/>
      <c r="CN79" s="16"/>
      <c r="CO79" s="16"/>
      <c r="CP79" s="16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2"/>
      <c r="DN79" s="52"/>
      <c r="DO79" s="52"/>
      <c r="DP79" s="52"/>
      <c r="DQ79" s="52"/>
      <c r="DR79" s="52"/>
      <c r="DS79" s="52"/>
      <c r="DT79" s="52"/>
      <c r="DU79" s="52"/>
      <c r="DV79" s="52"/>
      <c r="DW79" s="52"/>
      <c r="DX79" s="52"/>
      <c r="DY79" s="52"/>
      <c r="DZ79" s="52"/>
      <c r="EA79" s="52"/>
      <c r="EB79" s="52"/>
      <c r="EC79" s="52"/>
      <c r="ED79" s="52"/>
      <c r="EE79" s="52"/>
      <c r="EF79" s="52"/>
      <c r="EG79" s="52"/>
      <c r="EH79" s="52"/>
      <c r="EI79" s="52"/>
      <c r="EJ79" s="52"/>
      <c r="EK79" s="52"/>
      <c r="EL79" s="52"/>
      <c r="EM79" s="52"/>
      <c r="EN79" s="52"/>
      <c r="EO79" s="52"/>
      <c r="EP79" s="52"/>
      <c r="EQ79" s="52"/>
      <c r="ER79" s="52"/>
      <c r="ES79" s="52"/>
      <c r="ET79" s="52"/>
      <c r="EU79" s="52"/>
      <c r="EV79" s="52"/>
      <c r="EW79" s="52"/>
      <c r="EX79" s="52"/>
      <c r="EY79" s="52"/>
      <c r="EZ79" s="52"/>
      <c r="FA79" s="52"/>
      <c r="FB79" s="52"/>
      <c r="FC79" s="52"/>
      <c r="FD79" s="52"/>
      <c r="FE79" s="52"/>
      <c r="FF79" s="52"/>
      <c r="FG79" s="52"/>
      <c r="FH79" s="52"/>
      <c r="FI79" s="52"/>
      <c r="FJ79" s="52"/>
      <c r="FK79" s="52"/>
      <c r="FL79" s="52"/>
      <c r="FM79" s="52"/>
      <c r="FN79" s="52"/>
      <c r="FO79" s="52"/>
      <c r="FP79" s="52"/>
      <c r="FQ79" s="52"/>
      <c r="FR79" s="52"/>
      <c r="FS79" s="52"/>
      <c r="FT79" s="52"/>
      <c r="FU79" s="52"/>
      <c r="FV79" s="52"/>
      <c r="FW79" s="52"/>
      <c r="FX79" s="52"/>
      <c r="FY79" s="52"/>
      <c r="FZ79" s="52"/>
      <c r="GA79" s="52"/>
      <c r="GB79" s="52"/>
      <c r="GC79" s="52"/>
      <c r="GD79" s="52"/>
      <c r="GE79" s="52"/>
      <c r="GF79" s="52"/>
      <c r="GG79" s="52"/>
      <c r="GH79" s="52"/>
      <c r="GI79" s="52"/>
      <c r="GJ79" s="52"/>
      <c r="GK79" s="52"/>
      <c r="GL79" s="52"/>
      <c r="GM79" s="52"/>
      <c r="GN79" s="52"/>
      <c r="GO79" s="52"/>
      <c r="GP79" s="52"/>
      <c r="GQ79" s="52"/>
      <c r="GR79" s="52"/>
      <c r="GS79" s="52"/>
      <c r="GT79" s="52"/>
      <c r="GU79" s="52"/>
      <c r="GV79" s="52"/>
      <c r="GW79" s="52"/>
      <c r="GX79" s="52"/>
      <c r="GY79" s="52"/>
      <c r="GZ79" s="52"/>
      <c r="HA79" s="52"/>
      <c r="HB79" s="52"/>
      <c r="HC79" s="52"/>
      <c r="HD79" s="52"/>
      <c r="HE79" s="52"/>
      <c r="HF79" s="52"/>
      <c r="HG79" s="52"/>
      <c r="HH79" s="52"/>
      <c r="HI79" s="52"/>
      <c r="HJ79" s="52"/>
      <c r="HK79" s="52"/>
      <c r="HL79" s="52"/>
      <c r="HM79" s="52"/>
      <c r="HN79" s="52"/>
      <c r="HO79" s="52"/>
      <c r="HP79" s="52"/>
      <c r="HQ79" s="52"/>
      <c r="HR79" s="52"/>
      <c r="HS79" s="52"/>
      <c r="HT79" s="131"/>
      <c r="HU79" s="128"/>
      <c r="HV79" s="131"/>
      <c r="HW79" s="131"/>
      <c r="HX79" s="131"/>
      <c r="HY79" s="131"/>
      <c r="HZ79" s="131"/>
    </row>
    <row r="80" customFormat="false" ht="12.8" hidden="true" customHeight="false" outlineLevel="0" collapsed="false">
      <c r="A80" s="16" t="s">
        <v>53</v>
      </c>
      <c r="B80" s="16" t="s">
        <v>98</v>
      </c>
      <c r="C80" s="16" t="s">
        <v>213</v>
      </c>
      <c r="D80" s="16" t="s">
        <v>216</v>
      </c>
      <c r="E80" s="156" t="s">
        <v>88</v>
      </c>
      <c r="F80" s="16" t="s">
        <v>163</v>
      </c>
      <c r="G80" s="157"/>
      <c r="H80" s="150"/>
      <c r="I80" s="150"/>
      <c r="J80" s="150"/>
      <c r="K80" s="128" t="n">
        <v>5500</v>
      </c>
      <c r="L80" s="18"/>
      <c r="M80" s="18" t="n">
        <f aca="false">IF(AD80,1,0)+IF(AK80,1,0)+AN80+AU80+BB80+BI80+BP80+BW80+CD80+CK80+CR80+CY80+DF80+DM80+DT80+EA80+EH80+EO80+EV80+FC80+FJ80+FQ80+FX80+GE80+GL80+GS80+GZ80+HG80+HN80+HU80</f>
        <v>0</v>
      </c>
      <c r="N80" s="131"/>
      <c r="O80" s="147"/>
      <c r="P80" s="147"/>
      <c r="Q80" s="147"/>
      <c r="R80" s="12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31"/>
      <c r="AD80" s="128"/>
      <c r="AE80" s="128"/>
      <c r="AF80" s="128"/>
      <c r="AG80" s="128"/>
      <c r="AH80" s="128"/>
      <c r="AI80" s="147"/>
      <c r="AJ80" s="128"/>
      <c r="AK80" s="128"/>
      <c r="AL80" s="147"/>
      <c r="AM80" s="131"/>
      <c r="AN80" s="128"/>
      <c r="AO80" s="131"/>
      <c r="AP80" s="131"/>
      <c r="AQ80" s="131"/>
      <c r="AR80" s="131"/>
      <c r="AS80" s="131"/>
      <c r="AT80" s="131"/>
      <c r="AU80" s="131"/>
      <c r="AV80" s="131"/>
      <c r="AW80" s="131"/>
      <c r="AX80" s="131"/>
      <c r="AY80" s="131"/>
      <c r="AZ80" s="131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16"/>
      <c r="CK80" s="16"/>
      <c r="CL80" s="16"/>
      <c r="CM80" s="16"/>
      <c r="CN80" s="16"/>
      <c r="CO80" s="16"/>
      <c r="CP80" s="16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  <c r="DQ80" s="52"/>
      <c r="DR80" s="52"/>
      <c r="DS80" s="52"/>
      <c r="DT80" s="52"/>
      <c r="DU80" s="52"/>
      <c r="DV80" s="52"/>
      <c r="DW80" s="52"/>
      <c r="DX80" s="52"/>
      <c r="DY80" s="52"/>
      <c r="DZ80" s="52"/>
      <c r="EA80" s="52"/>
      <c r="EB80" s="52"/>
      <c r="EC80" s="52"/>
      <c r="ED80" s="52"/>
      <c r="EE80" s="52"/>
      <c r="EF80" s="52"/>
      <c r="EG80" s="52"/>
      <c r="EH80" s="52"/>
      <c r="EI80" s="52"/>
      <c r="EJ80" s="52"/>
      <c r="EK80" s="52"/>
      <c r="EL80" s="52"/>
      <c r="EM80" s="52"/>
      <c r="EN80" s="52"/>
      <c r="EO80" s="52"/>
      <c r="EP80" s="52"/>
      <c r="EQ80" s="52"/>
      <c r="ER80" s="52"/>
      <c r="ES80" s="52"/>
      <c r="ET80" s="52"/>
      <c r="EU80" s="52"/>
      <c r="EV80" s="52"/>
      <c r="EW80" s="52"/>
      <c r="EX80" s="52"/>
      <c r="EY80" s="52"/>
      <c r="EZ80" s="52"/>
      <c r="FA80" s="52"/>
      <c r="FB80" s="52"/>
      <c r="FC80" s="52"/>
      <c r="FD80" s="52"/>
      <c r="FE80" s="52"/>
      <c r="FF80" s="52"/>
      <c r="FG80" s="52"/>
      <c r="FH80" s="52"/>
      <c r="FI80" s="52"/>
      <c r="FJ80" s="52"/>
      <c r="FK80" s="52"/>
      <c r="FL80" s="52"/>
      <c r="FM80" s="52"/>
      <c r="FN80" s="52"/>
      <c r="FO80" s="52"/>
      <c r="FP80" s="52"/>
      <c r="FQ80" s="52"/>
      <c r="FR80" s="52"/>
      <c r="FS80" s="52"/>
      <c r="FT80" s="52"/>
      <c r="FU80" s="52"/>
      <c r="FV80" s="52"/>
      <c r="FW80" s="52"/>
      <c r="FX80" s="52"/>
      <c r="FY80" s="52"/>
      <c r="FZ80" s="52"/>
      <c r="GA80" s="52"/>
      <c r="GB80" s="52"/>
      <c r="GC80" s="52"/>
      <c r="GD80" s="52"/>
      <c r="GE80" s="52"/>
      <c r="GF80" s="52"/>
      <c r="GG80" s="52"/>
      <c r="GH80" s="52"/>
      <c r="GI80" s="52"/>
      <c r="GJ80" s="52"/>
      <c r="GK80" s="52"/>
      <c r="GL80" s="52"/>
      <c r="GM80" s="52"/>
      <c r="GN80" s="52"/>
      <c r="GO80" s="52"/>
      <c r="GP80" s="52"/>
      <c r="GQ80" s="52"/>
      <c r="GR80" s="52"/>
      <c r="GS80" s="52"/>
      <c r="GT80" s="52"/>
      <c r="GU80" s="52"/>
      <c r="GV80" s="52"/>
      <c r="GW80" s="52"/>
      <c r="GX80" s="52"/>
      <c r="GY80" s="52"/>
      <c r="GZ80" s="52"/>
      <c r="HA80" s="52"/>
      <c r="HB80" s="52"/>
      <c r="HC80" s="52"/>
      <c r="HD80" s="52"/>
      <c r="HE80" s="52"/>
      <c r="HF80" s="52"/>
      <c r="HG80" s="52"/>
      <c r="HH80" s="52"/>
      <c r="HI80" s="52"/>
      <c r="HJ80" s="52"/>
      <c r="HK80" s="52"/>
      <c r="HL80" s="52"/>
      <c r="HM80" s="52"/>
      <c r="HN80" s="52"/>
      <c r="HO80" s="52"/>
      <c r="HP80" s="52"/>
      <c r="HQ80" s="52"/>
      <c r="HR80" s="52"/>
      <c r="HS80" s="52"/>
      <c r="HT80" s="131"/>
      <c r="HU80" s="128"/>
      <c r="HV80" s="131"/>
      <c r="HW80" s="131"/>
      <c r="HX80" s="131"/>
      <c r="HY80" s="131"/>
      <c r="HZ80" s="131"/>
    </row>
    <row r="81" customFormat="false" ht="12.8" hidden="true" customHeight="false" outlineLevel="0" collapsed="false">
      <c r="A81" s="16" t="s">
        <v>53</v>
      </c>
      <c r="B81" s="16" t="s">
        <v>98</v>
      </c>
      <c r="C81" s="16" t="s">
        <v>217</v>
      </c>
      <c r="D81" s="16" t="s">
        <v>218</v>
      </c>
      <c r="E81" s="156" t="s">
        <v>89</v>
      </c>
      <c r="F81" s="16" t="s">
        <v>188</v>
      </c>
      <c r="G81" s="154" t="s">
        <v>692</v>
      </c>
      <c r="H81" s="148" t="s">
        <v>92</v>
      </c>
      <c r="I81" s="150"/>
      <c r="J81" s="150"/>
      <c r="K81" s="128" t="n">
        <v>5500</v>
      </c>
      <c r="L81" s="18" t="n">
        <v>5</v>
      </c>
      <c r="M81" s="18" t="n">
        <f aca="false">IF(AD81,1,0)+IF(AK81,1,0)+AN81+AU81+BB81+BI81+BP81+BW81+CD81+CK81+CR81+CY81+DF81+DM81+DT81+EA81+EH81+EO81+EV81+FC81+FJ81+FQ81+FX81+GE81+GL81+GS81+GZ81+HG81+HN81+HU81</f>
        <v>0</v>
      </c>
      <c r="N81" s="131"/>
      <c r="O81" s="147" t="n">
        <v>3490</v>
      </c>
      <c r="P81" s="147" t="n">
        <v>1396</v>
      </c>
      <c r="Q81" s="147" t="n">
        <v>349</v>
      </c>
      <c r="R81" s="21" t="s">
        <v>45</v>
      </c>
      <c r="S81" s="18"/>
      <c r="T81" s="18"/>
      <c r="U81" s="18"/>
      <c r="V81" s="18"/>
      <c r="W81" s="18"/>
      <c r="X81" s="18"/>
      <c r="Y81" s="21" t="s">
        <v>541</v>
      </c>
      <c r="Z81" s="18"/>
      <c r="AA81" s="18"/>
      <c r="AB81" s="18"/>
      <c r="AC81" s="23" t="s">
        <v>637</v>
      </c>
      <c r="AD81" s="128" t="n">
        <v>6</v>
      </c>
      <c r="AE81" s="128"/>
      <c r="AF81" s="128" t="n">
        <v>30</v>
      </c>
      <c r="AG81" s="128" t="n">
        <v>25</v>
      </c>
      <c r="AH81" s="128"/>
      <c r="AI81" s="147" t="s">
        <v>638</v>
      </c>
      <c r="AJ81" s="128"/>
      <c r="AK81" s="128"/>
      <c r="AL81" s="147"/>
      <c r="AM81" s="131"/>
      <c r="AN81" s="128"/>
      <c r="AO81" s="131"/>
      <c r="AP81" s="131"/>
      <c r="AQ81" s="131"/>
      <c r="AR81" s="131"/>
      <c r="AS81" s="131"/>
      <c r="AT81" s="131"/>
      <c r="AU81" s="131"/>
      <c r="AV81" s="131"/>
      <c r="AW81" s="131"/>
      <c r="AX81" s="131"/>
      <c r="AY81" s="131"/>
      <c r="AZ81" s="131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16"/>
      <c r="CK81" s="16"/>
      <c r="CL81" s="16"/>
      <c r="CM81" s="16"/>
      <c r="CN81" s="16"/>
      <c r="CO81" s="16"/>
      <c r="CP81" s="16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128" t="n">
        <v>4</v>
      </c>
      <c r="DF81" s="128" t="n">
        <v>2</v>
      </c>
      <c r="DG81" s="131" t="s">
        <v>585</v>
      </c>
      <c r="DH81" s="131" t="s">
        <v>414</v>
      </c>
      <c r="DI81" s="131" t="s">
        <v>388</v>
      </c>
      <c r="DJ81" s="131" t="s">
        <v>415</v>
      </c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  <c r="EN81" s="52"/>
      <c r="EO81" s="52"/>
      <c r="EP81" s="52"/>
      <c r="EQ81" s="52"/>
      <c r="ER81" s="52"/>
      <c r="ES81" s="52"/>
      <c r="ET81" s="52"/>
      <c r="EU81" s="52"/>
      <c r="EV81" s="52"/>
      <c r="EW81" s="52"/>
      <c r="EX81" s="52"/>
      <c r="EY81" s="52"/>
      <c r="EZ81" s="52"/>
      <c r="FA81" s="52"/>
      <c r="FB81" s="128" t="n">
        <v>4</v>
      </c>
      <c r="FC81" s="39" t="n">
        <v>2</v>
      </c>
      <c r="FD81" s="114" t="s">
        <v>392</v>
      </c>
      <c r="FE81" s="114" t="s">
        <v>388</v>
      </c>
      <c r="FF81" s="114" t="s">
        <v>586</v>
      </c>
      <c r="FG81" s="114" t="s">
        <v>389</v>
      </c>
      <c r="FH81" s="52"/>
      <c r="FI81" s="52"/>
      <c r="FJ81" s="52"/>
      <c r="FK81" s="52"/>
      <c r="FL81" s="52"/>
      <c r="FM81" s="52"/>
      <c r="FN81" s="52"/>
      <c r="FO81" s="52"/>
      <c r="FP81" s="52"/>
      <c r="FQ81" s="52"/>
      <c r="FR81" s="52"/>
      <c r="FS81" s="52"/>
      <c r="FT81" s="52"/>
      <c r="FU81" s="52"/>
      <c r="FV81" s="52"/>
      <c r="FW81" s="52"/>
      <c r="FX81" s="52"/>
      <c r="FY81" s="52"/>
      <c r="FZ81" s="52"/>
      <c r="GA81" s="52"/>
      <c r="GB81" s="52"/>
      <c r="GC81" s="52"/>
      <c r="GD81" s="128"/>
      <c r="GE81" s="128"/>
      <c r="GF81" s="131"/>
      <c r="GG81" s="131"/>
      <c r="GH81" s="131"/>
      <c r="GI81" s="131"/>
      <c r="GJ81" s="52"/>
      <c r="GK81" s="128" t="n">
        <v>4</v>
      </c>
      <c r="GL81" s="128" t="n">
        <v>1</v>
      </c>
      <c r="GM81" s="131" t="s">
        <v>695</v>
      </c>
      <c r="GN81" s="131" t="s">
        <v>697</v>
      </c>
      <c r="GO81" s="131" t="s">
        <v>698</v>
      </c>
      <c r="GP81" s="131" t="s">
        <v>699</v>
      </c>
      <c r="GQ81" s="52"/>
      <c r="GR81" s="52"/>
      <c r="GS81" s="52"/>
      <c r="GT81" s="52"/>
      <c r="GU81" s="52"/>
      <c r="GV81" s="52"/>
      <c r="GW81" s="52"/>
      <c r="GX81" s="52"/>
      <c r="GY81" s="52"/>
      <c r="GZ81" s="52"/>
      <c r="HA81" s="52"/>
      <c r="HB81" s="52"/>
      <c r="HC81" s="52"/>
      <c r="HD81" s="52"/>
      <c r="HE81" s="52"/>
      <c r="HF81" s="52"/>
      <c r="HG81" s="52"/>
      <c r="HH81" s="52"/>
      <c r="HI81" s="52"/>
      <c r="HJ81" s="52"/>
      <c r="HK81" s="52"/>
      <c r="HL81" s="52"/>
      <c r="HM81" s="39" t="n">
        <v>4</v>
      </c>
      <c r="HN81" s="39" t="n">
        <v>1</v>
      </c>
      <c r="HO81" s="114" t="s">
        <v>392</v>
      </c>
      <c r="HP81" s="114" t="s">
        <v>388</v>
      </c>
      <c r="HQ81" s="114" t="s">
        <v>586</v>
      </c>
      <c r="HR81" s="114" t="s">
        <v>389</v>
      </c>
      <c r="HS81" s="52"/>
      <c r="HT81" s="131"/>
      <c r="HU81" s="128"/>
      <c r="HV81" s="131"/>
      <c r="HW81" s="131"/>
      <c r="HX81" s="131"/>
      <c r="HY81" s="131"/>
      <c r="HZ81" s="131"/>
    </row>
    <row r="82" customFormat="false" ht="12.8" hidden="true" customHeight="false" outlineLevel="0" collapsed="false">
      <c r="A82" s="16" t="s">
        <v>53</v>
      </c>
      <c r="B82" s="16" t="s">
        <v>98</v>
      </c>
      <c r="C82" s="16" t="s">
        <v>217</v>
      </c>
      <c r="D82" s="16" t="s">
        <v>219</v>
      </c>
      <c r="E82" s="156" t="s">
        <v>87</v>
      </c>
      <c r="F82" s="16" t="s">
        <v>210</v>
      </c>
      <c r="G82" s="157"/>
      <c r="H82" s="150"/>
      <c r="I82" s="150"/>
      <c r="J82" s="150"/>
      <c r="K82" s="128" t="n">
        <v>5500</v>
      </c>
      <c r="L82" s="18"/>
      <c r="M82" s="18" t="n">
        <f aca="false">IF(AD82,1,0)+IF(AK82,1,0)+AN82+AU82+BB82+BI82+BP82+BW82+CD82+CK82+CR82+CY82+DF82+DM82+DT82+EA82+EH82+EO82+EV82+FC82+FJ82+FQ82+FX82+GE82+GL82+GS82+GZ82+HG82+HN82+HU82</f>
        <v>0</v>
      </c>
      <c r="N82" s="131"/>
      <c r="O82" s="147"/>
      <c r="P82" s="147"/>
      <c r="Q82" s="147"/>
      <c r="R82" s="12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31"/>
      <c r="AD82" s="128"/>
      <c r="AE82" s="128"/>
      <c r="AF82" s="128"/>
      <c r="AG82" s="128"/>
      <c r="AH82" s="128"/>
      <c r="AI82" s="147"/>
      <c r="AJ82" s="128"/>
      <c r="AK82" s="128"/>
      <c r="AL82" s="147"/>
      <c r="AM82" s="131"/>
      <c r="AN82" s="128"/>
      <c r="AO82" s="131"/>
      <c r="AP82" s="131"/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16"/>
      <c r="CK82" s="16"/>
      <c r="CL82" s="16"/>
      <c r="CM82" s="16"/>
      <c r="CN82" s="16"/>
      <c r="CO82" s="16"/>
      <c r="CP82" s="16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2"/>
      <c r="DT82" s="52"/>
      <c r="DU82" s="52"/>
      <c r="DV82" s="52"/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  <c r="EM82" s="52"/>
      <c r="EN82" s="52"/>
      <c r="EO82" s="52"/>
      <c r="EP82" s="52"/>
      <c r="EQ82" s="52"/>
      <c r="ER82" s="52"/>
      <c r="ES82" s="52"/>
      <c r="ET82" s="52"/>
      <c r="EU82" s="52"/>
      <c r="EV82" s="52"/>
      <c r="EW82" s="52"/>
      <c r="EX82" s="52"/>
      <c r="EY82" s="52"/>
      <c r="EZ82" s="52"/>
      <c r="FA82" s="52"/>
      <c r="FB82" s="52"/>
      <c r="FC82" s="52"/>
      <c r="FD82" s="52"/>
      <c r="FE82" s="52"/>
      <c r="FF82" s="52"/>
      <c r="FG82" s="52"/>
      <c r="FH82" s="52"/>
      <c r="FI82" s="52"/>
      <c r="FJ82" s="52"/>
      <c r="FK82" s="52"/>
      <c r="FL82" s="52"/>
      <c r="FM82" s="52"/>
      <c r="FN82" s="52"/>
      <c r="FO82" s="52"/>
      <c r="FP82" s="52"/>
      <c r="FQ82" s="52"/>
      <c r="FR82" s="52"/>
      <c r="FS82" s="52"/>
      <c r="FT82" s="52"/>
      <c r="FU82" s="52"/>
      <c r="FV82" s="52"/>
      <c r="FW82" s="52"/>
      <c r="FX82" s="52"/>
      <c r="FY82" s="52"/>
      <c r="FZ82" s="52"/>
      <c r="GA82" s="52"/>
      <c r="GB82" s="52"/>
      <c r="GC82" s="52"/>
      <c r="GD82" s="52"/>
      <c r="GE82" s="52"/>
      <c r="GF82" s="52"/>
      <c r="GG82" s="52"/>
      <c r="GH82" s="52"/>
      <c r="GI82" s="52"/>
      <c r="GJ82" s="52"/>
      <c r="GK82" s="52"/>
      <c r="GL82" s="52"/>
      <c r="GM82" s="52"/>
      <c r="GN82" s="52"/>
      <c r="GO82" s="52"/>
      <c r="GP82" s="52"/>
      <c r="GQ82" s="52"/>
      <c r="GR82" s="52"/>
      <c r="GS82" s="52"/>
      <c r="GT82" s="52"/>
      <c r="GU82" s="52"/>
      <c r="GV82" s="52"/>
      <c r="GW82" s="52"/>
      <c r="GX82" s="52"/>
      <c r="GY82" s="52"/>
      <c r="GZ82" s="52"/>
      <c r="HA82" s="52"/>
      <c r="HB82" s="52"/>
      <c r="HC82" s="52"/>
      <c r="HD82" s="52"/>
      <c r="HE82" s="52"/>
      <c r="HF82" s="52"/>
      <c r="HG82" s="52"/>
      <c r="HH82" s="52"/>
      <c r="HI82" s="52"/>
      <c r="HJ82" s="52"/>
      <c r="HK82" s="52"/>
      <c r="HL82" s="52"/>
      <c r="HM82" s="52"/>
      <c r="HN82" s="52"/>
      <c r="HO82" s="52"/>
      <c r="HP82" s="52"/>
      <c r="HQ82" s="52"/>
      <c r="HR82" s="52"/>
      <c r="HS82" s="52"/>
      <c r="HT82" s="131"/>
      <c r="HU82" s="128"/>
      <c r="HV82" s="131"/>
      <c r="HW82" s="131"/>
      <c r="HX82" s="131"/>
      <c r="HY82" s="131"/>
      <c r="HZ82" s="131"/>
    </row>
    <row r="83" customFormat="false" ht="12.8" hidden="true" customHeight="false" outlineLevel="0" collapsed="false">
      <c r="A83" s="16" t="s">
        <v>53</v>
      </c>
      <c r="B83" s="16" t="s">
        <v>98</v>
      </c>
      <c r="C83" s="16" t="s">
        <v>217</v>
      </c>
      <c r="D83" s="16" t="s">
        <v>220</v>
      </c>
      <c r="E83" s="156" t="s">
        <v>88</v>
      </c>
      <c r="F83" s="16" t="s">
        <v>109</v>
      </c>
      <c r="G83" s="157"/>
      <c r="H83" s="150"/>
      <c r="I83" s="150"/>
      <c r="J83" s="150"/>
      <c r="K83" s="128" t="n">
        <v>5500</v>
      </c>
      <c r="L83" s="18"/>
      <c r="M83" s="18" t="n">
        <f aca="false">IF(AD83,1,0)+IF(AK83,1,0)+AN83+AU83+BB83+BI83+BP83+BW83+CD83+CK83+CR83+CY83+DF83+DM83+DT83+EA83+EH83+EO83+EV83+FC83+FJ83+FQ83+FX83+GE83+GL83+GS83+GZ83+HG83+HN83+HU83</f>
        <v>0</v>
      </c>
      <c r="N83" s="131"/>
      <c r="O83" s="147"/>
      <c r="P83" s="147"/>
      <c r="Q83" s="147"/>
      <c r="R83" s="12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31"/>
      <c r="AD83" s="128"/>
      <c r="AE83" s="128"/>
      <c r="AF83" s="128"/>
      <c r="AG83" s="128"/>
      <c r="AH83" s="128"/>
      <c r="AI83" s="147"/>
      <c r="AJ83" s="128"/>
      <c r="AK83" s="128"/>
      <c r="AL83" s="147"/>
      <c r="AM83" s="131"/>
      <c r="AN83" s="128"/>
      <c r="AO83" s="131"/>
      <c r="AP83" s="131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16"/>
      <c r="CK83" s="16"/>
      <c r="CL83" s="16"/>
      <c r="CM83" s="16"/>
      <c r="CN83" s="16"/>
      <c r="CO83" s="16"/>
      <c r="CP83" s="16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  <c r="ER83" s="52"/>
      <c r="ES83" s="52"/>
      <c r="ET83" s="52"/>
      <c r="EU83" s="52"/>
      <c r="EV83" s="52"/>
      <c r="EW83" s="52"/>
      <c r="EX83" s="52"/>
      <c r="EY83" s="52"/>
      <c r="EZ83" s="52"/>
      <c r="FA83" s="52"/>
      <c r="FB83" s="52"/>
      <c r="FC83" s="52"/>
      <c r="FD83" s="52"/>
      <c r="FE83" s="52"/>
      <c r="FF83" s="52"/>
      <c r="FG83" s="52"/>
      <c r="FH83" s="52"/>
      <c r="FI83" s="52"/>
      <c r="FJ83" s="52"/>
      <c r="FK83" s="52"/>
      <c r="FL83" s="52"/>
      <c r="FM83" s="52"/>
      <c r="FN83" s="52"/>
      <c r="FO83" s="52"/>
      <c r="FP83" s="52"/>
      <c r="FQ83" s="52"/>
      <c r="FR83" s="52"/>
      <c r="FS83" s="52"/>
      <c r="FT83" s="52"/>
      <c r="FU83" s="52"/>
      <c r="FV83" s="52"/>
      <c r="FW83" s="52"/>
      <c r="FX83" s="52"/>
      <c r="FY83" s="52"/>
      <c r="FZ83" s="52"/>
      <c r="GA83" s="52"/>
      <c r="GB83" s="52"/>
      <c r="GC83" s="52"/>
      <c r="GD83" s="52"/>
      <c r="GE83" s="52"/>
      <c r="GF83" s="52"/>
      <c r="GG83" s="52"/>
      <c r="GH83" s="52"/>
      <c r="GI83" s="52"/>
      <c r="GJ83" s="52"/>
      <c r="GK83" s="52"/>
      <c r="GL83" s="52"/>
      <c r="GM83" s="52"/>
      <c r="GN83" s="52"/>
      <c r="GO83" s="52"/>
      <c r="GP83" s="52"/>
      <c r="GQ83" s="52"/>
      <c r="GR83" s="52"/>
      <c r="GS83" s="52"/>
      <c r="GT83" s="52"/>
      <c r="GU83" s="52"/>
      <c r="GV83" s="52"/>
      <c r="GW83" s="52"/>
      <c r="GX83" s="52"/>
      <c r="GY83" s="52"/>
      <c r="GZ83" s="52"/>
      <c r="HA83" s="52"/>
      <c r="HB83" s="52"/>
      <c r="HC83" s="52"/>
      <c r="HD83" s="52"/>
      <c r="HE83" s="52"/>
      <c r="HF83" s="52"/>
      <c r="HG83" s="52"/>
      <c r="HH83" s="52"/>
      <c r="HI83" s="52"/>
      <c r="HJ83" s="52"/>
      <c r="HK83" s="52"/>
      <c r="HL83" s="52"/>
      <c r="HM83" s="52"/>
      <c r="HN83" s="52"/>
      <c r="HO83" s="52"/>
      <c r="HP83" s="52"/>
      <c r="HQ83" s="52"/>
      <c r="HR83" s="52"/>
      <c r="HS83" s="52"/>
      <c r="HT83" s="131"/>
      <c r="HU83" s="128"/>
      <c r="HV83" s="131"/>
      <c r="HW83" s="131"/>
      <c r="HX83" s="131"/>
      <c r="HY83" s="131"/>
      <c r="HZ83" s="131"/>
    </row>
    <row r="84" customFormat="false" ht="12.8" hidden="true" customHeight="false" outlineLevel="0" collapsed="false">
      <c r="A84" s="16" t="s">
        <v>53</v>
      </c>
      <c r="B84" s="17" t="s">
        <v>113</v>
      </c>
      <c r="C84" s="16" t="s">
        <v>221</v>
      </c>
      <c r="D84" s="17" t="s">
        <v>222</v>
      </c>
      <c r="E84" s="130" t="s">
        <v>89</v>
      </c>
      <c r="F84" s="16" t="s">
        <v>148</v>
      </c>
      <c r="G84" s="154" t="s">
        <v>700</v>
      </c>
      <c r="H84" s="150"/>
      <c r="I84" s="150"/>
      <c r="J84" s="150"/>
      <c r="K84" s="128" t="n">
        <v>5500</v>
      </c>
      <c r="L84" s="18" t="n">
        <v>3</v>
      </c>
      <c r="M84" s="18" t="n">
        <f aca="false">IF(AD84,1,0)+IF(AK84,1,0)+AN84+AU84+BB84+BI84+BP84+BW84+CD84+CK84+CR84+CY84+DF84+DM84+DT84+EA84+EH84+EO84+EV84+FC84+FJ84+FQ84+FX84+GE84+GL84+GS84+GZ84+HG84+HN84+HU84</f>
        <v>0</v>
      </c>
      <c r="N84" s="131"/>
      <c r="O84" s="147" t="n">
        <v>1400</v>
      </c>
      <c r="P84" s="147" t="n">
        <v>470</v>
      </c>
      <c r="Q84" s="147" t="n">
        <v>42</v>
      </c>
      <c r="R84" s="21" t="s">
        <v>44</v>
      </c>
      <c r="S84" s="18"/>
      <c r="T84" s="18"/>
      <c r="U84" s="18"/>
      <c r="V84" s="18"/>
      <c r="W84" s="18"/>
      <c r="X84" s="18"/>
      <c r="Y84" s="21" t="s">
        <v>541</v>
      </c>
      <c r="Z84" s="18"/>
      <c r="AA84" s="18"/>
      <c r="AB84" s="18"/>
      <c r="AC84" s="131"/>
      <c r="AD84" s="128"/>
      <c r="AE84" s="128"/>
      <c r="AF84" s="128"/>
      <c r="AG84" s="128"/>
      <c r="AH84" s="128"/>
      <c r="AI84" s="147"/>
      <c r="AJ84" s="128"/>
      <c r="AK84" s="128"/>
      <c r="AL84" s="147"/>
      <c r="AM84" s="131"/>
      <c r="AN84" s="128"/>
      <c r="AO84" s="131"/>
      <c r="AP84" s="131"/>
      <c r="AQ84" s="131"/>
      <c r="AR84" s="131"/>
      <c r="AS84" s="131"/>
      <c r="AT84" s="131"/>
      <c r="AU84" s="131"/>
      <c r="AV84" s="131"/>
      <c r="AW84" s="131"/>
      <c r="AX84" s="131"/>
      <c r="AY84" s="131"/>
      <c r="AZ84" s="131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16"/>
      <c r="CK84" s="16"/>
      <c r="CL84" s="16"/>
      <c r="CM84" s="16"/>
      <c r="CN84" s="16"/>
      <c r="CO84" s="16"/>
      <c r="CP84" s="16"/>
      <c r="CQ84" s="128" t="n">
        <v>7</v>
      </c>
      <c r="CR84" s="128" t="n">
        <v>2</v>
      </c>
      <c r="CS84" s="131" t="s">
        <v>390</v>
      </c>
      <c r="CT84" s="131" t="s">
        <v>391</v>
      </c>
      <c r="CU84" s="131" t="s">
        <v>410</v>
      </c>
      <c r="CV84" s="131" t="s">
        <v>384</v>
      </c>
      <c r="CW84" s="131" t="s">
        <v>399</v>
      </c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/>
      <c r="DR84" s="52"/>
      <c r="DS84" s="52"/>
      <c r="DT84" s="52"/>
      <c r="DU84" s="52"/>
      <c r="DV84" s="52"/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  <c r="EM84" s="52"/>
      <c r="EN84" s="52"/>
      <c r="EO84" s="52"/>
      <c r="EP84" s="52"/>
      <c r="EQ84" s="52"/>
      <c r="ER84" s="52"/>
      <c r="ES84" s="52"/>
      <c r="ET84" s="52"/>
      <c r="EU84" s="52"/>
      <c r="EV84" s="52"/>
      <c r="EW84" s="52"/>
      <c r="EX84" s="52"/>
      <c r="EY84" s="52"/>
      <c r="EZ84" s="52"/>
      <c r="FA84" s="52"/>
      <c r="FB84" s="128" t="n">
        <v>7</v>
      </c>
      <c r="FC84" s="128" t="n">
        <v>1</v>
      </c>
      <c r="FD84" s="131" t="s">
        <v>451</v>
      </c>
      <c r="FE84" s="131" t="s">
        <v>410</v>
      </c>
      <c r="FF84" s="131" t="s">
        <v>452</v>
      </c>
      <c r="FG84" s="131" t="s">
        <v>574</v>
      </c>
      <c r="FH84" s="131" t="s">
        <v>378</v>
      </c>
      <c r="FI84" s="131"/>
      <c r="FJ84" s="131"/>
      <c r="FK84" s="131"/>
      <c r="FL84" s="131"/>
      <c r="FM84" s="131"/>
      <c r="FN84" s="131"/>
      <c r="FO84" s="131"/>
      <c r="FP84" s="52"/>
      <c r="FQ84" s="52"/>
      <c r="FR84" s="52"/>
      <c r="FS84" s="52"/>
      <c r="FT84" s="52"/>
      <c r="FU84" s="52"/>
      <c r="FV84" s="52"/>
      <c r="FW84" s="52"/>
      <c r="FX84" s="52"/>
      <c r="FY84" s="52"/>
      <c r="FZ84" s="52"/>
      <c r="GA84" s="52"/>
      <c r="GB84" s="52"/>
      <c r="GC84" s="52"/>
      <c r="GD84" s="52"/>
      <c r="GE84" s="52"/>
      <c r="GF84" s="52"/>
      <c r="GG84" s="52"/>
      <c r="GH84" s="52"/>
      <c r="GI84" s="52"/>
      <c r="GJ84" s="52"/>
      <c r="GK84" s="52"/>
      <c r="GL84" s="52"/>
      <c r="GM84" s="52"/>
      <c r="GN84" s="52"/>
      <c r="GO84" s="52"/>
      <c r="GP84" s="52"/>
      <c r="GQ84" s="52"/>
      <c r="GR84" s="52"/>
      <c r="GS84" s="52"/>
      <c r="GT84" s="52"/>
      <c r="GU84" s="52"/>
      <c r="GV84" s="52"/>
      <c r="GW84" s="52"/>
      <c r="GX84" s="52"/>
      <c r="GY84" s="52"/>
      <c r="GZ84" s="52"/>
      <c r="HA84" s="52"/>
      <c r="HB84" s="52"/>
      <c r="HC84" s="52"/>
      <c r="HD84" s="52"/>
      <c r="HE84" s="52"/>
      <c r="HF84" s="128" t="n">
        <v>7</v>
      </c>
      <c r="HG84" s="128" t="n">
        <v>1</v>
      </c>
      <c r="HH84" s="131" t="s">
        <v>451</v>
      </c>
      <c r="HI84" s="131" t="s">
        <v>410</v>
      </c>
      <c r="HJ84" s="131" t="s">
        <v>452</v>
      </c>
      <c r="HK84" s="131" t="s">
        <v>574</v>
      </c>
      <c r="HL84" s="131" t="s">
        <v>378</v>
      </c>
      <c r="HM84" s="52"/>
      <c r="HN84" s="52"/>
      <c r="HO84" s="52"/>
      <c r="HP84" s="52"/>
      <c r="HQ84" s="52"/>
      <c r="HR84" s="52"/>
      <c r="HS84" s="52"/>
      <c r="HT84" s="131"/>
      <c r="HU84" s="128"/>
      <c r="HV84" s="131"/>
      <c r="HW84" s="131"/>
      <c r="HX84" s="131"/>
      <c r="HY84" s="131"/>
      <c r="HZ84" s="131"/>
    </row>
    <row r="85" customFormat="false" ht="12.8" hidden="true" customHeight="false" outlineLevel="0" collapsed="false">
      <c r="A85" s="16" t="s">
        <v>53</v>
      </c>
      <c r="B85" s="17" t="s">
        <v>113</v>
      </c>
      <c r="C85" s="16" t="s">
        <v>223</v>
      </c>
      <c r="D85" s="17" t="s">
        <v>224</v>
      </c>
      <c r="E85" s="130" t="s">
        <v>89</v>
      </c>
      <c r="F85" s="16" t="s">
        <v>148</v>
      </c>
      <c r="G85" s="154" t="s">
        <v>701</v>
      </c>
      <c r="H85" s="148" t="s">
        <v>92</v>
      </c>
      <c r="I85" s="150"/>
      <c r="J85" s="150"/>
      <c r="K85" s="128" t="n">
        <v>5500</v>
      </c>
      <c r="L85" s="18" t="n">
        <v>5</v>
      </c>
      <c r="M85" s="18" t="n">
        <f aca="false">IF(AD85,1,0)+IF(AK85,1,0)+AN85+AU85+BB85+BI85+BP85+BW85+CD85+CK85+CR85+CY85+DF85+DM85+DT85+EA85+EH85+EO85+EV85+FC85+FJ85+FQ85+FX85+GE85+GL85+GS85+GZ85+HG85+HN85+HU85</f>
        <v>0</v>
      </c>
      <c r="N85" s="131"/>
      <c r="O85" s="147" t="n">
        <v>5023</v>
      </c>
      <c r="P85" s="147" t="n">
        <v>642</v>
      </c>
      <c r="Q85" s="147" t="n">
        <v>703</v>
      </c>
      <c r="R85" s="21" t="s">
        <v>45</v>
      </c>
      <c r="S85" s="18"/>
      <c r="T85" s="18"/>
      <c r="U85" s="18"/>
      <c r="V85" s="18"/>
      <c r="W85" s="18"/>
      <c r="X85" s="18"/>
      <c r="Y85" s="21" t="s">
        <v>541</v>
      </c>
      <c r="Z85" s="18"/>
      <c r="AA85" s="18"/>
      <c r="AB85" s="18"/>
      <c r="AC85" s="131"/>
      <c r="AD85" s="128"/>
      <c r="AE85" s="128"/>
      <c r="AF85" s="128"/>
      <c r="AG85" s="128"/>
      <c r="AH85" s="128"/>
      <c r="AI85" s="147"/>
      <c r="AJ85" s="128"/>
      <c r="AK85" s="128"/>
      <c r="AL85" s="147"/>
      <c r="AM85" s="131"/>
      <c r="AN85" s="128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16"/>
      <c r="CK85" s="16"/>
      <c r="CL85" s="16"/>
      <c r="CM85" s="16"/>
      <c r="CN85" s="16"/>
      <c r="CO85" s="16"/>
      <c r="CP85" s="16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128" t="n">
        <v>10</v>
      </c>
      <c r="DF85" s="128" t="n">
        <v>2</v>
      </c>
      <c r="DG85" s="131" t="s">
        <v>381</v>
      </c>
      <c r="DH85" s="131" t="s">
        <v>382</v>
      </c>
      <c r="DI85" s="131" t="s">
        <v>383</v>
      </c>
      <c r="DJ85" s="131" t="s">
        <v>384</v>
      </c>
      <c r="DK85" s="131" t="s">
        <v>399</v>
      </c>
      <c r="DL85" s="52"/>
      <c r="DM85" s="52"/>
      <c r="DN85" s="52"/>
      <c r="DO85" s="52"/>
      <c r="DP85" s="52"/>
      <c r="DQ85" s="52"/>
      <c r="DR85" s="52"/>
      <c r="DS85" s="52"/>
      <c r="DT85" s="52"/>
      <c r="DU85" s="52"/>
      <c r="DV85" s="52"/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  <c r="EM85" s="52"/>
      <c r="EN85" s="52"/>
      <c r="EO85" s="52"/>
      <c r="EP85" s="52"/>
      <c r="EQ85" s="52"/>
      <c r="ER85" s="52"/>
      <c r="ES85" s="52"/>
      <c r="ET85" s="52"/>
      <c r="EU85" s="52"/>
      <c r="EV85" s="52"/>
      <c r="EW85" s="52"/>
      <c r="EX85" s="52"/>
      <c r="EY85" s="52"/>
      <c r="EZ85" s="52"/>
      <c r="FA85" s="52"/>
      <c r="FB85" s="128" t="n">
        <v>10</v>
      </c>
      <c r="FC85" s="128" t="n">
        <v>2</v>
      </c>
      <c r="FD85" s="131" t="s">
        <v>572</v>
      </c>
      <c r="FE85" s="131" t="s">
        <v>383</v>
      </c>
      <c r="FF85" s="131" t="s">
        <v>573</v>
      </c>
      <c r="FG85" s="131" t="s">
        <v>574</v>
      </c>
      <c r="FH85" s="131" t="s">
        <v>378</v>
      </c>
      <c r="FI85" s="131"/>
      <c r="FJ85" s="131"/>
      <c r="FK85" s="131"/>
      <c r="FL85" s="131"/>
      <c r="FM85" s="131"/>
      <c r="FN85" s="131"/>
      <c r="FO85" s="131"/>
      <c r="FP85" s="52"/>
      <c r="FQ85" s="52"/>
      <c r="FR85" s="52"/>
      <c r="FS85" s="52"/>
      <c r="FT85" s="52"/>
      <c r="FU85" s="52"/>
      <c r="FV85" s="52"/>
      <c r="FW85" s="52"/>
      <c r="FX85" s="52"/>
      <c r="FY85" s="52"/>
      <c r="FZ85" s="52"/>
      <c r="GA85" s="52"/>
      <c r="GB85" s="52"/>
      <c r="GC85" s="52"/>
      <c r="GD85" s="128"/>
      <c r="GE85" s="128"/>
      <c r="GF85" s="131"/>
      <c r="GG85" s="131"/>
      <c r="GH85" s="131"/>
      <c r="GI85" s="131"/>
      <c r="GJ85" s="131"/>
      <c r="GK85" s="128" t="n">
        <v>10</v>
      </c>
      <c r="GL85" s="128" t="n">
        <v>1</v>
      </c>
      <c r="GM85" s="131" t="s">
        <v>702</v>
      </c>
      <c r="GN85" s="131" t="s">
        <v>703</v>
      </c>
      <c r="GO85" s="131" t="s">
        <v>704</v>
      </c>
      <c r="GP85" s="131" t="s">
        <v>705</v>
      </c>
      <c r="GQ85" s="131" t="s">
        <v>567</v>
      </c>
      <c r="GR85" s="52"/>
      <c r="GS85" s="52"/>
      <c r="GT85" s="52"/>
      <c r="GU85" s="52"/>
      <c r="GV85" s="52"/>
      <c r="GW85" s="52"/>
      <c r="GX85" s="52"/>
      <c r="GY85" s="52"/>
      <c r="GZ85" s="52"/>
      <c r="HA85" s="52"/>
      <c r="HB85" s="52"/>
      <c r="HC85" s="52"/>
      <c r="HD85" s="52"/>
      <c r="HE85" s="52"/>
      <c r="HF85" s="128" t="n">
        <v>10</v>
      </c>
      <c r="HG85" s="128" t="n">
        <v>1</v>
      </c>
      <c r="HH85" s="131" t="s">
        <v>572</v>
      </c>
      <c r="HI85" s="131" t="s">
        <v>383</v>
      </c>
      <c r="HJ85" s="131" t="s">
        <v>573</v>
      </c>
      <c r="HK85" s="131" t="s">
        <v>574</v>
      </c>
      <c r="HL85" s="131" t="s">
        <v>378</v>
      </c>
      <c r="HM85" s="39" t="n">
        <v>10</v>
      </c>
      <c r="HN85" s="128" t="n">
        <v>1</v>
      </c>
      <c r="HO85" s="131" t="s">
        <v>572</v>
      </c>
      <c r="HP85" s="131" t="s">
        <v>383</v>
      </c>
      <c r="HQ85" s="131" t="s">
        <v>573</v>
      </c>
      <c r="HR85" s="131" t="s">
        <v>574</v>
      </c>
      <c r="HS85" s="131" t="s">
        <v>378</v>
      </c>
      <c r="HT85" s="131"/>
      <c r="HU85" s="128"/>
      <c r="HV85" s="131"/>
      <c r="HW85" s="131"/>
      <c r="HX85" s="131"/>
      <c r="HY85" s="131"/>
      <c r="HZ85" s="131"/>
    </row>
    <row r="86" customFormat="false" ht="12.8" hidden="true" customHeight="false" outlineLevel="0" collapsed="false">
      <c r="A86" s="16" t="s">
        <v>53</v>
      </c>
      <c r="B86" s="17" t="s">
        <v>113</v>
      </c>
      <c r="C86" s="16" t="s">
        <v>223</v>
      </c>
      <c r="D86" s="17" t="s">
        <v>224</v>
      </c>
      <c r="E86" s="130" t="s">
        <v>89</v>
      </c>
      <c r="F86" s="16" t="s">
        <v>148</v>
      </c>
      <c r="G86" s="154" t="s">
        <v>645</v>
      </c>
      <c r="H86" s="150"/>
      <c r="I86" s="150"/>
      <c r="J86" s="150"/>
      <c r="K86" s="128" t="n">
        <v>5500</v>
      </c>
      <c r="L86" s="18" t="n">
        <v>3</v>
      </c>
      <c r="M86" s="18" t="n">
        <f aca="false">IF(AD86,1,0)+IF(AK86,1,0)+AN86+AU86+BB86+BI86+BP86+BW86+CD86+CK86+CR86+CY86+DF86+DM86+DT86+EA86+EH86+EO86+EV86+FC86+FJ86+FQ86+FX86+GE86+GL86+GS86+GZ86+HG86+HN86+HU86</f>
        <v>0</v>
      </c>
      <c r="N86" s="131"/>
      <c r="O86" s="147" t="n">
        <v>1650</v>
      </c>
      <c r="P86" s="147" t="n">
        <v>118</v>
      </c>
      <c r="Q86" s="147" t="n">
        <v>49</v>
      </c>
      <c r="R86" s="21" t="s">
        <v>44</v>
      </c>
      <c r="S86" s="18"/>
      <c r="T86" s="18"/>
      <c r="U86" s="18"/>
      <c r="V86" s="18"/>
      <c r="W86" s="18"/>
      <c r="X86" s="18"/>
      <c r="Y86" s="21" t="s">
        <v>541</v>
      </c>
      <c r="Z86" s="18"/>
      <c r="AA86" s="18"/>
      <c r="AB86" s="18"/>
      <c r="AC86" s="131"/>
      <c r="AD86" s="128"/>
      <c r="AE86" s="128"/>
      <c r="AF86" s="128"/>
      <c r="AG86" s="128"/>
      <c r="AH86" s="128"/>
      <c r="AI86" s="147"/>
      <c r="AJ86" s="128"/>
      <c r="AK86" s="128"/>
      <c r="AL86" s="147"/>
      <c r="AM86" s="131"/>
      <c r="AN86" s="128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16"/>
      <c r="CK86" s="16"/>
      <c r="CL86" s="16"/>
      <c r="CM86" s="16"/>
      <c r="CN86" s="16"/>
      <c r="CO86" s="16"/>
      <c r="CP86" s="16"/>
      <c r="CQ86" s="128" t="n">
        <v>5</v>
      </c>
      <c r="CR86" s="128" t="n">
        <v>2</v>
      </c>
      <c r="CS86" s="131" t="s">
        <v>390</v>
      </c>
      <c r="CT86" s="131" t="s">
        <v>391</v>
      </c>
      <c r="CU86" s="131" t="s">
        <v>410</v>
      </c>
      <c r="CV86" s="131" t="s">
        <v>411</v>
      </c>
      <c r="CW86" s="131" t="s">
        <v>415</v>
      </c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2"/>
      <c r="DN86" s="52"/>
      <c r="DO86" s="52"/>
      <c r="DP86" s="52"/>
      <c r="DQ86" s="52"/>
      <c r="DR86" s="52"/>
      <c r="DS86" s="52"/>
      <c r="DT86" s="52"/>
      <c r="DU86" s="52"/>
      <c r="DV86" s="52"/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  <c r="EM86" s="52"/>
      <c r="EN86" s="52"/>
      <c r="EO86" s="52"/>
      <c r="EP86" s="52"/>
      <c r="EQ86" s="52"/>
      <c r="ER86" s="52"/>
      <c r="ES86" s="52"/>
      <c r="ET86" s="52"/>
      <c r="EU86" s="52"/>
      <c r="EV86" s="52"/>
      <c r="EW86" s="52"/>
      <c r="EX86" s="52"/>
      <c r="EY86" s="52"/>
      <c r="EZ86" s="52"/>
      <c r="FA86" s="52"/>
      <c r="FB86" s="52"/>
      <c r="FC86" s="52"/>
      <c r="FD86" s="52"/>
      <c r="FE86" s="52"/>
      <c r="FF86" s="52"/>
      <c r="FG86" s="52"/>
      <c r="FH86" s="52"/>
      <c r="FI86" s="52"/>
      <c r="FJ86" s="52"/>
      <c r="FK86" s="52"/>
      <c r="FL86" s="52"/>
      <c r="FM86" s="52"/>
      <c r="FN86" s="52"/>
      <c r="FO86" s="52"/>
      <c r="FP86" s="52"/>
      <c r="FQ86" s="52"/>
      <c r="FR86" s="52"/>
      <c r="FS86" s="52"/>
      <c r="FT86" s="52"/>
      <c r="FU86" s="52"/>
      <c r="FV86" s="52"/>
      <c r="FW86" s="52"/>
      <c r="FX86" s="52"/>
      <c r="FY86" s="52"/>
      <c r="FZ86" s="52"/>
      <c r="GA86" s="52"/>
      <c r="GB86" s="52"/>
      <c r="GC86" s="52"/>
      <c r="GD86" s="52"/>
      <c r="GE86" s="52"/>
      <c r="GF86" s="52"/>
      <c r="GG86" s="52"/>
      <c r="GH86" s="52"/>
      <c r="GI86" s="52"/>
      <c r="GJ86" s="52"/>
      <c r="GK86" s="52"/>
      <c r="GL86" s="52"/>
      <c r="GM86" s="52"/>
      <c r="GN86" s="52"/>
      <c r="GO86" s="52"/>
      <c r="GP86" s="52"/>
      <c r="GQ86" s="52"/>
      <c r="GR86" s="52"/>
      <c r="GS86" s="52"/>
      <c r="GT86" s="52"/>
      <c r="GU86" s="52"/>
      <c r="GV86" s="52"/>
      <c r="GW86" s="52"/>
      <c r="GX86" s="52"/>
      <c r="GY86" s="52"/>
      <c r="GZ86" s="52"/>
      <c r="HA86" s="52"/>
      <c r="HB86" s="52"/>
      <c r="HC86" s="52"/>
      <c r="HD86" s="52"/>
      <c r="HE86" s="52"/>
      <c r="HF86" s="128" t="n">
        <v>5</v>
      </c>
      <c r="HG86" s="128" t="n">
        <v>1</v>
      </c>
      <c r="HH86" s="131" t="s">
        <v>451</v>
      </c>
      <c r="HI86" s="131" t="s">
        <v>410</v>
      </c>
      <c r="HJ86" s="131" t="s">
        <v>452</v>
      </c>
      <c r="HK86" s="131" t="s">
        <v>453</v>
      </c>
      <c r="HL86" s="131" t="s">
        <v>389</v>
      </c>
      <c r="HM86" s="39" t="n">
        <v>5</v>
      </c>
      <c r="HN86" s="128" t="n">
        <v>1</v>
      </c>
      <c r="HO86" s="131" t="s">
        <v>451</v>
      </c>
      <c r="HP86" s="131" t="s">
        <v>410</v>
      </c>
      <c r="HQ86" s="131" t="s">
        <v>452</v>
      </c>
      <c r="HR86" s="131" t="s">
        <v>453</v>
      </c>
      <c r="HS86" s="131" t="s">
        <v>389</v>
      </c>
      <c r="HT86" s="131"/>
      <c r="HU86" s="128"/>
      <c r="HV86" s="131"/>
      <c r="HW86" s="131"/>
      <c r="HX86" s="131"/>
      <c r="HY86" s="131"/>
      <c r="HZ86" s="131"/>
    </row>
    <row r="87" customFormat="false" ht="12.8" hidden="true" customHeight="false" outlineLevel="0" collapsed="false">
      <c r="A87" s="16" t="s">
        <v>53</v>
      </c>
      <c r="B87" s="17" t="s">
        <v>113</v>
      </c>
      <c r="C87" s="16" t="s">
        <v>223</v>
      </c>
      <c r="D87" s="17" t="s">
        <v>225</v>
      </c>
      <c r="E87" s="130" t="s">
        <v>87</v>
      </c>
      <c r="F87" s="16" t="s">
        <v>126</v>
      </c>
      <c r="G87" s="154" t="s">
        <v>701</v>
      </c>
      <c r="H87" s="148" t="s">
        <v>92</v>
      </c>
      <c r="I87" s="150"/>
      <c r="J87" s="150"/>
      <c r="K87" s="128" t="n">
        <v>5500</v>
      </c>
      <c r="L87" s="18" t="n">
        <v>5</v>
      </c>
      <c r="M87" s="18" t="n">
        <f aca="false">IF(AD87,1,0)+IF(AK87,1,0)+AN87+AU87+BB87+BI87+BP87+BW87+CD87+CK87+CR87+CY87+DF87+DM87+DT87+EA87+EH87+EO87+EV87+FC87+FJ87+FQ87+FX87+GE87+GL87+GS87+GZ87+HG87+HN87+HU87</f>
        <v>0</v>
      </c>
      <c r="N87" s="131"/>
      <c r="O87" s="147" t="n">
        <v>2482</v>
      </c>
      <c r="P87" s="147" t="n">
        <v>794</v>
      </c>
      <c r="Q87" s="147" t="n">
        <v>49</v>
      </c>
      <c r="R87" s="21" t="s">
        <v>45</v>
      </c>
      <c r="S87" s="18"/>
      <c r="T87" s="18"/>
      <c r="U87" s="18"/>
      <c r="V87" s="18"/>
      <c r="W87" s="18"/>
      <c r="X87" s="21" t="s">
        <v>541</v>
      </c>
      <c r="Y87" s="128"/>
      <c r="Z87" s="18"/>
      <c r="AA87" s="18"/>
      <c r="AB87" s="18"/>
      <c r="AC87" s="131"/>
      <c r="AD87" s="128"/>
      <c r="AE87" s="128"/>
      <c r="AF87" s="128"/>
      <c r="AG87" s="128"/>
      <c r="AH87" s="128"/>
      <c r="AI87" s="147"/>
      <c r="AJ87" s="128"/>
      <c r="AK87" s="128"/>
      <c r="AL87" s="147"/>
      <c r="AM87" s="131"/>
      <c r="AN87" s="128"/>
      <c r="AO87" s="131"/>
      <c r="AP87" s="131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16"/>
      <c r="CK87" s="16"/>
      <c r="CL87" s="16"/>
      <c r="CM87" s="16"/>
      <c r="CN87" s="16"/>
      <c r="CO87" s="16"/>
      <c r="CP87" s="16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128" t="n">
        <v>10</v>
      </c>
      <c r="DF87" s="128" t="n">
        <v>2</v>
      </c>
      <c r="DG87" s="131" t="s">
        <v>381</v>
      </c>
      <c r="DH87" s="131" t="s">
        <v>382</v>
      </c>
      <c r="DI87" s="131" t="s">
        <v>383</v>
      </c>
      <c r="DJ87" s="131" t="s">
        <v>384</v>
      </c>
      <c r="DK87" s="131" t="s">
        <v>399</v>
      </c>
      <c r="DL87" s="52"/>
      <c r="DM87" s="52"/>
      <c r="DN87" s="52"/>
      <c r="DO87" s="52"/>
      <c r="DP87" s="52"/>
      <c r="DQ87" s="52"/>
      <c r="DR87" s="52"/>
      <c r="DS87" s="52"/>
      <c r="DT87" s="52"/>
      <c r="DU87" s="52"/>
      <c r="DV87" s="52"/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  <c r="EM87" s="52"/>
      <c r="EN87" s="52"/>
      <c r="EO87" s="52"/>
      <c r="EP87" s="52"/>
      <c r="EQ87" s="52"/>
      <c r="ER87" s="52"/>
      <c r="ES87" s="52"/>
      <c r="ET87" s="52"/>
      <c r="EU87" s="52"/>
      <c r="EV87" s="52"/>
      <c r="EW87" s="52"/>
      <c r="EX87" s="52"/>
      <c r="EY87" s="52"/>
      <c r="EZ87" s="52"/>
      <c r="FA87" s="52"/>
      <c r="FB87" s="128" t="n">
        <v>10</v>
      </c>
      <c r="FC87" s="128" t="n">
        <v>2</v>
      </c>
      <c r="FD87" s="131" t="s">
        <v>572</v>
      </c>
      <c r="FE87" s="131" t="s">
        <v>383</v>
      </c>
      <c r="FF87" s="131" t="s">
        <v>573</v>
      </c>
      <c r="FG87" s="131" t="s">
        <v>574</v>
      </c>
      <c r="FH87" s="131" t="s">
        <v>378</v>
      </c>
      <c r="FI87" s="131"/>
      <c r="FJ87" s="131"/>
      <c r="FK87" s="131"/>
      <c r="FL87" s="131"/>
      <c r="FM87" s="131"/>
      <c r="FN87" s="131"/>
      <c r="FO87" s="131"/>
      <c r="FP87" s="52"/>
      <c r="FQ87" s="52"/>
      <c r="FR87" s="52"/>
      <c r="FS87" s="52"/>
      <c r="FT87" s="52"/>
      <c r="FU87" s="52"/>
      <c r="FV87" s="52"/>
      <c r="FW87" s="52"/>
      <c r="FX87" s="52"/>
      <c r="FY87" s="52"/>
      <c r="FZ87" s="52"/>
      <c r="GA87" s="52"/>
      <c r="GB87" s="52"/>
      <c r="GC87" s="52"/>
      <c r="GD87" s="128"/>
      <c r="GE87" s="128"/>
      <c r="GF87" s="131"/>
      <c r="GG87" s="131"/>
      <c r="GH87" s="131"/>
      <c r="GI87" s="131"/>
      <c r="GJ87" s="131"/>
      <c r="GK87" s="128" t="n">
        <v>10</v>
      </c>
      <c r="GL87" s="128" t="n">
        <v>1</v>
      </c>
      <c r="GM87" s="131" t="s">
        <v>702</v>
      </c>
      <c r="GN87" s="131" t="s">
        <v>703</v>
      </c>
      <c r="GO87" s="131" t="s">
        <v>704</v>
      </c>
      <c r="GP87" s="131" t="s">
        <v>705</v>
      </c>
      <c r="GQ87" s="131" t="s">
        <v>567</v>
      </c>
      <c r="GR87" s="52"/>
      <c r="GS87" s="52"/>
      <c r="GT87" s="52"/>
      <c r="GU87" s="52"/>
      <c r="GV87" s="52"/>
      <c r="GW87" s="52"/>
      <c r="GX87" s="52"/>
      <c r="GY87" s="52"/>
      <c r="GZ87" s="52"/>
      <c r="HA87" s="52"/>
      <c r="HB87" s="52"/>
      <c r="HC87" s="52"/>
      <c r="HD87" s="52"/>
      <c r="HE87" s="52"/>
      <c r="HF87" s="128" t="n">
        <v>10</v>
      </c>
      <c r="HG87" s="128" t="n">
        <v>1</v>
      </c>
      <c r="HH87" s="131" t="s">
        <v>572</v>
      </c>
      <c r="HI87" s="131" t="s">
        <v>383</v>
      </c>
      <c r="HJ87" s="131" t="s">
        <v>573</v>
      </c>
      <c r="HK87" s="131" t="s">
        <v>574</v>
      </c>
      <c r="HL87" s="131" t="s">
        <v>378</v>
      </c>
      <c r="HM87" s="39" t="n">
        <v>10</v>
      </c>
      <c r="HN87" s="128" t="n">
        <v>1</v>
      </c>
      <c r="HO87" s="131" t="s">
        <v>572</v>
      </c>
      <c r="HP87" s="131" t="s">
        <v>383</v>
      </c>
      <c r="HQ87" s="131" t="s">
        <v>573</v>
      </c>
      <c r="HR87" s="131" t="s">
        <v>574</v>
      </c>
      <c r="HS87" s="131" t="s">
        <v>378</v>
      </c>
      <c r="HT87" s="131"/>
      <c r="HU87" s="128"/>
      <c r="HV87" s="131"/>
      <c r="HW87" s="131"/>
      <c r="HX87" s="131"/>
      <c r="HY87" s="131"/>
      <c r="HZ87" s="131"/>
    </row>
    <row r="88" customFormat="false" ht="12.8" hidden="true" customHeight="false" outlineLevel="0" collapsed="false">
      <c r="A88" s="16" t="s">
        <v>53</v>
      </c>
      <c r="B88" s="17" t="s">
        <v>113</v>
      </c>
      <c r="C88" s="16" t="s">
        <v>223</v>
      </c>
      <c r="D88" s="17" t="s">
        <v>225</v>
      </c>
      <c r="E88" s="130" t="s">
        <v>87</v>
      </c>
      <c r="F88" s="16" t="s">
        <v>126</v>
      </c>
      <c r="G88" s="154" t="s">
        <v>645</v>
      </c>
      <c r="H88" s="150"/>
      <c r="I88" s="150"/>
      <c r="J88" s="150"/>
      <c r="K88" s="128" t="n">
        <v>5500</v>
      </c>
      <c r="L88" s="18" t="n">
        <v>3</v>
      </c>
      <c r="M88" s="18" t="n">
        <f aca="false">IF(AD88,1,0)+IF(AK88,1,0)+AN88+AU88+BB88+BI88+BP88+BW88+CD88+CK88+CR88+CY88+DF88+DM88+DT88+EA88+EH88+EO88+EV88+FC88+FJ88+FQ88+FX88+GE88+GL88+GS88+GZ88+HG88+HN88+HU88</f>
        <v>0</v>
      </c>
      <c r="N88" s="131"/>
      <c r="O88" s="147" t="n">
        <v>1800</v>
      </c>
      <c r="P88" s="147" t="n">
        <v>360</v>
      </c>
      <c r="Q88" s="147" t="n">
        <v>53</v>
      </c>
      <c r="R88" s="21" t="s">
        <v>44</v>
      </c>
      <c r="S88" s="18"/>
      <c r="T88" s="18"/>
      <c r="U88" s="18"/>
      <c r="V88" s="18"/>
      <c r="W88" s="18"/>
      <c r="X88" s="21" t="s">
        <v>541</v>
      </c>
      <c r="Y88" s="128"/>
      <c r="Z88" s="18"/>
      <c r="AA88" s="18"/>
      <c r="AB88" s="18"/>
      <c r="AC88" s="131"/>
      <c r="AD88" s="128"/>
      <c r="AE88" s="128"/>
      <c r="AF88" s="128"/>
      <c r="AG88" s="128"/>
      <c r="AH88" s="128"/>
      <c r="AI88" s="147"/>
      <c r="AJ88" s="128"/>
      <c r="AK88" s="128"/>
      <c r="AL88" s="147"/>
      <c r="AM88" s="131"/>
      <c r="AN88" s="128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16"/>
      <c r="CK88" s="16"/>
      <c r="CL88" s="16"/>
      <c r="CM88" s="16"/>
      <c r="CN88" s="16"/>
      <c r="CO88" s="16"/>
      <c r="CP88" s="16"/>
      <c r="CQ88" s="128" t="n">
        <v>5</v>
      </c>
      <c r="CR88" s="128" t="n">
        <v>2</v>
      </c>
      <c r="CS88" s="131" t="s">
        <v>390</v>
      </c>
      <c r="CT88" s="131" t="s">
        <v>391</v>
      </c>
      <c r="CU88" s="131" t="s">
        <v>410</v>
      </c>
      <c r="CV88" s="131" t="s">
        <v>411</v>
      </c>
      <c r="CW88" s="131" t="s">
        <v>415</v>
      </c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/>
      <c r="DN88" s="52"/>
      <c r="DO88" s="52"/>
      <c r="DP88" s="52"/>
      <c r="DQ88" s="52"/>
      <c r="DR88" s="52"/>
      <c r="DS88" s="52"/>
      <c r="DT88" s="52"/>
      <c r="DU88" s="52"/>
      <c r="DV88" s="52"/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  <c r="EM88" s="52"/>
      <c r="EN88" s="52"/>
      <c r="EO88" s="52"/>
      <c r="EP88" s="52"/>
      <c r="EQ88" s="52"/>
      <c r="ER88" s="52"/>
      <c r="ES88" s="52"/>
      <c r="ET88" s="52"/>
      <c r="EU88" s="52"/>
      <c r="EV88" s="52"/>
      <c r="EW88" s="52"/>
      <c r="EX88" s="52"/>
      <c r="EY88" s="52"/>
      <c r="EZ88" s="52"/>
      <c r="FA88" s="52"/>
      <c r="FB88" s="52"/>
      <c r="FC88" s="52"/>
      <c r="FD88" s="52"/>
      <c r="FE88" s="52"/>
      <c r="FF88" s="52"/>
      <c r="FG88" s="52"/>
      <c r="FH88" s="52"/>
      <c r="FI88" s="52"/>
      <c r="FJ88" s="52"/>
      <c r="FK88" s="52"/>
      <c r="FL88" s="52"/>
      <c r="FM88" s="52"/>
      <c r="FN88" s="52"/>
      <c r="FO88" s="52"/>
      <c r="FP88" s="52"/>
      <c r="FQ88" s="52"/>
      <c r="FR88" s="52"/>
      <c r="FS88" s="52"/>
      <c r="FT88" s="52"/>
      <c r="FU88" s="52"/>
      <c r="FV88" s="52"/>
      <c r="FW88" s="52"/>
      <c r="FX88" s="52"/>
      <c r="FY88" s="52"/>
      <c r="FZ88" s="52"/>
      <c r="GA88" s="52"/>
      <c r="GB88" s="52"/>
      <c r="GC88" s="52"/>
      <c r="GD88" s="52"/>
      <c r="GE88" s="52"/>
      <c r="GF88" s="52"/>
      <c r="GG88" s="52"/>
      <c r="GH88" s="52"/>
      <c r="GI88" s="52"/>
      <c r="GJ88" s="52"/>
      <c r="GK88" s="52"/>
      <c r="GL88" s="52"/>
      <c r="GM88" s="52"/>
      <c r="GN88" s="52"/>
      <c r="GO88" s="52"/>
      <c r="GP88" s="52"/>
      <c r="GQ88" s="52"/>
      <c r="GR88" s="52"/>
      <c r="GS88" s="52"/>
      <c r="GT88" s="52"/>
      <c r="GU88" s="52"/>
      <c r="GV88" s="52"/>
      <c r="GW88" s="52"/>
      <c r="GX88" s="52"/>
      <c r="GY88" s="52"/>
      <c r="GZ88" s="52"/>
      <c r="HA88" s="52"/>
      <c r="HB88" s="52"/>
      <c r="HC88" s="52"/>
      <c r="HD88" s="52"/>
      <c r="HE88" s="52"/>
      <c r="HF88" s="128" t="n">
        <v>5</v>
      </c>
      <c r="HG88" s="128" t="n">
        <v>1</v>
      </c>
      <c r="HH88" s="131" t="s">
        <v>451</v>
      </c>
      <c r="HI88" s="131" t="s">
        <v>410</v>
      </c>
      <c r="HJ88" s="131" t="s">
        <v>452</v>
      </c>
      <c r="HK88" s="131" t="s">
        <v>453</v>
      </c>
      <c r="HL88" s="131" t="s">
        <v>389</v>
      </c>
      <c r="HM88" s="39" t="n">
        <v>5</v>
      </c>
      <c r="HN88" s="128" t="n">
        <v>1</v>
      </c>
      <c r="HO88" s="131" t="s">
        <v>451</v>
      </c>
      <c r="HP88" s="131" t="s">
        <v>410</v>
      </c>
      <c r="HQ88" s="131" t="s">
        <v>452</v>
      </c>
      <c r="HR88" s="131" t="s">
        <v>453</v>
      </c>
      <c r="HS88" s="131" t="s">
        <v>389</v>
      </c>
      <c r="HT88" s="131"/>
      <c r="HU88" s="128"/>
      <c r="HV88" s="131"/>
      <c r="HW88" s="131"/>
      <c r="HX88" s="131"/>
      <c r="HY88" s="131"/>
      <c r="HZ88" s="131"/>
    </row>
    <row r="89" customFormat="false" ht="12.8" hidden="true" customHeight="false" outlineLevel="0" collapsed="false">
      <c r="A89" s="36" t="s">
        <v>53</v>
      </c>
      <c r="B89" s="35" t="s">
        <v>113</v>
      </c>
      <c r="C89" s="36" t="s">
        <v>223</v>
      </c>
      <c r="D89" s="35" t="s">
        <v>226</v>
      </c>
      <c r="E89" s="34" t="s">
        <v>88</v>
      </c>
      <c r="F89" s="36" t="s">
        <v>148</v>
      </c>
      <c r="G89" s="154" t="s">
        <v>701</v>
      </c>
      <c r="H89" s="148" t="s">
        <v>92</v>
      </c>
      <c r="I89" s="150"/>
      <c r="J89" s="150"/>
      <c r="K89" s="128" t="n">
        <v>5500</v>
      </c>
      <c r="L89" s="18" t="n">
        <v>5</v>
      </c>
      <c r="M89" s="18" t="n">
        <f aca="false">IF(AD89,1,0)+IF(AK89,1,0)+AN89+AU89+BB89+BI89+BP89+BW89+CD89+CK89+CR89+CY89+DF89+DM89+DT89+EA89+EH89+EO89+EV89+FC89+FJ89+FQ89+FX89+GE89+GL89+GS89+GZ89+HG89+HN89+HU89</f>
        <v>0</v>
      </c>
      <c r="N89" s="131"/>
      <c r="O89" s="147" t="n">
        <v>5023</v>
      </c>
      <c r="P89" s="147" t="n">
        <v>642</v>
      </c>
      <c r="Q89" s="147" t="n">
        <v>703</v>
      </c>
      <c r="R89" s="21" t="s">
        <v>45</v>
      </c>
      <c r="S89" s="18"/>
      <c r="T89" s="18"/>
      <c r="U89" s="18"/>
      <c r="V89" s="18"/>
      <c r="W89" s="18"/>
      <c r="X89" s="128"/>
      <c r="Y89" s="21" t="s">
        <v>541</v>
      </c>
      <c r="Z89" s="18"/>
      <c r="AA89" s="18"/>
      <c r="AB89" s="18"/>
      <c r="AC89" s="131"/>
      <c r="AD89" s="128"/>
      <c r="AE89" s="128"/>
      <c r="AF89" s="128"/>
      <c r="AG89" s="128"/>
      <c r="AH89" s="128"/>
      <c r="AI89" s="147"/>
      <c r="AJ89" s="128"/>
      <c r="AK89" s="128"/>
      <c r="AL89" s="147"/>
      <c r="AM89" s="131"/>
      <c r="AN89" s="128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16"/>
      <c r="CK89" s="16"/>
      <c r="CL89" s="16"/>
      <c r="CM89" s="16"/>
      <c r="CN89" s="16"/>
      <c r="CO89" s="16"/>
      <c r="CP89" s="16"/>
      <c r="CQ89" s="128"/>
      <c r="CR89" s="128"/>
      <c r="CS89" s="131"/>
      <c r="CT89" s="131"/>
      <c r="CU89" s="131"/>
      <c r="CV89" s="131"/>
      <c r="CW89" s="131"/>
      <c r="CX89" s="52"/>
      <c r="CY89" s="52"/>
      <c r="CZ89" s="52"/>
      <c r="DA89" s="52"/>
      <c r="DB89" s="52"/>
      <c r="DC89" s="52"/>
      <c r="DD89" s="52"/>
      <c r="DE89" s="128" t="n">
        <v>10</v>
      </c>
      <c r="DF89" s="128" t="n">
        <v>2</v>
      </c>
      <c r="DG89" s="131" t="s">
        <v>381</v>
      </c>
      <c r="DH89" s="131" t="s">
        <v>382</v>
      </c>
      <c r="DI89" s="131" t="s">
        <v>383</v>
      </c>
      <c r="DJ89" s="131" t="s">
        <v>384</v>
      </c>
      <c r="DK89" s="131" t="s">
        <v>399</v>
      </c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  <c r="EN89" s="52"/>
      <c r="EO89" s="52"/>
      <c r="EP89" s="52"/>
      <c r="EQ89" s="52"/>
      <c r="ER89" s="52"/>
      <c r="ES89" s="52"/>
      <c r="ET89" s="52"/>
      <c r="EU89" s="52"/>
      <c r="EV89" s="52"/>
      <c r="EW89" s="52"/>
      <c r="EX89" s="52"/>
      <c r="EY89" s="52"/>
      <c r="EZ89" s="52"/>
      <c r="FA89" s="52"/>
      <c r="FB89" s="128" t="n">
        <v>10</v>
      </c>
      <c r="FC89" s="128" t="n">
        <v>2</v>
      </c>
      <c r="FD89" s="131" t="s">
        <v>572</v>
      </c>
      <c r="FE89" s="131" t="s">
        <v>383</v>
      </c>
      <c r="FF89" s="131" t="s">
        <v>573</v>
      </c>
      <c r="FG89" s="131" t="s">
        <v>574</v>
      </c>
      <c r="FH89" s="131" t="s">
        <v>378</v>
      </c>
      <c r="FI89" s="52"/>
      <c r="FJ89" s="52"/>
      <c r="FK89" s="52"/>
      <c r="FL89" s="52"/>
      <c r="FM89" s="52"/>
      <c r="FN89" s="52"/>
      <c r="FO89" s="52"/>
      <c r="FP89" s="52"/>
      <c r="FQ89" s="52"/>
      <c r="FR89" s="52"/>
      <c r="FS89" s="52"/>
      <c r="FT89" s="52"/>
      <c r="FU89" s="52"/>
      <c r="FV89" s="52"/>
      <c r="FW89" s="52"/>
      <c r="FX89" s="52"/>
      <c r="FY89" s="52"/>
      <c r="FZ89" s="52"/>
      <c r="GA89" s="52"/>
      <c r="GB89" s="52"/>
      <c r="GC89" s="52"/>
      <c r="GD89" s="52"/>
      <c r="GE89" s="52"/>
      <c r="GF89" s="52"/>
      <c r="GG89" s="52"/>
      <c r="GH89" s="52"/>
      <c r="GI89" s="52"/>
      <c r="GJ89" s="52"/>
      <c r="GK89" s="128" t="n">
        <v>10</v>
      </c>
      <c r="GL89" s="128" t="n">
        <v>1</v>
      </c>
      <c r="GM89" s="131" t="s">
        <v>702</v>
      </c>
      <c r="GN89" s="131" t="s">
        <v>703</v>
      </c>
      <c r="GO89" s="131" t="s">
        <v>704</v>
      </c>
      <c r="GP89" s="131" t="s">
        <v>705</v>
      </c>
      <c r="GQ89" s="131" t="s">
        <v>567</v>
      </c>
      <c r="GR89" s="52"/>
      <c r="GS89" s="52"/>
      <c r="GT89" s="52"/>
      <c r="GU89" s="52"/>
      <c r="GV89" s="52"/>
      <c r="GW89" s="52"/>
      <c r="GX89" s="52"/>
      <c r="GY89" s="52"/>
      <c r="GZ89" s="52"/>
      <c r="HA89" s="52"/>
      <c r="HB89" s="52"/>
      <c r="HC89" s="52"/>
      <c r="HD89" s="52"/>
      <c r="HE89" s="52"/>
      <c r="HF89" s="128" t="n">
        <v>10</v>
      </c>
      <c r="HG89" s="128" t="n">
        <v>1</v>
      </c>
      <c r="HH89" s="131" t="s">
        <v>572</v>
      </c>
      <c r="HI89" s="131" t="s">
        <v>383</v>
      </c>
      <c r="HJ89" s="131" t="s">
        <v>573</v>
      </c>
      <c r="HK89" s="131" t="s">
        <v>574</v>
      </c>
      <c r="HL89" s="131" t="s">
        <v>378</v>
      </c>
      <c r="HM89" s="128" t="n">
        <v>10</v>
      </c>
      <c r="HN89" s="128" t="n">
        <v>1</v>
      </c>
      <c r="HO89" s="131" t="s">
        <v>572</v>
      </c>
      <c r="HP89" s="131" t="s">
        <v>383</v>
      </c>
      <c r="HQ89" s="131" t="s">
        <v>573</v>
      </c>
      <c r="HR89" s="131" t="s">
        <v>574</v>
      </c>
      <c r="HS89" s="131" t="s">
        <v>378</v>
      </c>
      <c r="HT89" s="131"/>
      <c r="HU89" s="128"/>
      <c r="HV89" s="131"/>
      <c r="HW89" s="131"/>
      <c r="HX89" s="131"/>
      <c r="HY89" s="131"/>
      <c r="HZ89" s="131"/>
    </row>
    <row r="90" customFormat="false" ht="12.8" hidden="true" customHeight="false" outlineLevel="0" collapsed="false">
      <c r="A90" s="36" t="s">
        <v>53</v>
      </c>
      <c r="B90" s="35" t="s">
        <v>113</v>
      </c>
      <c r="C90" s="36" t="s">
        <v>223</v>
      </c>
      <c r="D90" s="35" t="s">
        <v>226</v>
      </c>
      <c r="E90" s="34" t="s">
        <v>88</v>
      </c>
      <c r="F90" s="36" t="s">
        <v>148</v>
      </c>
      <c r="G90" s="154" t="s">
        <v>645</v>
      </c>
      <c r="H90" s="150"/>
      <c r="I90" s="150"/>
      <c r="J90" s="150"/>
      <c r="K90" s="128" t="n">
        <v>5500</v>
      </c>
      <c r="L90" s="18" t="n">
        <v>3</v>
      </c>
      <c r="M90" s="18" t="n">
        <f aca="false">IF(AD90,1,0)+IF(AK90,1,0)+AN90+AU90+BB90+BI90+BP90+BW90+CD90+CK90+CR90+CY90+DF90+DM90+DT90+EA90+EH90+EO90+EV90+FC90+FJ90+FQ90+FX90+GE90+GL90+GS90+GZ90+HG90+HN90+HU90</f>
        <v>0</v>
      </c>
      <c r="N90" s="131"/>
      <c r="O90" s="147" t="n">
        <v>1650</v>
      </c>
      <c r="P90" s="147" t="n">
        <v>118</v>
      </c>
      <c r="Q90" s="147" t="n">
        <v>49</v>
      </c>
      <c r="R90" s="21" t="s">
        <v>44</v>
      </c>
      <c r="S90" s="18"/>
      <c r="T90" s="18"/>
      <c r="U90" s="18"/>
      <c r="V90" s="18"/>
      <c r="W90" s="18"/>
      <c r="X90" s="128"/>
      <c r="Y90" s="21" t="s">
        <v>541</v>
      </c>
      <c r="Z90" s="18"/>
      <c r="AA90" s="18"/>
      <c r="AB90" s="18"/>
      <c r="AC90" s="131"/>
      <c r="AD90" s="128"/>
      <c r="AE90" s="128"/>
      <c r="AF90" s="128"/>
      <c r="AG90" s="128"/>
      <c r="AH90" s="128"/>
      <c r="AI90" s="147"/>
      <c r="AJ90" s="128"/>
      <c r="AK90" s="128"/>
      <c r="AL90" s="147"/>
      <c r="AM90" s="131"/>
      <c r="AN90" s="128"/>
      <c r="AO90" s="131"/>
      <c r="AP90" s="131"/>
      <c r="AQ90" s="131"/>
      <c r="AR90" s="131"/>
      <c r="AS90" s="131"/>
      <c r="AT90" s="131"/>
      <c r="AU90" s="131"/>
      <c r="AV90" s="131"/>
      <c r="AW90" s="131"/>
      <c r="AX90" s="131"/>
      <c r="AY90" s="131"/>
      <c r="AZ90" s="131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16"/>
      <c r="CK90" s="16"/>
      <c r="CL90" s="16"/>
      <c r="CM90" s="16"/>
      <c r="CN90" s="16"/>
      <c r="CO90" s="16"/>
      <c r="CP90" s="16"/>
      <c r="CQ90" s="128" t="n">
        <v>5</v>
      </c>
      <c r="CR90" s="128" t="n">
        <v>2</v>
      </c>
      <c r="CS90" s="131" t="s">
        <v>390</v>
      </c>
      <c r="CT90" s="131" t="s">
        <v>391</v>
      </c>
      <c r="CU90" s="131" t="s">
        <v>410</v>
      </c>
      <c r="CV90" s="131" t="s">
        <v>411</v>
      </c>
      <c r="CW90" s="131" t="s">
        <v>415</v>
      </c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  <c r="EN90" s="52"/>
      <c r="EO90" s="52"/>
      <c r="EP90" s="52"/>
      <c r="EQ90" s="52"/>
      <c r="ER90" s="52"/>
      <c r="ES90" s="52"/>
      <c r="ET90" s="52"/>
      <c r="EU90" s="52"/>
      <c r="EV90" s="52"/>
      <c r="EW90" s="52"/>
      <c r="EX90" s="52"/>
      <c r="EY90" s="52"/>
      <c r="EZ90" s="52"/>
      <c r="FA90" s="52"/>
      <c r="FB90" s="52"/>
      <c r="FC90" s="52"/>
      <c r="FD90" s="52"/>
      <c r="FE90" s="52"/>
      <c r="FF90" s="52"/>
      <c r="FG90" s="52"/>
      <c r="FH90" s="52"/>
      <c r="FI90" s="52"/>
      <c r="FJ90" s="52"/>
      <c r="FK90" s="52"/>
      <c r="FL90" s="52"/>
      <c r="FM90" s="52"/>
      <c r="FN90" s="52"/>
      <c r="FO90" s="52"/>
      <c r="FP90" s="52"/>
      <c r="FQ90" s="52"/>
      <c r="FR90" s="52"/>
      <c r="FS90" s="52"/>
      <c r="FT90" s="52"/>
      <c r="FU90" s="52"/>
      <c r="FV90" s="52"/>
      <c r="FW90" s="52"/>
      <c r="FX90" s="52"/>
      <c r="FY90" s="52"/>
      <c r="FZ90" s="52"/>
      <c r="GA90" s="52"/>
      <c r="GB90" s="52"/>
      <c r="GC90" s="52"/>
      <c r="GD90" s="52"/>
      <c r="GE90" s="52"/>
      <c r="GF90" s="52"/>
      <c r="GG90" s="52"/>
      <c r="GH90" s="52"/>
      <c r="GI90" s="52"/>
      <c r="GJ90" s="52"/>
      <c r="GK90" s="52"/>
      <c r="GL90" s="52"/>
      <c r="GM90" s="52"/>
      <c r="GN90" s="52"/>
      <c r="GO90" s="52"/>
      <c r="GP90" s="52"/>
      <c r="GQ90" s="52"/>
      <c r="GR90" s="52"/>
      <c r="GS90" s="52"/>
      <c r="GT90" s="52"/>
      <c r="GU90" s="52"/>
      <c r="GV90" s="52"/>
      <c r="GW90" s="52"/>
      <c r="GX90" s="52"/>
      <c r="GY90" s="52"/>
      <c r="GZ90" s="52"/>
      <c r="HA90" s="52"/>
      <c r="HB90" s="52"/>
      <c r="HC90" s="52"/>
      <c r="HD90" s="52"/>
      <c r="HE90" s="52"/>
      <c r="HF90" s="128" t="n">
        <v>5</v>
      </c>
      <c r="HG90" s="128" t="n">
        <v>1</v>
      </c>
      <c r="HH90" s="131" t="s">
        <v>451</v>
      </c>
      <c r="HI90" s="131" t="s">
        <v>410</v>
      </c>
      <c r="HJ90" s="131" t="s">
        <v>452</v>
      </c>
      <c r="HK90" s="131" t="s">
        <v>453</v>
      </c>
      <c r="HL90" s="131" t="s">
        <v>389</v>
      </c>
      <c r="HM90" s="128" t="n">
        <v>5</v>
      </c>
      <c r="HN90" s="128" t="n">
        <v>1</v>
      </c>
      <c r="HO90" s="131" t="s">
        <v>451</v>
      </c>
      <c r="HP90" s="131" t="s">
        <v>410</v>
      </c>
      <c r="HQ90" s="131" t="s">
        <v>452</v>
      </c>
      <c r="HR90" s="131" t="s">
        <v>453</v>
      </c>
      <c r="HS90" s="131" t="s">
        <v>389</v>
      </c>
      <c r="HT90" s="131"/>
      <c r="HU90" s="128"/>
      <c r="HV90" s="131"/>
      <c r="HW90" s="131"/>
      <c r="HX90" s="131"/>
      <c r="HY90" s="131"/>
      <c r="HZ90" s="131"/>
    </row>
    <row r="91" customFormat="false" ht="12.8" hidden="true" customHeight="false" outlineLevel="0" collapsed="false">
      <c r="A91" s="36" t="s">
        <v>53</v>
      </c>
      <c r="B91" s="35" t="s">
        <v>113</v>
      </c>
      <c r="C91" s="58" t="s">
        <v>228</v>
      </c>
      <c r="D91" s="35" t="s">
        <v>229</v>
      </c>
      <c r="E91" s="34" t="s">
        <v>89</v>
      </c>
      <c r="F91" s="36" t="s">
        <v>143</v>
      </c>
      <c r="G91" s="157"/>
      <c r="H91" s="150"/>
      <c r="I91" s="150"/>
      <c r="J91" s="150"/>
      <c r="K91" s="128" t="n">
        <v>5500</v>
      </c>
      <c r="L91" s="18"/>
      <c r="M91" s="18" t="n">
        <f aca="false">IF(AD91,1,0)+IF(AK91,1,0)+AN91+AU91+BB91+BI91+BP91+BW91+CD91+CK91+CR91+CY91+DF91+DM91+DT91+EA91+EH91+EO91+EV91+FC91+FJ91+FQ91+FX91+GE91+GL91+GS91+GZ91+HG91+HN91+HU91</f>
        <v>0</v>
      </c>
      <c r="N91" s="131"/>
      <c r="O91" s="147"/>
      <c r="P91" s="147"/>
      <c r="Q91" s="147"/>
      <c r="R91" s="12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31"/>
      <c r="AD91" s="128"/>
      <c r="AE91" s="128"/>
      <c r="AF91" s="128"/>
      <c r="AG91" s="128"/>
      <c r="AH91" s="128"/>
      <c r="AI91" s="147"/>
      <c r="AJ91" s="128"/>
      <c r="AK91" s="128"/>
      <c r="AL91" s="147"/>
      <c r="AM91" s="131"/>
      <c r="AN91" s="128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16"/>
      <c r="CK91" s="16"/>
      <c r="CL91" s="16"/>
      <c r="CM91" s="16"/>
      <c r="CN91" s="16"/>
      <c r="CO91" s="16"/>
      <c r="CP91" s="16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2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  <c r="EN91" s="52"/>
      <c r="EO91" s="52"/>
      <c r="EP91" s="52"/>
      <c r="EQ91" s="52"/>
      <c r="ER91" s="52"/>
      <c r="ES91" s="52"/>
      <c r="ET91" s="52"/>
      <c r="EU91" s="52"/>
      <c r="EV91" s="52"/>
      <c r="EW91" s="52"/>
      <c r="EX91" s="52"/>
      <c r="EY91" s="52"/>
      <c r="EZ91" s="52"/>
      <c r="FA91" s="52"/>
      <c r="FB91" s="52"/>
      <c r="FC91" s="52"/>
      <c r="FD91" s="52"/>
      <c r="FE91" s="52"/>
      <c r="FF91" s="52"/>
      <c r="FG91" s="52"/>
      <c r="FH91" s="52"/>
      <c r="FI91" s="52"/>
      <c r="FJ91" s="52"/>
      <c r="FK91" s="52"/>
      <c r="FL91" s="52"/>
      <c r="FM91" s="52"/>
      <c r="FN91" s="52"/>
      <c r="FO91" s="52"/>
      <c r="FP91" s="52"/>
      <c r="FQ91" s="52"/>
      <c r="FR91" s="52"/>
      <c r="FS91" s="52"/>
      <c r="FT91" s="52"/>
      <c r="FU91" s="52"/>
      <c r="FV91" s="52"/>
      <c r="FW91" s="52"/>
      <c r="FX91" s="52"/>
      <c r="FY91" s="52"/>
      <c r="FZ91" s="52"/>
      <c r="GA91" s="52"/>
      <c r="GB91" s="52"/>
      <c r="GC91" s="52"/>
      <c r="GD91" s="52"/>
      <c r="GE91" s="52"/>
      <c r="GF91" s="52"/>
      <c r="GG91" s="52"/>
      <c r="GH91" s="52"/>
      <c r="GI91" s="52"/>
      <c r="GJ91" s="52"/>
      <c r="GK91" s="52"/>
      <c r="GL91" s="52"/>
      <c r="GM91" s="52"/>
      <c r="GN91" s="52"/>
      <c r="GO91" s="52"/>
      <c r="GP91" s="52"/>
      <c r="GQ91" s="52"/>
      <c r="GR91" s="52"/>
      <c r="GS91" s="52"/>
      <c r="GT91" s="52"/>
      <c r="GU91" s="52"/>
      <c r="GV91" s="52"/>
      <c r="GW91" s="52"/>
      <c r="GX91" s="52"/>
      <c r="GY91" s="52"/>
      <c r="GZ91" s="52"/>
      <c r="HA91" s="52"/>
      <c r="HB91" s="52"/>
      <c r="HC91" s="52"/>
      <c r="HD91" s="52"/>
      <c r="HE91" s="52"/>
      <c r="HF91" s="52"/>
      <c r="HG91" s="52"/>
      <c r="HH91" s="52"/>
      <c r="HI91" s="52"/>
      <c r="HJ91" s="52"/>
      <c r="HK91" s="52"/>
      <c r="HL91" s="52"/>
      <c r="HM91" s="52"/>
      <c r="HN91" s="52"/>
      <c r="HO91" s="52"/>
      <c r="HP91" s="52"/>
      <c r="HQ91" s="52"/>
      <c r="HR91" s="52"/>
      <c r="HS91" s="52"/>
      <c r="HT91" s="131"/>
      <c r="HU91" s="128"/>
      <c r="HV91" s="131"/>
      <c r="HW91" s="131"/>
      <c r="HX91" s="131"/>
      <c r="HY91" s="131"/>
      <c r="HZ91" s="131"/>
    </row>
    <row r="92" customFormat="false" ht="12.8" hidden="true" customHeight="false" outlineLevel="0" collapsed="false">
      <c r="A92" s="16" t="s">
        <v>53</v>
      </c>
      <c r="B92" s="17" t="s">
        <v>113</v>
      </c>
      <c r="C92" s="16" t="s">
        <v>230</v>
      </c>
      <c r="D92" s="17" t="s">
        <v>231</v>
      </c>
      <c r="E92" s="130" t="s">
        <v>89</v>
      </c>
      <c r="F92" s="16" t="s">
        <v>148</v>
      </c>
      <c r="G92" s="154" t="s">
        <v>706</v>
      </c>
      <c r="H92" s="148" t="s">
        <v>92</v>
      </c>
      <c r="I92" s="150"/>
      <c r="J92" s="150"/>
      <c r="K92" s="128" t="n">
        <v>5500</v>
      </c>
      <c r="L92" s="18" t="n">
        <v>5</v>
      </c>
      <c r="M92" s="18" t="n">
        <f aca="false">IF(AD92,1,0)+IF(AK92,1,0)+AN92+AU92+BB92+BI92+BP92+BW92+CD92+CK92+CR92+CY92+DF92+DM92+DT92+EA92+EH92+EO92+EV92+FC92+FJ92+FQ92+FX92+GE92+GL92+GS92+GZ92+HG92+HN92+HU92</f>
        <v>0</v>
      </c>
      <c r="N92" s="131"/>
      <c r="O92" s="147" t="n">
        <v>6000</v>
      </c>
      <c r="P92" s="147" t="n">
        <v>0</v>
      </c>
      <c r="Q92" s="147" t="n">
        <v>900</v>
      </c>
      <c r="R92" s="21" t="s">
        <v>44</v>
      </c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23" t="s">
        <v>654</v>
      </c>
      <c r="AD92" s="128" t="n">
        <v>20</v>
      </c>
      <c r="AE92" s="128"/>
      <c r="AF92" s="128" t="n">
        <v>90</v>
      </c>
      <c r="AG92" s="128" t="n">
        <v>8</v>
      </c>
      <c r="AH92" s="128"/>
      <c r="AI92" s="147" t="s">
        <v>655</v>
      </c>
      <c r="AJ92" s="128"/>
      <c r="AK92" s="128"/>
      <c r="AL92" s="147"/>
      <c r="AM92" s="131"/>
      <c r="AN92" s="128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16"/>
      <c r="CK92" s="16"/>
      <c r="CL92" s="16"/>
      <c r="CM92" s="16"/>
      <c r="CN92" s="16"/>
      <c r="CO92" s="16"/>
      <c r="CP92" s="16"/>
      <c r="CQ92" s="128" t="n">
        <v>10</v>
      </c>
      <c r="CR92" s="128" t="n">
        <v>2</v>
      </c>
      <c r="CS92" s="131" t="s">
        <v>381</v>
      </c>
      <c r="CT92" s="131" t="s">
        <v>382</v>
      </c>
      <c r="CU92" s="131" t="s">
        <v>383</v>
      </c>
      <c r="CV92" s="131" t="s">
        <v>384</v>
      </c>
      <c r="CW92" s="131" t="s">
        <v>399</v>
      </c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2"/>
      <c r="DT92" s="52"/>
      <c r="DU92" s="52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  <c r="EN92" s="52"/>
      <c r="EO92" s="52"/>
      <c r="EP92" s="52"/>
      <c r="EQ92" s="52"/>
      <c r="ER92" s="52"/>
      <c r="ES92" s="52"/>
      <c r="ET92" s="52"/>
      <c r="EU92" s="52"/>
      <c r="EV92" s="52"/>
      <c r="EW92" s="52"/>
      <c r="EX92" s="52"/>
      <c r="EY92" s="52"/>
      <c r="EZ92" s="52"/>
      <c r="FA92" s="52"/>
      <c r="FB92" s="128" t="n">
        <v>10</v>
      </c>
      <c r="FC92" s="128" t="n">
        <v>2</v>
      </c>
      <c r="FD92" s="131" t="s">
        <v>572</v>
      </c>
      <c r="FE92" s="131" t="s">
        <v>383</v>
      </c>
      <c r="FF92" s="131" t="s">
        <v>573</v>
      </c>
      <c r="FG92" s="131" t="s">
        <v>574</v>
      </c>
      <c r="FH92" s="131" t="s">
        <v>378</v>
      </c>
      <c r="FI92" s="131"/>
      <c r="FJ92" s="131"/>
      <c r="FK92" s="131"/>
      <c r="FL92" s="131"/>
      <c r="FM92" s="131"/>
      <c r="FN92" s="131"/>
      <c r="FO92" s="131"/>
      <c r="FP92" s="52"/>
      <c r="FQ92" s="52"/>
      <c r="FR92" s="52"/>
      <c r="FS92" s="52"/>
      <c r="FT92" s="52"/>
      <c r="FU92" s="52"/>
      <c r="FV92" s="52"/>
      <c r="FW92" s="52"/>
      <c r="FX92" s="52"/>
      <c r="FY92" s="52"/>
      <c r="FZ92" s="52"/>
      <c r="GA92" s="52"/>
      <c r="GB92" s="52"/>
      <c r="GC92" s="52"/>
      <c r="GD92" s="52"/>
      <c r="GE92" s="52"/>
      <c r="GF92" s="52"/>
      <c r="GG92" s="52"/>
      <c r="GH92" s="52"/>
      <c r="GI92" s="52"/>
      <c r="GJ92" s="52"/>
      <c r="GK92" s="52"/>
      <c r="GL92" s="52"/>
      <c r="GM92" s="52"/>
      <c r="GN92" s="52"/>
      <c r="GO92" s="52"/>
      <c r="GP92" s="52"/>
      <c r="GQ92" s="52"/>
      <c r="GR92" s="52"/>
      <c r="GS92" s="52"/>
      <c r="GT92" s="52"/>
      <c r="GU92" s="52"/>
      <c r="GV92" s="52"/>
      <c r="GW92" s="52"/>
      <c r="GX92" s="52"/>
      <c r="GY92" s="52"/>
      <c r="GZ92" s="52"/>
      <c r="HA92" s="52"/>
      <c r="HB92" s="52"/>
      <c r="HC92" s="52"/>
      <c r="HD92" s="52"/>
      <c r="HE92" s="52"/>
      <c r="HF92" s="52"/>
      <c r="HG92" s="52"/>
      <c r="HH92" s="52"/>
      <c r="HI92" s="52"/>
      <c r="HJ92" s="52"/>
      <c r="HK92" s="52"/>
      <c r="HL92" s="52"/>
      <c r="HM92" s="39" t="n">
        <v>10</v>
      </c>
      <c r="HN92" s="128" t="n">
        <v>2</v>
      </c>
      <c r="HO92" s="131" t="s">
        <v>572</v>
      </c>
      <c r="HP92" s="131" t="s">
        <v>383</v>
      </c>
      <c r="HQ92" s="131" t="s">
        <v>573</v>
      </c>
      <c r="HR92" s="131" t="s">
        <v>574</v>
      </c>
      <c r="HS92" s="131" t="s">
        <v>378</v>
      </c>
      <c r="HT92" s="131"/>
      <c r="HU92" s="128"/>
      <c r="HV92" s="131"/>
      <c r="HW92" s="131"/>
      <c r="HX92" s="131"/>
      <c r="HY92" s="131"/>
      <c r="HZ92" s="131"/>
    </row>
    <row r="93" customFormat="false" ht="12.8" hidden="true" customHeight="false" outlineLevel="0" collapsed="false">
      <c r="A93" s="16" t="s">
        <v>53</v>
      </c>
      <c r="B93" s="17" t="s">
        <v>113</v>
      </c>
      <c r="C93" s="16" t="s">
        <v>230</v>
      </c>
      <c r="D93" s="17" t="s">
        <v>231</v>
      </c>
      <c r="E93" s="130" t="s">
        <v>89</v>
      </c>
      <c r="F93" s="16" t="s">
        <v>148</v>
      </c>
      <c r="G93" s="154" t="s">
        <v>707</v>
      </c>
      <c r="H93" s="150"/>
      <c r="I93" s="150"/>
      <c r="J93" s="150"/>
      <c r="K93" s="128" t="n">
        <v>5500</v>
      </c>
      <c r="L93" s="18" t="n">
        <v>3</v>
      </c>
      <c r="M93" s="18" t="n">
        <f aca="false">IF(AD93,1,0)+IF(AK93,1,0)+AN93+AU93+BB93+BI93+BP93+BW93+CD93+CK93+CR93+CY93+DF93+DM93+DT93+EA93+EH93+EO93+EV93+FC93+FJ93+FQ93+FX93+GE93+GL93+GS93+GZ93+HG93+HN93+HU93</f>
        <v>0</v>
      </c>
      <c r="N93" s="131"/>
      <c r="O93" s="147" t="n">
        <v>4125</v>
      </c>
      <c r="P93" s="147" t="n">
        <v>166</v>
      </c>
      <c r="Q93" s="147" t="n">
        <v>123</v>
      </c>
      <c r="R93" s="21" t="s">
        <v>44</v>
      </c>
      <c r="S93" s="18"/>
      <c r="T93" s="18"/>
      <c r="U93" s="18"/>
      <c r="V93" s="18"/>
      <c r="W93" s="18"/>
      <c r="X93" s="18"/>
      <c r="Y93" s="21" t="s">
        <v>541</v>
      </c>
      <c r="Z93" s="18"/>
      <c r="AA93" s="18"/>
      <c r="AB93" s="18"/>
      <c r="AC93" s="131"/>
      <c r="AD93" s="128"/>
      <c r="AE93" s="128"/>
      <c r="AF93" s="128"/>
      <c r="AG93" s="128"/>
      <c r="AH93" s="128"/>
      <c r="AI93" s="147"/>
      <c r="AJ93" s="128"/>
      <c r="AK93" s="128"/>
      <c r="AL93" s="147"/>
      <c r="AM93" s="131"/>
      <c r="AN93" s="128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16"/>
      <c r="CK93" s="16"/>
      <c r="CL93" s="16"/>
      <c r="CM93" s="16"/>
      <c r="CN93" s="16"/>
      <c r="CO93" s="16"/>
      <c r="CP93" s="16"/>
      <c r="CQ93" s="128" t="n">
        <v>5</v>
      </c>
      <c r="CR93" s="128" t="n">
        <v>2</v>
      </c>
      <c r="CS93" s="131" t="s">
        <v>390</v>
      </c>
      <c r="CT93" s="131" t="s">
        <v>391</v>
      </c>
      <c r="CU93" s="131" t="s">
        <v>410</v>
      </c>
      <c r="CV93" s="131" t="s">
        <v>411</v>
      </c>
      <c r="CW93" s="131" t="s">
        <v>415</v>
      </c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2"/>
      <c r="DT93" s="52"/>
      <c r="DU93" s="52"/>
      <c r="DV93" s="52"/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  <c r="EM93" s="52"/>
      <c r="EN93" s="52"/>
      <c r="EO93" s="52"/>
      <c r="EP93" s="52"/>
      <c r="EQ93" s="52"/>
      <c r="ER93" s="52"/>
      <c r="ES93" s="52"/>
      <c r="ET93" s="52"/>
      <c r="EU93" s="52"/>
      <c r="EV93" s="52"/>
      <c r="EW93" s="52"/>
      <c r="EX93" s="52"/>
      <c r="EY93" s="52"/>
      <c r="EZ93" s="52"/>
      <c r="FA93" s="52"/>
      <c r="FB93" s="52"/>
      <c r="FC93" s="52"/>
      <c r="FD93" s="52"/>
      <c r="FE93" s="52"/>
      <c r="FF93" s="52"/>
      <c r="FG93" s="52"/>
      <c r="FH93" s="52"/>
      <c r="FI93" s="52"/>
      <c r="FJ93" s="52"/>
      <c r="FK93" s="52"/>
      <c r="FL93" s="52"/>
      <c r="FM93" s="52"/>
      <c r="FN93" s="52"/>
      <c r="FO93" s="52"/>
      <c r="FP93" s="52"/>
      <c r="FQ93" s="52"/>
      <c r="FR93" s="52"/>
      <c r="FS93" s="52"/>
      <c r="FT93" s="52"/>
      <c r="FU93" s="52"/>
      <c r="FV93" s="52"/>
      <c r="FW93" s="52"/>
      <c r="FX93" s="52"/>
      <c r="FY93" s="52"/>
      <c r="FZ93" s="52"/>
      <c r="GA93" s="52"/>
      <c r="GB93" s="52"/>
      <c r="GC93" s="52"/>
      <c r="GD93" s="52"/>
      <c r="GE93" s="52"/>
      <c r="GF93" s="52"/>
      <c r="GG93" s="52"/>
      <c r="GH93" s="52"/>
      <c r="GI93" s="52"/>
      <c r="GJ93" s="52"/>
      <c r="GK93" s="52"/>
      <c r="GL93" s="52"/>
      <c r="GM93" s="52"/>
      <c r="GN93" s="52"/>
      <c r="GO93" s="52"/>
      <c r="GP93" s="52"/>
      <c r="GQ93" s="52"/>
      <c r="GR93" s="52"/>
      <c r="GS93" s="52"/>
      <c r="GT93" s="52"/>
      <c r="GU93" s="52"/>
      <c r="GV93" s="52"/>
      <c r="GW93" s="52"/>
      <c r="GX93" s="52"/>
      <c r="GY93" s="52"/>
      <c r="GZ93" s="52"/>
      <c r="HA93" s="52"/>
      <c r="HB93" s="52"/>
      <c r="HC93" s="52"/>
      <c r="HD93" s="52"/>
      <c r="HE93" s="52"/>
      <c r="HF93" s="128" t="n">
        <v>5</v>
      </c>
      <c r="HG93" s="128" t="n">
        <v>1</v>
      </c>
      <c r="HH93" s="131" t="s">
        <v>451</v>
      </c>
      <c r="HI93" s="131" t="s">
        <v>410</v>
      </c>
      <c r="HJ93" s="131" t="s">
        <v>452</v>
      </c>
      <c r="HK93" s="131" t="s">
        <v>453</v>
      </c>
      <c r="HL93" s="131" t="s">
        <v>389</v>
      </c>
      <c r="HM93" s="39" t="n">
        <v>5</v>
      </c>
      <c r="HN93" s="128" t="n">
        <v>1</v>
      </c>
      <c r="HO93" s="131" t="s">
        <v>451</v>
      </c>
      <c r="HP93" s="131" t="s">
        <v>410</v>
      </c>
      <c r="HQ93" s="131" t="s">
        <v>452</v>
      </c>
      <c r="HR93" s="131" t="s">
        <v>453</v>
      </c>
      <c r="HS93" s="131" t="s">
        <v>389</v>
      </c>
      <c r="HT93" s="131"/>
      <c r="HU93" s="128"/>
      <c r="HV93" s="131"/>
      <c r="HW93" s="131"/>
      <c r="HX93" s="131"/>
      <c r="HY93" s="131"/>
      <c r="HZ93" s="131"/>
    </row>
    <row r="94" customFormat="false" ht="12.8" hidden="true" customHeight="false" outlineLevel="0" collapsed="false">
      <c r="A94" s="36" t="s">
        <v>53</v>
      </c>
      <c r="B94" s="36" t="s">
        <v>158</v>
      </c>
      <c r="C94" s="36" t="s">
        <v>232</v>
      </c>
      <c r="D94" s="35" t="s">
        <v>233</v>
      </c>
      <c r="E94" s="58" t="s">
        <v>89</v>
      </c>
      <c r="F94" s="36" t="s">
        <v>176</v>
      </c>
      <c r="G94" s="154" t="s">
        <v>708</v>
      </c>
      <c r="H94" s="148" t="s">
        <v>92</v>
      </c>
      <c r="I94" s="150"/>
      <c r="J94" s="150"/>
      <c r="K94" s="128" t="n">
        <v>5500</v>
      </c>
      <c r="L94" s="18" t="n">
        <v>6</v>
      </c>
      <c r="M94" s="18" t="n">
        <f aca="false">IF(AD94,1,0)+IF(AK94,1,0)+AN94+AU94+BB94+BI94+BP94+BW94+CD94+CK94+CR94+CY94+DF94+DM94+DT94+EA94+EH94+EO94+EV94+FC94+FJ94+FQ94+FX94+GE94+GL94+GS94+GZ94+HG94+HN94+HU94</f>
        <v>0</v>
      </c>
      <c r="N94" s="131"/>
      <c r="O94" s="147" t="n">
        <v>5175</v>
      </c>
      <c r="P94" s="147" t="n">
        <v>229</v>
      </c>
      <c r="Q94" s="147" t="n">
        <v>506</v>
      </c>
      <c r="R94" s="21" t="s">
        <v>652</v>
      </c>
      <c r="S94" s="21" t="s">
        <v>652</v>
      </c>
      <c r="T94" s="128"/>
      <c r="U94" s="18"/>
      <c r="V94" s="18"/>
      <c r="W94" s="18"/>
      <c r="X94" s="18"/>
      <c r="Y94" s="18"/>
      <c r="Z94" s="18"/>
      <c r="AA94" s="18"/>
      <c r="AB94" s="18"/>
      <c r="AC94" s="23" t="s">
        <v>654</v>
      </c>
      <c r="AD94" s="128" t="n">
        <v>15</v>
      </c>
      <c r="AE94" s="128"/>
      <c r="AF94" s="128" t="n">
        <v>90</v>
      </c>
      <c r="AG94" s="128" t="n">
        <v>8</v>
      </c>
      <c r="AH94" s="128"/>
      <c r="AI94" s="147" t="s">
        <v>655</v>
      </c>
      <c r="AJ94" s="128"/>
      <c r="AK94" s="128"/>
      <c r="AL94" s="147"/>
      <c r="AM94" s="128" t="n">
        <v>10</v>
      </c>
      <c r="AN94" s="128" t="n">
        <v>1</v>
      </c>
      <c r="AO94" s="131" t="s">
        <v>633</v>
      </c>
      <c r="AP94" s="131" t="s">
        <v>634</v>
      </c>
      <c r="AQ94" s="131" t="s">
        <v>635</v>
      </c>
      <c r="AR94" s="131" t="s">
        <v>636</v>
      </c>
      <c r="AS94" s="131" t="s">
        <v>563</v>
      </c>
      <c r="AT94" s="131"/>
      <c r="AU94" s="131"/>
      <c r="AV94" s="131"/>
      <c r="AW94" s="131"/>
      <c r="AX94" s="131"/>
      <c r="AY94" s="131"/>
      <c r="AZ94" s="131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16"/>
      <c r="CK94" s="16"/>
      <c r="CL94" s="16"/>
      <c r="CM94" s="16"/>
      <c r="CN94" s="16"/>
      <c r="CO94" s="16"/>
      <c r="CP94" s="16"/>
      <c r="CQ94" s="52"/>
      <c r="CR94" s="52"/>
      <c r="CS94" s="52"/>
      <c r="CT94" s="52"/>
      <c r="CU94" s="52"/>
      <c r="CV94" s="52"/>
      <c r="CW94" s="52"/>
      <c r="CX94" s="128" t="n">
        <v>10</v>
      </c>
      <c r="CY94" s="128" t="n">
        <v>2</v>
      </c>
      <c r="CZ94" s="131" t="s">
        <v>381</v>
      </c>
      <c r="DA94" s="131" t="s">
        <v>382</v>
      </c>
      <c r="DB94" s="131" t="s">
        <v>383</v>
      </c>
      <c r="DC94" s="131" t="s">
        <v>384</v>
      </c>
      <c r="DD94" s="131" t="s">
        <v>399</v>
      </c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/>
      <c r="DR94" s="52"/>
      <c r="DS94" s="52"/>
      <c r="DT94" s="52"/>
      <c r="DU94" s="52"/>
      <c r="DV94" s="52"/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  <c r="EM94" s="52"/>
      <c r="EN94" s="52"/>
      <c r="EO94" s="52"/>
      <c r="EP94" s="52"/>
      <c r="EQ94" s="52"/>
      <c r="ER94" s="52"/>
      <c r="ES94" s="52"/>
      <c r="ET94" s="52"/>
      <c r="EU94" s="52"/>
      <c r="EV94" s="52"/>
      <c r="EW94" s="52"/>
      <c r="EX94" s="52"/>
      <c r="EY94" s="52"/>
      <c r="EZ94" s="52"/>
      <c r="FA94" s="52"/>
      <c r="FB94" s="128" t="n">
        <v>10</v>
      </c>
      <c r="FC94" s="128" t="n">
        <v>2</v>
      </c>
      <c r="FD94" s="131" t="s">
        <v>572</v>
      </c>
      <c r="FE94" s="131" t="s">
        <v>383</v>
      </c>
      <c r="FF94" s="131" t="s">
        <v>573</v>
      </c>
      <c r="FG94" s="131" t="s">
        <v>574</v>
      </c>
      <c r="FH94" s="131" t="s">
        <v>378</v>
      </c>
      <c r="FI94" s="128" t="n">
        <v>10</v>
      </c>
      <c r="FJ94" s="128" t="n">
        <v>1</v>
      </c>
      <c r="FK94" s="131" t="s">
        <v>709</v>
      </c>
      <c r="FL94" s="131" t="s">
        <v>616</v>
      </c>
      <c r="FM94" s="131" t="s">
        <v>710</v>
      </c>
      <c r="FN94" s="131" t="s">
        <v>711</v>
      </c>
      <c r="FO94" s="131" t="s">
        <v>712</v>
      </c>
      <c r="FP94" s="52"/>
      <c r="FQ94" s="52"/>
      <c r="FR94" s="52"/>
      <c r="FS94" s="52"/>
      <c r="FT94" s="52"/>
      <c r="FU94" s="52"/>
      <c r="FV94" s="52"/>
      <c r="FW94" s="52"/>
      <c r="FX94" s="52"/>
      <c r="FY94" s="52"/>
      <c r="FZ94" s="52"/>
      <c r="GA94" s="52"/>
      <c r="GB94" s="52"/>
      <c r="GC94" s="52"/>
      <c r="GD94" s="52"/>
      <c r="GE94" s="52"/>
      <c r="GF94" s="52"/>
      <c r="GG94" s="52"/>
      <c r="GH94" s="52"/>
      <c r="GI94" s="52"/>
      <c r="GJ94" s="52"/>
      <c r="GK94" s="52"/>
      <c r="GL94" s="52"/>
      <c r="GM94" s="52"/>
      <c r="GN94" s="52"/>
      <c r="GO94" s="52"/>
      <c r="GP94" s="52"/>
      <c r="GQ94" s="52"/>
      <c r="GR94" s="52"/>
      <c r="GS94" s="52"/>
      <c r="GT94" s="52"/>
      <c r="GU94" s="52"/>
      <c r="GV94" s="52"/>
      <c r="GW94" s="52"/>
      <c r="GX94" s="52"/>
      <c r="GY94" s="52"/>
      <c r="GZ94" s="52"/>
      <c r="HA94" s="52"/>
      <c r="HB94" s="52"/>
      <c r="HC94" s="52"/>
      <c r="HD94" s="52"/>
      <c r="HE94" s="52"/>
      <c r="HF94" s="52"/>
      <c r="HG94" s="52"/>
      <c r="HH94" s="52"/>
      <c r="HI94" s="52"/>
      <c r="HJ94" s="52"/>
      <c r="HK94" s="52"/>
      <c r="HL94" s="52"/>
      <c r="HM94" s="39" t="n">
        <v>10</v>
      </c>
      <c r="HN94" s="128" t="n">
        <v>2</v>
      </c>
      <c r="HO94" s="131" t="s">
        <v>572</v>
      </c>
      <c r="HP94" s="131" t="s">
        <v>383</v>
      </c>
      <c r="HQ94" s="131" t="s">
        <v>573</v>
      </c>
      <c r="HR94" s="131" t="s">
        <v>574</v>
      </c>
      <c r="HS94" s="131" t="s">
        <v>378</v>
      </c>
      <c r="HT94" s="131"/>
      <c r="HU94" s="128"/>
      <c r="HV94" s="131"/>
      <c r="HW94" s="131"/>
      <c r="HX94" s="131"/>
      <c r="HY94" s="131"/>
      <c r="HZ94" s="131"/>
    </row>
    <row r="95" customFormat="false" ht="12.8" hidden="true" customHeight="false" outlineLevel="0" collapsed="false">
      <c r="A95" s="36" t="s">
        <v>53</v>
      </c>
      <c r="B95" s="35" t="s">
        <v>158</v>
      </c>
      <c r="C95" s="36" t="s">
        <v>232</v>
      </c>
      <c r="D95" s="36" t="s">
        <v>234</v>
      </c>
      <c r="E95" s="58" t="s">
        <v>87</v>
      </c>
      <c r="F95" s="36" t="s">
        <v>143</v>
      </c>
      <c r="G95" s="154" t="s">
        <v>658</v>
      </c>
      <c r="H95" s="148" t="s">
        <v>92</v>
      </c>
      <c r="I95" s="150"/>
      <c r="J95" s="150"/>
      <c r="K95" s="128" t="n">
        <v>5500</v>
      </c>
      <c r="L95" s="18" t="n">
        <v>6</v>
      </c>
      <c r="M95" s="18" t="n">
        <f aca="false">IF(AD95,1,0)+IF(AK95,1,0)+AN95+AU95+BB95+BI95+BP95+BW95+CD95+CK95+CR95+CY95+DF95+DM95+DT95+EA95+EH95+EO95+EV95+FC95+FJ95+FQ95+FX95+GE95+GL95+GS95+GZ95+HG95+HN95+HU95</f>
        <v>0</v>
      </c>
      <c r="N95" s="131"/>
      <c r="O95" s="147" t="n">
        <v>5684</v>
      </c>
      <c r="P95" s="147" t="n">
        <v>1280</v>
      </c>
      <c r="Q95" s="147" t="n">
        <v>381</v>
      </c>
      <c r="R95" s="21" t="s">
        <v>46</v>
      </c>
      <c r="S95" s="21" t="s">
        <v>45</v>
      </c>
      <c r="T95" s="128"/>
      <c r="U95" s="18"/>
      <c r="V95" s="18"/>
      <c r="W95" s="18"/>
      <c r="X95" s="18"/>
      <c r="Y95" s="18"/>
      <c r="Z95" s="18"/>
      <c r="AA95" s="18"/>
      <c r="AB95" s="18"/>
      <c r="AC95" s="23" t="s">
        <v>612</v>
      </c>
      <c r="AD95" s="128" t="n">
        <v>15</v>
      </c>
      <c r="AE95" s="21" t="s">
        <v>613</v>
      </c>
      <c r="AF95" s="128"/>
      <c r="AG95" s="128"/>
      <c r="AH95" s="128"/>
      <c r="AI95" s="147" t="s">
        <v>614</v>
      </c>
      <c r="AJ95" s="128"/>
      <c r="AK95" s="128"/>
      <c r="AL95" s="147"/>
      <c r="AM95" s="131"/>
      <c r="AN95" s="128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128" t="n">
        <v>8</v>
      </c>
      <c r="BP95" s="128" t="n">
        <v>1</v>
      </c>
      <c r="BQ95" s="131" t="s">
        <v>410</v>
      </c>
      <c r="BR95" s="131" t="s">
        <v>453</v>
      </c>
      <c r="BS95" s="131" t="s">
        <v>467</v>
      </c>
      <c r="BT95" s="131" t="s">
        <v>468</v>
      </c>
      <c r="BU95" s="131" t="s">
        <v>380</v>
      </c>
      <c r="BV95" s="128" t="n">
        <v>10</v>
      </c>
      <c r="BW95" s="128" t="n">
        <v>1</v>
      </c>
      <c r="BX95" s="131" t="s">
        <v>399</v>
      </c>
      <c r="BY95" s="131" t="s">
        <v>615</v>
      </c>
      <c r="BZ95" s="131" t="s">
        <v>380</v>
      </c>
      <c r="CA95" s="131" t="s">
        <v>596</v>
      </c>
      <c r="CB95" s="131" t="s">
        <v>597</v>
      </c>
      <c r="CC95" s="128" t="n">
        <v>10</v>
      </c>
      <c r="CD95" s="128" t="n">
        <v>1</v>
      </c>
      <c r="CE95" s="131" t="s">
        <v>384</v>
      </c>
      <c r="CF95" s="131" t="s">
        <v>616</v>
      </c>
      <c r="CG95" s="131" t="s">
        <v>468</v>
      </c>
      <c r="CH95" s="131" t="s">
        <v>617</v>
      </c>
      <c r="CI95" s="131" t="s">
        <v>596</v>
      </c>
      <c r="CJ95" s="16"/>
      <c r="CK95" s="16"/>
      <c r="CL95" s="16"/>
      <c r="CM95" s="16"/>
      <c r="CN95" s="16"/>
      <c r="CO95" s="16"/>
      <c r="CP95" s="16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128" t="n">
        <v>10</v>
      </c>
      <c r="DF95" s="128" t="n">
        <v>2</v>
      </c>
      <c r="DG95" s="131" t="s">
        <v>381</v>
      </c>
      <c r="DH95" s="131" t="s">
        <v>382</v>
      </c>
      <c r="DI95" s="131" t="s">
        <v>383</v>
      </c>
      <c r="DJ95" s="131" t="s">
        <v>384</v>
      </c>
      <c r="DK95" s="131" t="s">
        <v>399</v>
      </c>
      <c r="DL95" s="52"/>
      <c r="DM95" s="52"/>
      <c r="DN95" s="52"/>
      <c r="DO95" s="52"/>
      <c r="DP95" s="52"/>
      <c r="DQ95" s="52"/>
      <c r="DR95" s="52"/>
      <c r="DS95" s="52"/>
      <c r="DT95" s="52"/>
      <c r="DU95" s="52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  <c r="EN95" s="52"/>
      <c r="EO95" s="52"/>
      <c r="EP95" s="52"/>
      <c r="EQ95" s="52"/>
      <c r="ER95" s="52"/>
      <c r="ES95" s="52"/>
      <c r="ET95" s="52"/>
      <c r="EU95" s="52"/>
      <c r="EV95" s="52"/>
      <c r="EW95" s="52"/>
      <c r="EX95" s="52"/>
      <c r="EY95" s="52"/>
      <c r="EZ95" s="52"/>
      <c r="FA95" s="52"/>
      <c r="FB95" s="128" t="n">
        <v>10</v>
      </c>
      <c r="FC95" s="128" t="n">
        <v>2</v>
      </c>
      <c r="FD95" s="131" t="s">
        <v>572</v>
      </c>
      <c r="FE95" s="131" t="s">
        <v>383</v>
      </c>
      <c r="FF95" s="131" t="s">
        <v>573</v>
      </c>
      <c r="FG95" s="131" t="s">
        <v>574</v>
      </c>
      <c r="FH95" s="131" t="s">
        <v>378</v>
      </c>
      <c r="FI95" s="52"/>
      <c r="FJ95" s="52"/>
      <c r="FK95" s="52"/>
      <c r="FL95" s="52"/>
      <c r="FM95" s="52"/>
      <c r="FN95" s="52"/>
      <c r="FO95" s="52"/>
      <c r="FP95" s="52"/>
      <c r="FQ95" s="52"/>
      <c r="FR95" s="52"/>
      <c r="FS95" s="52"/>
      <c r="FT95" s="52"/>
      <c r="FU95" s="52"/>
      <c r="FV95" s="52"/>
      <c r="FW95" s="52"/>
      <c r="FX95" s="52"/>
      <c r="FY95" s="52"/>
      <c r="FZ95" s="52"/>
      <c r="GA95" s="52"/>
      <c r="GB95" s="52"/>
      <c r="GC95" s="52"/>
      <c r="GD95" s="52"/>
      <c r="GE95" s="52"/>
      <c r="GF95" s="52"/>
      <c r="GG95" s="52"/>
      <c r="GH95" s="52"/>
      <c r="GI95" s="52"/>
      <c r="GJ95" s="52"/>
      <c r="GK95" s="52"/>
      <c r="GL95" s="52"/>
      <c r="GM95" s="52"/>
      <c r="GN95" s="52"/>
      <c r="GO95" s="52"/>
      <c r="GP95" s="52"/>
      <c r="GQ95" s="52"/>
      <c r="GR95" s="52"/>
      <c r="GS95" s="52"/>
      <c r="GT95" s="52"/>
      <c r="GU95" s="52"/>
      <c r="GV95" s="52"/>
      <c r="GW95" s="52"/>
      <c r="GX95" s="52"/>
      <c r="GY95" s="52"/>
      <c r="GZ95" s="52"/>
      <c r="HA95" s="52"/>
      <c r="HB95" s="52"/>
      <c r="HC95" s="52"/>
      <c r="HD95" s="52"/>
      <c r="HE95" s="52"/>
      <c r="HF95" s="52"/>
      <c r="HG95" s="52"/>
      <c r="HH95" s="52"/>
      <c r="HI95" s="52"/>
      <c r="HJ95" s="52"/>
      <c r="HK95" s="52"/>
      <c r="HL95" s="52"/>
      <c r="HM95" s="52"/>
      <c r="HN95" s="52"/>
      <c r="HO95" s="52"/>
      <c r="HP95" s="52"/>
      <c r="HQ95" s="52"/>
      <c r="HR95" s="52"/>
      <c r="HS95" s="52"/>
      <c r="HT95" s="39" t="n">
        <v>10</v>
      </c>
      <c r="HU95" s="128" t="n">
        <v>1</v>
      </c>
      <c r="HV95" s="131" t="s">
        <v>572</v>
      </c>
      <c r="HW95" s="131" t="s">
        <v>383</v>
      </c>
      <c r="HX95" s="131" t="s">
        <v>573</v>
      </c>
      <c r="HY95" s="131" t="s">
        <v>574</v>
      </c>
      <c r="HZ95" s="131" t="s">
        <v>378</v>
      </c>
    </row>
    <row r="96" customFormat="false" ht="12.8" hidden="true" customHeight="false" outlineLevel="0" collapsed="false">
      <c r="A96" s="16" t="s">
        <v>53</v>
      </c>
      <c r="B96" s="16" t="s">
        <v>158</v>
      </c>
      <c r="C96" s="16" t="s">
        <v>235</v>
      </c>
      <c r="D96" s="16" t="s">
        <v>236</v>
      </c>
      <c r="E96" s="156" t="s">
        <v>89</v>
      </c>
      <c r="F96" s="16" t="s">
        <v>237</v>
      </c>
      <c r="G96" s="154" t="s">
        <v>645</v>
      </c>
      <c r="H96" s="150"/>
      <c r="I96" s="150"/>
      <c r="J96" s="150"/>
      <c r="K96" s="128" t="n">
        <v>5500</v>
      </c>
      <c r="L96" s="18" t="n">
        <v>4</v>
      </c>
      <c r="M96" s="18" t="n">
        <f aca="false">IF(AD96,1,0)+IF(AK96,1,0)+AN96+AU96+BB96+BI96+BP96+BW96+CD96+CK96+CR96+CY96+DF96+DM96+DT96+EA96+EH96+EO96+EV96+FC96+FJ96+FQ96+FX96+GE96+GL96+GS96+GZ96+HG96+HN96+HU96</f>
        <v>0</v>
      </c>
      <c r="N96" s="131"/>
      <c r="O96" s="147" t="n">
        <v>1800</v>
      </c>
      <c r="P96" s="147" t="n">
        <v>1195</v>
      </c>
      <c r="Q96" s="147" t="n">
        <v>252</v>
      </c>
      <c r="R96" s="21" t="s">
        <v>44</v>
      </c>
      <c r="S96" s="18"/>
      <c r="T96" s="18"/>
      <c r="U96" s="18"/>
      <c r="V96" s="18"/>
      <c r="W96" s="18"/>
      <c r="X96" s="18"/>
      <c r="Y96" s="21" t="s">
        <v>541</v>
      </c>
      <c r="Z96" s="18"/>
      <c r="AA96" s="18"/>
      <c r="AB96" s="18"/>
      <c r="AC96" s="23" t="s">
        <v>637</v>
      </c>
      <c r="AD96" s="128" t="n">
        <v>8</v>
      </c>
      <c r="AE96" s="128"/>
      <c r="AF96" s="128" t="n">
        <v>30</v>
      </c>
      <c r="AG96" s="128" t="n">
        <v>25</v>
      </c>
      <c r="AH96" s="128"/>
      <c r="AI96" s="147" t="s">
        <v>638</v>
      </c>
      <c r="AJ96" s="21" t="s">
        <v>713</v>
      </c>
      <c r="AK96" s="128" t="n">
        <v>4</v>
      </c>
      <c r="AL96" s="147" t="s">
        <v>714</v>
      </c>
      <c r="AM96" s="131"/>
      <c r="AN96" s="128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16"/>
      <c r="CK96" s="16"/>
      <c r="CL96" s="16"/>
      <c r="CM96" s="16"/>
      <c r="CN96" s="16"/>
      <c r="CO96" s="16"/>
      <c r="CP96" s="16"/>
      <c r="CQ96" s="128" t="n">
        <v>4</v>
      </c>
      <c r="CR96" s="128" t="n">
        <v>2</v>
      </c>
      <c r="CS96" s="131" t="s">
        <v>715</v>
      </c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2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  <c r="EN96" s="52"/>
      <c r="EO96" s="52"/>
      <c r="EP96" s="52"/>
      <c r="EQ96" s="52"/>
      <c r="ER96" s="52"/>
      <c r="ES96" s="52"/>
      <c r="ET96" s="52"/>
      <c r="EU96" s="52"/>
      <c r="EV96" s="52"/>
      <c r="EW96" s="52"/>
      <c r="EX96" s="52"/>
      <c r="EY96" s="52"/>
      <c r="EZ96" s="52"/>
      <c r="FA96" s="52"/>
      <c r="FB96" s="128" t="n">
        <v>4</v>
      </c>
      <c r="FC96" s="128" t="n">
        <v>1</v>
      </c>
      <c r="FD96" s="131" t="s">
        <v>716</v>
      </c>
      <c r="FE96" s="52"/>
      <c r="FF96" s="52"/>
      <c r="FG96" s="52"/>
      <c r="FH96" s="52"/>
      <c r="FI96" s="52"/>
      <c r="FJ96" s="52"/>
      <c r="FK96" s="52"/>
      <c r="FL96" s="52"/>
      <c r="FM96" s="52"/>
      <c r="FN96" s="52"/>
      <c r="FO96" s="52"/>
      <c r="FP96" s="52"/>
      <c r="FQ96" s="52"/>
      <c r="FR96" s="52"/>
      <c r="FS96" s="52"/>
      <c r="FT96" s="52"/>
      <c r="FU96" s="52"/>
      <c r="FV96" s="52"/>
      <c r="FW96" s="52"/>
      <c r="FX96" s="52"/>
      <c r="FY96" s="52"/>
      <c r="FZ96" s="52"/>
      <c r="GA96" s="52"/>
      <c r="GB96" s="52"/>
      <c r="GC96" s="52"/>
      <c r="GD96" s="52"/>
      <c r="GE96" s="52"/>
      <c r="GF96" s="52"/>
      <c r="GG96" s="52"/>
      <c r="GH96" s="52"/>
      <c r="GI96" s="52"/>
      <c r="GJ96" s="52"/>
      <c r="GK96" s="52"/>
      <c r="GL96" s="52"/>
      <c r="GM96" s="52"/>
      <c r="GN96" s="52"/>
      <c r="GO96" s="52"/>
      <c r="GP96" s="52"/>
      <c r="GQ96" s="52"/>
      <c r="GR96" s="52"/>
      <c r="GS96" s="52"/>
      <c r="GT96" s="52"/>
      <c r="GU96" s="52"/>
      <c r="GV96" s="52"/>
      <c r="GW96" s="52"/>
      <c r="GX96" s="52"/>
      <c r="GY96" s="52"/>
      <c r="GZ96" s="52"/>
      <c r="HA96" s="52"/>
      <c r="HB96" s="52"/>
      <c r="HC96" s="52"/>
      <c r="HD96" s="52"/>
      <c r="HE96" s="52"/>
      <c r="HF96" s="52"/>
      <c r="HG96" s="52"/>
      <c r="HH96" s="52"/>
      <c r="HI96" s="52"/>
      <c r="HJ96" s="52"/>
      <c r="HK96" s="52"/>
      <c r="HL96" s="52"/>
      <c r="HM96" s="52"/>
      <c r="HN96" s="52"/>
      <c r="HO96" s="52"/>
      <c r="HP96" s="52"/>
      <c r="HQ96" s="52"/>
      <c r="HR96" s="52"/>
      <c r="HS96" s="52"/>
      <c r="HT96" s="131"/>
      <c r="HU96" s="128"/>
      <c r="HV96" s="131"/>
      <c r="HW96" s="131"/>
      <c r="HX96" s="131"/>
      <c r="HY96" s="131"/>
      <c r="HZ96" s="131"/>
    </row>
    <row r="97" customFormat="false" ht="12.8" hidden="true" customHeight="false" outlineLevel="0" collapsed="false">
      <c r="A97" s="16" t="s">
        <v>53</v>
      </c>
      <c r="B97" s="16" t="s">
        <v>158</v>
      </c>
      <c r="C97" s="16" t="s">
        <v>235</v>
      </c>
      <c r="D97" s="16" t="s">
        <v>218</v>
      </c>
      <c r="E97" s="156" t="s">
        <v>87</v>
      </c>
      <c r="F97" s="16" t="s">
        <v>188</v>
      </c>
      <c r="G97" s="154" t="s">
        <v>717</v>
      </c>
      <c r="H97" s="150"/>
      <c r="I97" s="150"/>
      <c r="J97" s="150"/>
      <c r="K97" s="128" t="n">
        <v>5500</v>
      </c>
      <c r="L97" s="18" t="n">
        <v>3</v>
      </c>
      <c r="M97" s="18" t="n">
        <f aca="false">IF(AD97,1,0)+IF(AK97,1,0)+AN97+AU97+BB97+BI97+BP97+BW97+CD97+CK97+CR97+CY97+DF97+DM97+DT97+EA97+EH97+EO97+EV97+FC97+FJ97+FQ97+FX97+GE97+GL97+GS97+GZ97+HG97+HN97+HU97</f>
        <v>0</v>
      </c>
      <c r="N97" s="131"/>
      <c r="O97" s="147" t="n">
        <v>1800</v>
      </c>
      <c r="P97" s="147" t="n">
        <v>1195</v>
      </c>
      <c r="Q97" s="147" t="n">
        <v>252</v>
      </c>
      <c r="R97" s="21" t="s">
        <v>44</v>
      </c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31"/>
      <c r="AD97" s="128"/>
      <c r="AE97" s="128"/>
      <c r="AF97" s="128"/>
      <c r="AG97" s="128"/>
      <c r="AH97" s="128"/>
      <c r="AI97" s="147"/>
      <c r="AJ97" s="128"/>
      <c r="AK97" s="128"/>
      <c r="AL97" s="147"/>
      <c r="AM97" s="131"/>
      <c r="AN97" s="128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  <c r="BA97" s="52"/>
      <c r="BB97" s="52"/>
      <c r="BC97" s="52"/>
      <c r="BD97" s="52"/>
      <c r="BE97" s="52"/>
      <c r="BF97" s="52"/>
      <c r="BG97" s="52"/>
      <c r="BH97" s="158"/>
      <c r="BI97" s="158"/>
      <c r="BJ97" s="158"/>
      <c r="BK97" s="158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16"/>
      <c r="CK97" s="16"/>
      <c r="CL97" s="16"/>
      <c r="CM97" s="16"/>
      <c r="CN97" s="16"/>
      <c r="CO97" s="16"/>
      <c r="CP97" s="16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2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  <c r="EM97" s="52"/>
      <c r="EN97" s="52"/>
      <c r="EO97" s="52"/>
      <c r="EP97" s="52"/>
      <c r="EQ97" s="52"/>
      <c r="ER97" s="52"/>
      <c r="ES97" s="52"/>
      <c r="ET97" s="52"/>
      <c r="EU97" s="52"/>
      <c r="EV97" s="52"/>
      <c r="EW97" s="52"/>
      <c r="EX97" s="52"/>
      <c r="EY97" s="52"/>
      <c r="EZ97" s="52"/>
      <c r="FA97" s="52"/>
      <c r="FB97" s="52"/>
      <c r="FC97" s="52"/>
      <c r="FD97" s="52"/>
      <c r="FE97" s="52"/>
      <c r="FF97" s="52"/>
      <c r="FG97" s="52"/>
      <c r="FH97" s="52"/>
      <c r="FI97" s="52"/>
      <c r="FJ97" s="52"/>
      <c r="FK97" s="52"/>
      <c r="FL97" s="52"/>
      <c r="FM97" s="52"/>
      <c r="FN97" s="52"/>
      <c r="FO97" s="52"/>
      <c r="FP97" s="52"/>
      <c r="FQ97" s="52"/>
      <c r="FR97" s="52"/>
      <c r="FS97" s="52"/>
      <c r="FT97" s="52"/>
      <c r="FU97" s="52"/>
      <c r="FV97" s="52"/>
      <c r="FW97" s="52"/>
      <c r="FX97" s="52"/>
      <c r="FY97" s="52"/>
      <c r="FZ97" s="52"/>
      <c r="GA97" s="52"/>
      <c r="GB97" s="52"/>
      <c r="GC97" s="52"/>
      <c r="GD97" s="52"/>
      <c r="GE97" s="52"/>
      <c r="GF97" s="52"/>
      <c r="GG97" s="52"/>
      <c r="GH97" s="52"/>
      <c r="GI97" s="52"/>
      <c r="GJ97" s="52"/>
      <c r="GK97" s="52"/>
      <c r="GL97" s="52"/>
      <c r="GM97" s="52"/>
      <c r="GN97" s="52"/>
      <c r="GO97" s="52"/>
      <c r="GP97" s="52"/>
      <c r="GQ97" s="52"/>
      <c r="GR97" s="52"/>
      <c r="GS97" s="52"/>
      <c r="GT97" s="52"/>
      <c r="GU97" s="52"/>
      <c r="GV97" s="52"/>
      <c r="GW97" s="52"/>
      <c r="GX97" s="52"/>
      <c r="GY97" s="52"/>
      <c r="GZ97" s="52"/>
      <c r="HA97" s="52"/>
      <c r="HB97" s="52"/>
      <c r="HC97" s="52"/>
      <c r="HD97" s="52"/>
      <c r="HE97" s="52"/>
      <c r="HF97" s="52"/>
      <c r="HG97" s="52"/>
      <c r="HH97" s="52"/>
      <c r="HI97" s="52"/>
      <c r="HJ97" s="52"/>
      <c r="HK97" s="52"/>
      <c r="HL97" s="52"/>
      <c r="HM97" s="52"/>
      <c r="HN97" s="52"/>
      <c r="HO97" s="52"/>
      <c r="HP97" s="52"/>
      <c r="HQ97" s="52"/>
      <c r="HR97" s="52"/>
      <c r="HS97" s="52"/>
      <c r="HT97" s="131"/>
      <c r="HU97" s="128"/>
      <c r="HV97" s="131"/>
      <c r="HW97" s="131"/>
      <c r="HX97" s="131"/>
      <c r="HY97" s="131"/>
      <c r="HZ97" s="131"/>
    </row>
    <row r="98" customFormat="false" ht="12.8" hidden="true" customHeight="false" outlineLevel="0" collapsed="false">
      <c r="A98" s="16" t="s">
        <v>53</v>
      </c>
      <c r="B98" s="16" t="s">
        <v>158</v>
      </c>
      <c r="C98" s="16" t="s">
        <v>235</v>
      </c>
      <c r="D98" s="16" t="s">
        <v>222</v>
      </c>
      <c r="E98" s="156" t="s">
        <v>88</v>
      </c>
      <c r="F98" s="16" t="s">
        <v>238</v>
      </c>
      <c r="G98" s="154" t="s">
        <v>717</v>
      </c>
      <c r="H98" s="150"/>
      <c r="I98" s="150"/>
      <c r="J98" s="150"/>
      <c r="K98" s="128" t="n">
        <v>5500</v>
      </c>
      <c r="L98" s="18" t="n">
        <v>3</v>
      </c>
      <c r="M98" s="18" t="n">
        <f aca="false">IF(AD98,1,0)+IF(AK98,1,0)+AN98+AU98+BB98+BI98+BP98+BW98+CD98+CK98+CR98+CY98+DF98+DM98+DT98+EA98+EH98+EO98+EV98+FC98+FJ98+FQ98+FX98+GE98+GL98+GS98+GZ98+HG98+HN98+HU98</f>
        <v>0</v>
      </c>
      <c r="N98" s="131"/>
      <c r="O98" s="147" t="n">
        <v>1800</v>
      </c>
      <c r="P98" s="147" t="n">
        <v>1195</v>
      </c>
      <c r="Q98" s="147" t="n">
        <v>252</v>
      </c>
      <c r="R98" s="21" t="s">
        <v>44</v>
      </c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31"/>
      <c r="AD98" s="128"/>
      <c r="AE98" s="128"/>
      <c r="AF98" s="128"/>
      <c r="AG98" s="128"/>
      <c r="AH98" s="128"/>
      <c r="AI98" s="147"/>
      <c r="AJ98" s="128"/>
      <c r="AK98" s="128"/>
      <c r="AL98" s="147"/>
      <c r="AM98" s="131"/>
      <c r="AN98" s="128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  <c r="BA98" s="52"/>
      <c r="BB98" s="52"/>
      <c r="BC98" s="52"/>
      <c r="BD98" s="52"/>
      <c r="BE98" s="52"/>
      <c r="BF98" s="52"/>
      <c r="BG98" s="159"/>
      <c r="BH98" s="52"/>
      <c r="BI98" s="52"/>
      <c r="BJ98" s="52"/>
      <c r="BK98" s="52"/>
      <c r="BL98" s="107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16"/>
      <c r="CK98" s="16"/>
      <c r="CL98" s="16"/>
      <c r="CM98" s="16"/>
      <c r="CN98" s="16"/>
      <c r="CO98" s="16"/>
      <c r="CP98" s="16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  <c r="EN98" s="52"/>
      <c r="EO98" s="52"/>
      <c r="EP98" s="52"/>
      <c r="EQ98" s="52"/>
      <c r="ER98" s="52"/>
      <c r="ES98" s="52"/>
      <c r="ET98" s="52"/>
      <c r="EU98" s="52"/>
      <c r="EV98" s="52"/>
      <c r="EW98" s="52"/>
      <c r="EX98" s="52"/>
      <c r="EY98" s="52"/>
      <c r="EZ98" s="52"/>
      <c r="FA98" s="52"/>
      <c r="FB98" s="52"/>
      <c r="FC98" s="52"/>
      <c r="FD98" s="52"/>
      <c r="FE98" s="52"/>
      <c r="FF98" s="52"/>
      <c r="FG98" s="52"/>
      <c r="FH98" s="52"/>
      <c r="FI98" s="52"/>
      <c r="FJ98" s="52"/>
      <c r="FK98" s="52"/>
      <c r="FL98" s="52"/>
      <c r="FM98" s="52"/>
      <c r="FN98" s="52"/>
      <c r="FO98" s="52"/>
      <c r="FP98" s="52"/>
      <c r="FQ98" s="52"/>
      <c r="FR98" s="52"/>
      <c r="FS98" s="52"/>
      <c r="FT98" s="52"/>
      <c r="FU98" s="52"/>
      <c r="FV98" s="52"/>
      <c r="FW98" s="52"/>
      <c r="FX98" s="52"/>
      <c r="FY98" s="52"/>
      <c r="FZ98" s="52"/>
      <c r="GA98" s="52"/>
      <c r="GB98" s="52"/>
      <c r="GC98" s="52"/>
      <c r="GD98" s="52"/>
      <c r="GE98" s="52"/>
      <c r="GF98" s="52"/>
      <c r="GG98" s="52"/>
      <c r="GH98" s="52"/>
      <c r="GI98" s="52"/>
      <c r="GJ98" s="52"/>
      <c r="GK98" s="52"/>
      <c r="GL98" s="52"/>
      <c r="GM98" s="52"/>
      <c r="GN98" s="52"/>
      <c r="GO98" s="52"/>
      <c r="GP98" s="52"/>
      <c r="GQ98" s="52"/>
      <c r="GR98" s="52"/>
      <c r="GS98" s="52"/>
      <c r="GT98" s="52"/>
      <c r="GU98" s="52"/>
      <c r="GV98" s="52"/>
      <c r="GW98" s="52"/>
      <c r="GX98" s="52"/>
      <c r="GY98" s="52"/>
      <c r="GZ98" s="52"/>
      <c r="HA98" s="52"/>
      <c r="HB98" s="52"/>
      <c r="HC98" s="52"/>
      <c r="HD98" s="52"/>
      <c r="HE98" s="52"/>
      <c r="HF98" s="52"/>
      <c r="HG98" s="52"/>
      <c r="HH98" s="52"/>
      <c r="HI98" s="52"/>
      <c r="HJ98" s="52"/>
      <c r="HK98" s="52"/>
      <c r="HL98" s="52"/>
      <c r="HM98" s="52"/>
      <c r="HN98" s="52"/>
      <c r="HO98" s="52"/>
      <c r="HP98" s="52"/>
      <c r="HQ98" s="52"/>
      <c r="HR98" s="52"/>
      <c r="HS98" s="52"/>
      <c r="HT98" s="131"/>
      <c r="HU98" s="128"/>
      <c r="HV98" s="131"/>
      <c r="HW98" s="131"/>
      <c r="HX98" s="131"/>
      <c r="HY98" s="131"/>
      <c r="HZ98" s="131"/>
    </row>
    <row r="99" customFormat="false" ht="12.8" hidden="true" customHeight="false" outlineLevel="0" collapsed="false">
      <c r="A99" s="16" t="s">
        <v>53</v>
      </c>
      <c r="B99" s="16" t="s">
        <v>158</v>
      </c>
      <c r="C99" s="16" t="s">
        <v>239</v>
      </c>
      <c r="D99" s="16" t="s">
        <v>240</v>
      </c>
      <c r="E99" s="156" t="s">
        <v>89</v>
      </c>
      <c r="F99" s="16" t="s">
        <v>128</v>
      </c>
      <c r="G99" s="154" t="s">
        <v>718</v>
      </c>
      <c r="H99" s="148" t="s">
        <v>92</v>
      </c>
      <c r="I99" s="150"/>
      <c r="J99" s="150"/>
      <c r="K99" s="128" t="n">
        <v>5500</v>
      </c>
      <c r="L99" s="18" t="n">
        <v>6</v>
      </c>
      <c r="M99" s="18" t="n">
        <f aca="false">IF(AD99,1,0)+IF(AK99,1,0)+AN99+AU99+BB99+BI99+BP99+BW99+CD99+CK99+CR99+CY99+DF99+DM99+DT99+EA99+EH99+EO99+EV99+FC99+FJ99+FQ99+FX99+GE99+GL99+GS99+GZ99+HG99+HN99+HU99</f>
        <v>0</v>
      </c>
      <c r="N99" s="131"/>
      <c r="O99" s="147" t="n">
        <v>4000</v>
      </c>
      <c r="P99" s="147" t="n">
        <v>1800</v>
      </c>
      <c r="Q99" s="147" t="n">
        <v>320</v>
      </c>
      <c r="R99" s="21" t="s">
        <v>44</v>
      </c>
      <c r="S99" s="18"/>
      <c r="T99" s="18"/>
      <c r="U99" s="18"/>
      <c r="V99" s="18"/>
      <c r="W99" s="18"/>
      <c r="X99" s="18"/>
      <c r="Y99" s="21" t="s">
        <v>541</v>
      </c>
      <c r="Z99" s="21" t="s">
        <v>541</v>
      </c>
      <c r="AA99" s="18"/>
      <c r="AB99" s="18"/>
      <c r="AC99" s="23" t="s">
        <v>693</v>
      </c>
      <c r="AD99" s="128" t="n">
        <v>15</v>
      </c>
      <c r="AE99" s="128"/>
      <c r="AF99" s="128" t="n">
        <v>90</v>
      </c>
      <c r="AG99" s="128" t="n">
        <v>8</v>
      </c>
      <c r="AH99" s="128"/>
      <c r="AI99" s="147" t="s">
        <v>694</v>
      </c>
      <c r="AJ99" s="128"/>
      <c r="AK99" s="128"/>
      <c r="AL99" s="147"/>
      <c r="AM99" s="131"/>
      <c r="AN99" s="128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52"/>
      <c r="BB99" s="52"/>
      <c r="BC99" s="52"/>
      <c r="BD99" s="52"/>
      <c r="BE99" s="52"/>
      <c r="BF99" s="52"/>
      <c r="BG99" s="159"/>
      <c r="BH99" s="128" t="n">
        <v>10</v>
      </c>
      <c r="BI99" s="128" t="n">
        <v>1</v>
      </c>
      <c r="BJ99" s="131" t="s">
        <v>719</v>
      </c>
      <c r="BK99" s="52"/>
      <c r="BL99" s="107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16"/>
      <c r="CK99" s="16"/>
      <c r="CL99" s="16"/>
      <c r="CM99" s="16"/>
      <c r="CN99" s="16"/>
      <c r="CO99" s="16"/>
      <c r="CP99" s="16"/>
      <c r="CQ99" s="128" t="n">
        <v>10</v>
      </c>
      <c r="CR99" s="128" t="n">
        <v>2</v>
      </c>
      <c r="CS99" s="131" t="s">
        <v>381</v>
      </c>
      <c r="CT99" s="131" t="s">
        <v>382</v>
      </c>
      <c r="CU99" s="131" t="s">
        <v>383</v>
      </c>
      <c r="CV99" s="131" t="s">
        <v>384</v>
      </c>
      <c r="CW99" s="131" t="s">
        <v>399</v>
      </c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/>
      <c r="DQ99" s="52"/>
      <c r="DR99" s="52"/>
      <c r="DS99" s="52"/>
      <c r="DT99" s="52"/>
      <c r="DU99" s="52"/>
      <c r="DV99" s="52"/>
      <c r="DW99" s="52"/>
      <c r="DX99" s="52"/>
      <c r="DY99" s="52"/>
      <c r="DZ99" s="52"/>
      <c r="EA99" s="52"/>
      <c r="EB99" s="52"/>
      <c r="EC99" s="52"/>
      <c r="ED99" s="52"/>
      <c r="EE99" s="52"/>
      <c r="EF99" s="52"/>
      <c r="EG99" s="52"/>
      <c r="EH99" s="52"/>
      <c r="EI99" s="52"/>
      <c r="EJ99" s="52"/>
      <c r="EK99" s="52"/>
      <c r="EL99" s="52"/>
      <c r="EM99" s="52"/>
      <c r="EN99" s="52"/>
      <c r="EO99" s="52"/>
      <c r="EP99" s="52"/>
      <c r="EQ99" s="52"/>
      <c r="ER99" s="52"/>
      <c r="ES99" s="52"/>
      <c r="ET99" s="52"/>
      <c r="EU99" s="52"/>
      <c r="EV99" s="52"/>
      <c r="EW99" s="52"/>
      <c r="EX99" s="52"/>
      <c r="EY99" s="52"/>
      <c r="EZ99" s="52"/>
      <c r="FA99" s="52"/>
      <c r="FB99" s="128" t="n">
        <v>10</v>
      </c>
      <c r="FC99" s="128" t="n">
        <v>2</v>
      </c>
      <c r="FD99" s="131" t="s">
        <v>572</v>
      </c>
      <c r="FE99" s="131" t="s">
        <v>383</v>
      </c>
      <c r="FF99" s="131" t="s">
        <v>573</v>
      </c>
      <c r="FG99" s="131" t="s">
        <v>574</v>
      </c>
      <c r="FH99" s="131" t="s">
        <v>378</v>
      </c>
      <c r="FI99" s="131"/>
      <c r="FJ99" s="131"/>
      <c r="FK99" s="131"/>
      <c r="FL99" s="131"/>
      <c r="FM99" s="131"/>
      <c r="FN99" s="131"/>
      <c r="FO99" s="131"/>
      <c r="FP99" s="52"/>
      <c r="FQ99" s="52"/>
      <c r="FR99" s="52"/>
      <c r="FS99" s="52"/>
      <c r="FT99" s="52"/>
      <c r="FU99" s="52"/>
      <c r="FV99" s="52"/>
      <c r="FW99" s="52"/>
      <c r="FX99" s="52"/>
      <c r="FY99" s="52"/>
      <c r="FZ99" s="52"/>
      <c r="GA99" s="52"/>
      <c r="GB99" s="52"/>
      <c r="GC99" s="52"/>
      <c r="GD99" s="52"/>
      <c r="GE99" s="52"/>
      <c r="GF99" s="52"/>
      <c r="GG99" s="52"/>
      <c r="GH99" s="52"/>
      <c r="GI99" s="52"/>
      <c r="GJ99" s="52"/>
      <c r="GK99" s="52"/>
      <c r="GL99" s="52"/>
      <c r="GM99" s="52"/>
      <c r="GN99" s="52"/>
      <c r="GO99" s="52"/>
      <c r="GP99" s="52"/>
      <c r="GQ99" s="52"/>
      <c r="GR99" s="52"/>
      <c r="GS99" s="52"/>
      <c r="GT99" s="52"/>
      <c r="GU99" s="52"/>
      <c r="GV99" s="52"/>
      <c r="GW99" s="52"/>
      <c r="GX99" s="52"/>
      <c r="GY99" s="52"/>
      <c r="GZ99" s="52"/>
      <c r="HA99" s="52"/>
      <c r="HB99" s="52"/>
      <c r="HC99" s="52"/>
      <c r="HD99" s="52"/>
      <c r="HE99" s="52"/>
      <c r="HF99" s="128" t="n">
        <v>10</v>
      </c>
      <c r="HG99" s="128" t="n">
        <v>1</v>
      </c>
      <c r="HH99" s="131" t="s">
        <v>572</v>
      </c>
      <c r="HI99" s="131" t="s">
        <v>383</v>
      </c>
      <c r="HJ99" s="131" t="s">
        <v>573</v>
      </c>
      <c r="HK99" s="131" t="s">
        <v>574</v>
      </c>
      <c r="HL99" s="131" t="s">
        <v>378</v>
      </c>
      <c r="HM99" s="39" t="n">
        <v>10</v>
      </c>
      <c r="HN99" s="128" t="n">
        <v>2</v>
      </c>
      <c r="HO99" s="131" t="s">
        <v>572</v>
      </c>
      <c r="HP99" s="131" t="s">
        <v>383</v>
      </c>
      <c r="HQ99" s="131" t="s">
        <v>573</v>
      </c>
      <c r="HR99" s="131" t="s">
        <v>574</v>
      </c>
      <c r="HS99" s="131" t="s">
        <v>378</v>
      </c>
      <c r="HT99" s="131"/>
      <c r="HU99" s="128"/>
      <c r="HV99" s="131"/>
      <c r="HW99" s="131"/>
      <c r="HX99" s="131"/>
      <c r="HY99" s="131"/>
      <c r="HZ99" s="131"/>
    </row>
    <row r="100" customFormat="false" ht="12.8" hidden="true" customHeight="false" outlineLevel="0" collapsed="false">
      <c r="A100" s="16" t="s">
        <v>53</v>
      </c>
      <c r="B100" s="16" t="s">
        <v>158</v>
      </c>
      <c r="C100" s="16" t="s">
        <v>239</v>
      </c>
      <c r="D100" s="16" t="s">
        <v>241</v>
      </c>
      <c r="E100" s="156" t="s">
        <v>87</v>
      </c>
      <c r="F100" s="16" t="s">
        <v>137</v>
      </c>
      <c r="G100" s="154" t="s">
        <v>720</v>
      </c>
      <c r="H100" s="148" t="s">
        <v>92</v>
      </c>
      <c r="I100" s="150"/>
      <c r="J100" s="150"/>
      <c r="K100" s="128" t="n">
        <v>5500</v>
      </c>
      <c r="L100" s="18" t="n">
        <v>6</v>
      </c>
      <c r="M100" s="18" t="n">
        <f aca="false">IF(AD100,1,0)+IF(AK100,1,0)+AN100+AU100+BB100+BI100+BP100+BW100+CD100+CK100+CR100+CY100+DF100+DM100+DT100+EA100+EH100+EO100+EV100+FC100+FJ100+FQ100+FX100+GE100+GL100+GS100+GZ100+HG100+HN100+HU100</f>
        <v>0</v>
      </c>
      <c r="N100" s="131"/>
      <c r="O100" s="147" t="n">
        <v>5672</v>
      </c>
      <c r="P100" s="147" t="n">
        <v>1680</v>
      </c>
      <c r="Q100" s="147" t="n">
        <v>1239</v>
      </c>
      <c r="R100" s="21" t="s">
        <v>44</v>
      </c>
      <c r="S100" s="21" t="s">
        <v>44</v>
      </c>
      <c r="T100" s="128"/>
      <c r="U100" s="18"/>
      <c r="V100" s="18"/>
      <c r="W100" s="18"/>
      <c r="X100" s="18"/>
      <c r="Y100" s="18"/>
      <c r="Z100" s="18"/>
      <c r="AA100" s="18"/>
      <c r="AB100" s="18"/>
      <c r="AC100" s="23" t="s">
        <v>693</v>
      </c>
      <c r="AD100" s="128" t="n">
        <v>15</v>
      </c>
      <c r="AE100" s="128"/>
      <c r="AF100" s="128" t="n">
        <v>90</v>
      </c>
      <c r="AG100" s="128" t="n">
        <v>8</v>
      </c>
      <c r="AH100" s="128"/>
      <c r="AI100" s="147" t="s">
        <v>694</v>
      </c>
      <c r="AJ100" s="128"/>
      <c r="AK100" s="128"/>
      <c r="AL100" s="147"/>
      <c r="AM100" s="128" t="n">
        <v>10</v>
      </c>
      <c r="AN100" s="128" t="n">
        <v>1</v>
      </c>
      <c r="AO100" s="131" t="s">
        <v>633</v>
      </c>
      <c r="AP100" s="131" t="s">
        <v>634</v>
      </c>
      <c r="AQ100" s="131" t="s">
        <v>635</v>
      </c>
      <c r="AR100" s="131" t="s">
        <v>636</v>
      </c>
      <c r="AS100" s="131" t="s">
        <v>563</v>
      </c>
      <c r="AT100" s="131"/>
      <c r="AU100" s="131"/>
      <c r="AV100" s="131"/>
      <c r="AW100" s="131"/>
      <c r="AX100" s="131"/>
      <c r="AY100" s="131"/>
      <c r="AZ100" s="131"/>
      <c r="BA100" s="52"/>
      <c r="BB100" s="52"/>
      <c r="BC100" s="52"/>
      <c r="BD100" s="52"/>
      <c r="BE100" s="52"/>
      <c r="BF100" s="52"/>
      <c r="BG100" s="159"/>
      <c r="BH100" s="52"/>
      <c r="BI100" s="52"/>
      <c r="BJ100" s="52"/>
      <c r="BK100" s="52"/>
      <c r="BL100" s="107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16"/>
      <c r="CK100" s="16"/>
      <c r="CL100" s="16"/>
      <c r="CM100" s="16"/>
      <c r="CN100" s="16"/>
      <c r="CO100" s="16"/>
      <c r="CP100" s="16"/>
      <c r="CQ100" s="128" t="n">
        <v>10</v>
      </c>
      <c r="CR100" s="128" t="n">
        <v>2</v>
      </c>
      <c r="CS100" s="131" t="s">
        <v>381</v>
      </c>
      <c r="CT100" s="131" t="s">
        <v>382</v>
      </c>
      <c r="CU100" s="131" t="s">
        <v>383</v>
      </c>
      <c r="CV100" s="131" t="s">
        <v>384</v>
      </c>
      <c r="CW100" s="131" t="s">
        <v>399</v>
      </c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2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  <c r="EM100" s="52"/>
      <c r="EN100" s="52"/>
      <c r="EO100" s="52"/>
      <c r="EP100" s="52"/>
      <c r="EQ100" s="52"/>
      <c r="ER100" s="52"/>
      <c r="ES100" s="52"/>
      <c r="ET100" s="52"/>
      <c r="EU100" s="52"/>
      <c r="EV100" s="52"/>
      <c r="EW100" s="52"/>
      <c r="EX100" s="52"/>
      <c r="EY100" s="52"/>
      <c r="EZ100" s="52"/>
      <c r="FA100" s="52"/>
      <c r="FB100" s="128" t="n">
        <v>10</v>
      </c>
      <c r="FC100" s="128" t="n">
        <v>2</v>
      </c>
      <c r="FD100" s="131" t="s">
        <v>572</v>
      </c>
      <c r="FE100" s="131" t="s">
        <v>383</v>
      </c>
      <c r="FF100" s="131" t="s">
        <v>573</v>
      </c>
      <c r="FG100" s="131" t="s">
        <v>574</v>
      </c>
      <c r="FH100" s="131" t="s">
        <v>378</v>
      </c>
      <c r="FI100" s="128" t="n">
        <v>10</v>
      </c>
      <c r="FJ100" s="128" t="n">
        <v>1</v>
      </c>
      <c r="FK100" s="131" t="s">
        <v>721</v>
      </c>
      <c r="FL100" s="52"/>
      <c r="FM100" s="52"/>
      <c r="FN100" s="52"/>
      <c r="FO100" s="52"/>
      <c r="FP100" s="52"/>
      <c r="FQ100" s="52"/>
      <c r="FR100" s="52"/>
      <c r="FS100" s="52"/>
      <c r="FT100" s="52"/>
      <c r="FU100" s="52"/>
      <c r="FV100" s="52"/>
      <c r="FW100" s="52"/>
      <c r="FX100" s="52"/>
      <c r="FY100" s="52"/>
      <c r="FZ100" s="52"/>
      <c r="GA100" s="52"/>
      <c r="GB100" s="52"/>
      <c r="GC100" s="52"/>
      <c r="GD100" s="52"/>
      <c r="GE100" s="52"/>
      <c r="GF100" s="52"/>
      <c r="GG100" s="52"/>
      <c r="GH100" s="52"/>
      <c r="GI100" s="52"/>
      <c r="GJ100" s="52"/>
      <c r="GK100" s="52"/>
      <c r="GL100" s="52"/>
      <c r="GM100" s="52"/>
      <c r="GN100" s="52"/>
      <c r="GO100" s="52"/>
      <c r="GP100" s="52"/>
      <c r="GQ100" s="52"/>
      <c r="GR100" s="52"/>
      <c r="GS100" s="52"/>
      <c r="GT100" s="52"/>
      <c r="GU100" s="52"/>
      <c r="GV100" s="52"/>
      <c r="GW100" s="52"/>
      <c r="GX100" s="52"/>
      <c r="GY100" s="52"/>
      <c r="GZ100" s="52"/>
      <c r="HA100" s="52"/>
      <c r="HB100" s="52"/>
      <c r="HC100" s="52"/>
      <c r="HD100" s="52"/>
      <c r="HE100" s="52"/>
      <c r="HF100" s="52"/>
      <c r="HG100" s="52"/>
      <c r="HH100" s="52"/>
      <c r="HI100" s="52"/>
      <c r="HJ100" s="52"/>
      <c r="HK100" s="52"/>
      <c r="HL100" s="52"/>
      <c r="HM100" s="39" t="n">
        <v>10</v>
      </c>
      <c r="HN100" s="128" t="n">
        <v>2</v>
      </c>
      <c r="HO100" s="131" t="s">
        <v>572</v>
      </c>
      <c r="HP100" s="131" t="s">
        <v>383</v>
      </c>
      <c r="HQ100" s="131" t="s">
        <v>573</v>
      </c>
      <c r="HR100" s="131" t="s">
        <v>574</v>
      </c>
      <c r="HS100" s="131" t="s">
        <v>378</v>
      </c>
      <c r="HT100" s="131"/>
      <c r="HU100" s="128"/>
      <c r="HV100" s="131"/>
      <c r="HW100" s="131"/>
      <c r="HX100" s="131"/>
      <c r="HY100" s="131"/>
      <c r="HZ100" s="131"/>
    </row>
    <row r="101" customFormat="false" ht="12.8" hidden="true" customHeight="false" outlineLevel="0" collapsed="false">
      <c r="A101" s="16" t="s">
        <v>53</v>
      </c>
      <c r="B101" s="16" t="s">
        <v>158</v>
      </c>
      <c r="C101" s="16" t="s">
        <v>239</v>
      </c>
      <c r="D101" s="16" t="s">
        <v>242</v>
      </c>
      <c r="E101" s="156" t="s">
        <v>88</v>
      </c>
      <c r="F101" s="16" t="s">
        <v>192</v>
      </c>
      <c r="G101" s="154" t="s">
        <v>722</v>
      </c>
      <c r="H101" s="150"/>
      <c r="I101" s="150"/>
      <c r="J101" s="150"/>
      <c r="K101" s="128" t="n">
        <v>5500</v>
      </c>
      <c r="L101" s="18"/>
      <c r="M101" s="18" t="n">
        <f aca="false">IF(AD101,1,0)+IF(AK101,1,0)+AN101+AU101+BB101+BI101+BP101+BW101+CD101+CK101+CR101+CY101+DF101+DM101+DT101+EA101+EH101+EO101+EV101+FC101+FJ101+FQ101+FX101+GE101+GL101+GS101+GZ101+HG101+HN101+HU101</f>
        <v>0</v>
      </c>
      <c r="N101" s="131"/>
      <c r="O101" s="147"/>
      <c r="P101" s="147"/>
      <c r="Q101" s="147"/>
      <c r="R101" s="12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31"/>
      <c r="AD101" s="128"/>
      <c r="AE101" s="128"/>
      <c r="AF101" s="128"/>
      <c r="AG101" s="128"/>
      <c r="AH101" s="128"/>
      <c r="AI101" s="147"/>
      <c r="AJ101" s="128"/>
      <c r="AK101" s="128"/>
      <c r="AL101" s="147"/>
      <c r="AM101" s="131"/>
      <c r="AN101" s="128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52"/>
      <c r="BB101" s="52"/>
      <c r="BC101" s="52"/>
      <c r="BD101" s="52"/>
      <c r="BE101" s="52"/>
      <c r="BF101" s="52"/>
      <c r="BG101" s="52"/>
      <c r="BH101" s="20" t="n">
        <v>10</v>
      </c>
      <c r="BI101" s="20" t="n">
        <v>1</v>
      </c>
      <c r="BJ101" s="160" t="s">
        <v>719</v>
      </c>
      <c r="BK101" s="1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16"/>
      <c r="CK101" s="16"/>
      <c r="CL101" s="16"/>
      <c r="CM101" s="16"/>
      <c r="CN101" s="16"/>
      <c r="CO101" s="16"/>
      <c r="CP101" s="16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  <c r="DN101" s="52"/>
      <c r="DO101" s="52"/>
      <c r="DP101" s="52"/>
      <c r="DQ101" s="52"/>
      <c r="DR101" s="52"/>
      <c r="DS101" s="52"/>
      <c r="DT101" s="52"/>
      <c r="DU101" s="52"/>
      <c r="DV101" s="52"/>
      <c r="DW101" s="52"/>
      <c r="DX101" s="52"/>
      <c r="DY101" s="52"/>
      <c r="DZ101" s="52"/>
      <c r="EA101" s="52"/>
      <c r="EB101" s="52"/>
      <c r="EC101" s="52"/>
      <c r="ED101" s="52"/>
      <c r="EE101" s="52"/>
      <c r="EF101" s="52"/>
      <c r="EG101" s="52"/>
      <c r="EH101" s="52"/>
      <c r="EI101" s="52"/>
      <c r="EJ101" s="52"/>
      <c r="EK101" s="52"/>
      <c r="EL101" s="52"/>
      <c r="EM101" s="52"/>
      <c r="EN101" s="52"/>
      <c r="EO101" s="52"/>
      <c r="EP101" s="52"/>
      <c r="EQ101" s="52"/>
      <c r="ER101" s="52"/>
      <c r="ES101" s="52"/>
      <c r="ET101" s="52"/>
      <c r="EU101" s="52"/>
      <c r="EV101" s="52"/>
      <c r="EW101" s="52"/>
      <c r="EX101" s="52"/>
      <c r="EY101" s="52"/>
      <c r="EZ101" s="52"/>
      <c r="FA101" s="52"/>
      <c r="FB101" s="52"/>
      <c r="FC101" s="52"/>
      <c r="FD101" s="52"/>
      <c r="FE101" s="52"/>
      <c r="FF101" s="52"/>
      <c r="FG101" s="52"/>
      <c r="FH101" s="52"/>
      <c r="FI101" s="52"/>
      <c r="FJ101" s="52"/>
      <c r="FK101" s="52"/>
      <c r="FL101" s="52"/>
      <c r="FM101" s="52"/>
      <c r="FN101" s="52"/>
      <c r="FO101" s="52"/>
      <c r="FP101" s="52"/>
      <c r="FQ101" s="52"/>
      <c r="FR101" s="52"/>
      <c r="FS101" s="52"/>
      <c r="FT101" s="52"/>
      <c r="FU101" s="52"/>
      <c r="FV101" s="52"/>
      <c r="FW101" s="52"/>
      <c r="FX101" s="52"/>
      <c r="FY101" s="52"/>
      <c r="FZ101" s="52"/>
      <c r="GA101" s="52"/>
      <c r="GB101" s="52"/>
      <c r="GC101" s="52"/>
      <c r="GD101" s="52"/>
      <c r="GE101" s="52"/>
      <c r="GF101" s="52"/>
      <c r="GG101" s="52"/>
      <c r="GH101" s="52"/>
      <c r="GI101" s="52"/>
      <c r="GJ101" s="52"/>
      <c r="GK101" s="52"/>
      <c r="GL101" s="52"/>
      <c r="GM101" s="52"/>
      <c r="GN101" s="52"/>
      <c r="GO101" s="52"/>
      <c r="GP101" s="52"/>
      <c r="GQ101" s="52"/>
      <c r="GR101" s="52"/>
      <c r="GS101" s="52"/>
      <c r="GT101" s="52"/>
      <c r="GU101" s="52"/>
      <c r="GV101" s="52"/>
      <c r="GW101" s="52"/>
      <c r="GX101" s="52"/>
      <c r="GY101" s="52"/>
      <c r="GZ101" s="52"/>
      <c r="HA101" s="52"/>
      <c r="HB101" s="52"/>
      <c r="HC101" s="52"/>
      <c r="HD101" s="52"/>
      <c r="HE101" s="52"/>
      <c r="HF101" s="52"/>
      <c r="HG101" s="52"/>
      <c r="HH101" s="52"/>
      <c r="HI101" s="52"/>
      <c r="HJ101" s="52"/>
      <c r="HK101" s="52"/>
      <c r="HL101" s="52"/>
      <c r="HM101" s="52"/>
      <c r="HN101" s="52"/>
      <c r="HO101" s="52"/>
      <c r="HP101" s="52"/>
      <c r="HQ101" s="52"/>
      <c r="HR101" s="52"/>
      <c r="HS101" s="52"/>
      <c r="HT101" s="131"/>
      <c r="HU101" s="128"/>
      <c r="HV101" s="131"/>
      <c r="HW101" s="131"/>
      <c r="HX101" s="131"/>
      <c r="HY101" s="131"/>
      <c r="HZ101" s="131"/>
    </row>
    <row r="102" customFormat="false" ht="12.8" hidden="true" customHeight="false" outlineLevel="0" collapsed="false">
      <c r="A102" s="16" t="s">
        <v>53</v>
      </c>
      <c r="B102" s="17" t="s">
        <v>81</v>
      </c>
      <c r="C102" s="16" t="s">
        <v>243</v>
      </c>
      <c r="D102" s="16" t="s">
        <v>244</v>
      </c>
      <c r="E102" s="156" t="s">
        <v>89</v>
      </c>
      <c r="F102" s="16" t="s">
        <v>112</v>
      </c>
      <c r="G102" s="154" t="s">
        <v>723</v>
      </c>
      <c r="H102" s="148" t="s">
        <v>92</v>
      </c>
      <c r="I102" s="150"/>
      <c r="J102" s="150"/>
      <c r="K102" s="128" t="n">
        <v>5500</v>
      </c>
      <c r="L102" s="18" t="n">
        <v>6</v>
      </c>
      <c r="M102" s="18" t="n">
        <f aca="false">IF(AD102,1,0)+IF(AK102,1,0)+AN102+AU102+BB102+BI102+BP102+BW102+CD102+CK102+CR102+CY102+DF102+DM102+DT102+EA102+EH102+EO102+EV102+FC102+FJ102+FQ102+FX102+GE102+GL102+GS102+GZ102+HG102+HN102+HU102</f>
        <v>0</v>
      </c>
      <c r="N102" s="131"/>
      <c r="O102" s="147" t="n">
        <v>6210</v>
      </c>
      <c r="P102" s="147" t="n">
        <v>2994</v>
      </c>
      <c r="Q102" s="147" t="n">
        <v>338</v>
      </c>
      <c r="R102" s="21" t="s">
        <v>602</v>
      </c>
      <c r="S102" s="21" t="s">
        <v>602</v>
      </c>
      <c r="T102" s="128"/>
      <c r="U102" s="18"/>
      <c r="V102" s="18"/>
      <c r="W102" s="18"/>
      <c r="X102" s="18"/>
      <c r="Y102" s="21" t="s">
        <v>588</v>
      </c>
      <c r="Z102" s="18"/>
      <c r="AA102" s="18"/>
      <c r="AB102" s="21" t="s">
        <v>541</v>
      </c>
      <c r="AC102" s="23" t="s">
        <v>621</v>
      </c>
      <c r="AD102" s="128" t="n">
        <v>15</v>
      </c>
      <c r="AE102" s="128"/>
      <c r="AF102" s="128" t="n">
        <v>90</v>
      </c>
      <c r="AG102" s="128" t="n">
        <v>15</v>
      </c>
      <c r="AH102" s="128"/>
      <c r="AI102" s="147" t="s">
        <v>622</v>
      </c>
      <c r="AJ102" s="128"/>
      <c r="AK102" s="128"/>
      <c r="AL102" s="147"/>
      <c r="AM102" s="131"/>
      <c r="AN102" s="128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16"/>
      <c r="CK102" s="16"/>
      <c r="CL102" s="16"/>
      <c r="CM102" s="16"/>
      <c r="CN102" s="16"/>
      <c r="CO102" s="16"/>
      <c r="CP102" s="16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2"/>
      <c r="DD102" s="52"/>
      <c r="DE102" s="52"/>
      <c r="DF102" s="52"/>
      <c r="DG102" s="52"/>
      <c r="DH102" s="52"/>
      <c r="DI102" s="52"/>
      <c r="DJ102" s="52"/>
      <c r="DK102" s="52"/>
      <c r="DL102" s="128" t="n">
        <v>9</v>
      </c>
      <c r="DM102" s="128" t="n">
        <v>2</v>
      </c>
      <c r="DN102" s="131" t="s">
        <v>390</v>
      </c>
      <c r="DO102" s="131" t="s">
        <v>382</v>
      </c>
      <c r="DP102" s="131" t="s">
        <v>383</v>
      </c>
      <c r="DQ102" s="131" t="s">
        <v>384</v>
      </c>
      <c r="DR102" s="131" t="s">
        <v>399</v>
      </c>
      <c r="DS102" s="131"/>
      <c r="DT102" s="131"/>
      <c r="DU102" s="131"/>
      <c r="DV102" s="131"/>
      <c r="DW102" s="131"/>
      <c r="DX102" s="131"/>
      <c r="DY102" s="131"/>
      <c r="DZ102" s="52"/>
      <c r="EA102" s="52"/>
      <c r="EB102" s="52"/>
      <c r="EC102" s="52"/>
      <c r="ED102" s="52"/>
      <c r="EE102" s="52"/>
      <c r="EF102" s="52"/>
      <c r="EG102" s="52"/>
      <c r="EH102" s="52"/>
      <c r="EI102" s="52"/>
      <c r="EJ102" s="52"/>
      <c r="EK102" s="52"/>
      <c r="EL102" s="52"/>
      <c r="EM102" s="52"/>
      <c r="EN102" s="52"/>
      <c r="EO102" s="52"/>
      <c r="EP102" s="52"/>
      <c r="EQ102" s="52"/>
      <c r="ER102" s="52"/>
      <c r="ES102" s="52"/>
      <c r="ET102" s="52"/>
      <c r="EU102" s="52"/>
      <c r="EV102" s="52"/>
      <c r="EW102" s="52"/>
      <c r="EX102" s="52"/>
      <c r="EY102" s="52"/>
      <c r="EZ102" s="52"/>
      <c r="FA102" s="52"/>
      <c r="FB102" s="128" t="n">
        <v>9</v>
      </c>
      <c r="FC102" s="128" t="n">
        <v>2</v>
      </c>
      <c r="FD102" s="131" t="s">
        <v>451</v>
      </c>
      <c r="FE102" s="131" t="s">
        <v>383</v>
      </c>
      <c r="FF102" s="131" t="s">
        <v>573</v>
      </c>
      <c r="FG102" s="131" t="s">
        <v>574</v>
      </c>
      <c r="FH102" s="131" t="s">
        <v>378</v>
      </c>
      <c r="FI102" s="131"/>
      <c r="FJ102" s="131"/>
      <c r="FK102" s="131"/>
      <c r="FL102" s="131"/>
      <c r="FM102" s="131"/>
      <c r="FN102" s="131"/>
      <c r="FO102" s="131"/>
      <c r="FP102" s="52"/>
      <c r="FQ102" s="52"/>
      <c r="FR102" s="52"/>
      <c r="FS102" s="52"/>
      <c r="FT102" s="52"/>
      <c r="FU102" s="52"/>
      <c r="FV102" s="52"/>
      <c r="FW102" s="52"/>
      <c r="FX102" s="52"/>
      <c r="FY102" s="52"/>
      <c r="FZ102" s="52"/>
      <c r="GA102" s="52"/>
      <c r="GB102" s="52"/>
      <c r="GC102" s="52"/>
      <c r="GD102" s="52"/>
      <c r="GE102" s="52"/>
      <c r="GF102" s="52"/>
      <c r="GG102" s="52"/>
      <c r="GH102" s="52"/>
      <c r="GI102" s="52"/>
      <c r="GJ102" s="52"/>
      <c r="GK102" s="52"/>
      <c r="GL102" s="52"/>
      <c r="GM102" s="52"/>
      <c r="GN102" s="52"/>
      <c r="GO102" s="52"/>
      <c r="GP102" s="52"/>
      <c r="GQ102" s="52"/>
      <c r="GR102" s="52"/>
      <c r="GS102" s="52"/>
      <c r="GT102" s="52"/>
      <c r="GU102" s="52"/>
      <c r="GV102" s="52"/>
      <c r="GW102" s="52"/>
      <c r="GX102" s="52"/>
      <c r="GY102" s="52"/>
      <c r="GZ102" s="52"/>
      <c r="HA102" s="52"/>
      <c r="HB102" s="52"/>
      <c r="HC102" s="52"/>
      <c r="HD102" s="52"/>
      <c r="HE102" s="52"/>
      <c r="HF102" s="128" t="n">
        <v>9</v>
      </c>
      <c r="HG102" s="128" t="n">
        <v>1</v>
      </c>
      <c r="HH102" s="131" t="s">
        <v>451</v>
      </c>
      <c r="HI102" s="131" t="s">
        <v>383</v>
      </c>
      <c r="HJ102" s="131" t="s">
        <v>573</v>
      </c>
      <c r="HK102" s="131" t="s">
        <v>574</v>
      </c>
      <c r="HL102" s="131" t="s">
        <v>378</v>
      </c>
      <c r="HM102" s="39" t="n">
        <v>9</v>
      </c>
      <c r="HN102" s="128" t="n">
        <v>2</v>
      </c>
      <c r="HO102" s="131" t="s">
        <v>451</v>
      </c>
      <c r="HP102" s="131" t="s">
        <v>383</v>
      </c>
      <c r="HQ102" s="131" t="s">
        <v>573</v>
      </c>
      <c r="HR102" s="131" t="s">
        <v>574</v>
      </c>
      <c r="HS102" s="131" t="s">
        <v>378</v>
      </c>
      <c r="HT102" s="131"/>
      <c r="HU102" s="128"/>
      <c r="HV102" s="131"/>
      <c r="HW102" s="131"/>
      <c r="HX102" s="131"/>
      <c r="HY102" s="131"/>
      <c r="HZ102" s="131"/>
    </row>
    <row r="103" customFormat="false" ht="12.8" hidden="true" customHeight="false" outlineLevel="0" collapsed="false">
      <c r="A103" s="16" t="s">
        <v>53</v>
      </c>
      <c r="B103" s="17" t="s">
        <v>81</v>
      </c>
      <c r="C103" s="16" t="s">
        <v>243</v>
      </c>
      <c r="D103" s="16" t="s">
        <v>245</v>
      </c>
      <c r="E103" s="156" t="s">
        <v>87</v>
      </c>
      <c r="F103" s="16" t="s">
        <v>170</v>
      </c>
      <c r="G103" s="157"/>
      <c r="H103" s="150"/>
      <c r="I103" s="150"/>
      <c r="J103" s="150"/>
      <c r="K103" s="128" t="n">
        <v>5500</v>
      </c>
      <c r="L103" s="18"/>
      <c r="M103" s="18" t="n">
        <f aca="false">IF(AD103,1,0)+IF(AK103,1,0)+AN103+AU103+BB103+BI103+BP103+BW103+CD103+CK103+CR103+CY103+DF103+DM103+DT103+EA103+EH103+EO103+EV103+FC103+FJ103+FQ103+FX103+GE103+GL103+GS103+GZ103+HG103+HN103+HU103</f>
        <v>0</v>
      </c>
      <c r="N103" s="131"/>
      <c r="O103" s="147"/>
      <c r="P103" s="147"/>
      <c r="Q103" s="147"/>
      <c r="R103" s="12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31"/>
      <c r="AD103" s="128"/>
      <c r="AE103" s="128"/>
      <c r="AF103" s="128"/>
      <c r="AG103" s="128"/>
      <c r="AH103" s="128"/>
      <c r="AI103" s="147"/>
      <c r="AJ103" s="128"/>
      <c r="AK103" s="128"/>
      <c r="AL103" s="147"/>
      <c r="AM103" s="131"/>
      <c r="AN103" s="128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16"/>
      <c r="CK103" s="16"/>
      <c r="CL103" s="16"/>
      <c r="CM103" s="16"/>
      <c r="CN103" s="16"/>
      <c r="CO103" s="16"/>
      <c r="CP103" s="16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  <c r="DN103" s="52"/>
      <c r="DO103" s="52"/>
      <c r="DP103" s="52"/>
      <c r="DQ103" s="52"/>
      <c r="DR103" s="52"/>
      <c r="DS103" s="52"/>
      <c r="DT103" s="52"/>
      <c r="DU103" s="52"/>
      <c r="DV103" s="52"/>
      <c r="DW103" s="52"/>
      <c r="DX103" s="52"/>
      <c r="DY103" s="52"/>
      <c r="DZ103" s="52"/>
      <c r="EA103" s="52"/>
      <c r="EB103" s="52"/>
      <c r="EC103" s="52"/>
      <c r="ED103" s="52"/>
      <c r="EE103" s="52"/>
      <c r="EF103" s="52"/>
      <c r="EG103" s="52"/>
      <c r="EH103" s="52"/>
      <c r="EI103" s="52"/>
      <c r="EJ103" s="52"/>
      <c r="EK103" s="52"/>
      <c r="EL103" s="52"/>
      <c r="EM103" s="52"/>
      <c r="EN103" s="52"/>
      <c r="EO103" s="52"/>
      <c r="EP103" s="52"/>
      <c r="EQ103" s="52"/>
      <c r="ER103" s="52"/>
      <c r="ES103" s="52"/>
      <c r="ET103" s="52"/>
      <c r="EU103" s="52"/>
      <c r="EV103" s="52"/>
      <c r="EW103" s="52"/>
      <c r="EX103" s="52"/>
      <c r="EY103" s="52"/>
      <c r="EZ103" s="52"/>
      <c r="FA103" s="52"/>
      <c r="FB103" s="52"/>
      <c r="FC103" s="52"/>
      <c r="FD103" s="52"/>
      <c r="FE103" s="52"/>
      <c r="FF103" s="52"/>
      <c r="FG103" s="52"/>
      <c r="FH103" s="52"/>
      <c r="FI103" s="52"/>
      <c r="FJ103" s="52"/>
      <c r="FK103" s="52"/>
      <c r="FL103" s="52"/>
      <c r="FM103" s="52"/>
      <c r="FN103" s="52"/>
      <c r="FO103" s="52"/>
      <c r="FP103" s="52"/>
      <c r="FQ103" s="52"/>
      <c r="FR103" s="52"/>
      <c r="FS103" s="52"/>
      <c r="FT103" s="52"/>
      <c r="FU103" s="52"/>
      <c r="FV103" s="52"/>
      <c r="FW103" s="52"/>
      <c r="FX103" s="52"/>
      <c r="FY103" s="52"/>
      <c r="FZ103" s="52"/>
      <c r="GA103" s="52"/>
      <c r="GB103" s="52"/>
      <c r="GC103" s="52"/>
      <c r="GD103" s="52"/>
      <c r="GE103" s="52"/>
      <c r="GF103" s="52"/>
      <c r="GG103" s="52"/>
      <c r="GH103" s="52"/>
      <c r="GI103" s="52"/>
      <c r="GJ103" s="52"/>
      <c r="GK103" s="52"/>
      <c r="GL103" s="52"/>
      <c r="GM103" s="52"/>
      <c r="GN103" s="52"/>
      <c r="GO103" s="52"/>
      <c r="GP103" s="52"/>
      <c r="GQ103" s="52"/>
      <c r="GR103" s="52"/>
      <c r="GS103" s="52"/>
      <c r="GT103" s="52"/>
      <c r="GU103" s="52"/>
      <c r="GV103" s="52"/>
      <c r="GW103" s="52"/>
      <c r="GX103" s="52"/>
      <c r="GY103" s="52"/>
      <c r="GZ103" s="52"/>
      <c r="HA103" s="52"/>
      <c r="HB103" s="52"/>
      <c r="HC103" s="52"/>
      <c r="HD103" s="52"/>
      <c r="HE103" s="52"/>
      <c r="HF103" s="52"/>
      <c r="HG103" s="52"/>
      <c r="HH103" s="52"/>
      <c r="HI103" s="52"/>
      <c r="HJ103" s="52"/>
      <c r="HK103" s="52"/>
      <c r="HL103" s="52"/>
      <c r="HM103" s="52"/>
      <c r="HN103" s="52"/>
      <c r="HO103" s="52"/>
      <c r="HP103" s="52"/>
      <c r="HQ103" s="52"/>
      <c r="HR103" s="52"/>
      <c r="HS103" s="52"/>
      <c r="HT103" s="131"/>
      <c r="HU103" s="128"/>
      <c r="HV103" s="131"/>
      <c r="HW103" s="131"/>
      <c r="HX103" s="131"/>
      <c r="HY103" s="131"/>
      <c r="HZ103" s="131"/>
    </row>
    <row r="104" customFormat="false" ht="12.8" hidden="true" customHeight="false" outlineLevel="0" collapsed="false">
      <c r="A104" s="16" t="s">
        <v>53</v>
      </c>
      <c r="B104" s="17" t="s">
        <v>81</v>
      </c>
      <c r="C104" s="16" t="s">
        <v>243</v>
      </c>
      <c r="D104" s="16" t="s">
        <v>225</v>
      </c>
      <c r="E104" s="156" t="s">
        <v>88</v>
      </c>
      <c r="F104" s="16" t="s">
        <v>180</v>
      </c>
      <c r="G104" s="154" t="s">
        <v>723</v>
      </c>
      <c r="H104" s="150"/>
      <c r="I104" s="150"/>
      <c r="J104" s="150"/>
      <c r="K104" s="128" t="n">
        <v>5500</v>
      </c>
      <c r="L104" s="18"/>
      <c r="M104" s="18" t="n">
        <f aca="false">IF(AD104,1,0)+IF(AK104,1,0)+AN104+AU104+BB104+BI104+BP104+BW104+CD104+CK104+CR104+CY104+DF104+DM104+DT104+EA104+EH104+EO104+EV104+FC104+FJ104+FQ104+FX104+GE104+GL104+GS104+GZ104+HG104+HN104+HU104</f>
        <v>0</v>
      </c>
      <c r="N104" s="131"/>
      <c r="O104" s="147"/>
      <c r="P104" s="147"/>
      <c r="Q104" s="147"/>
      <c r="R104" s="12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31"/>
      <c r="AD104" s="128"/>
      <c r="AE104" s="128"/>
      <c r="AF104" s="128"/>
      <c r="AG104" s="128"/>
      <c r="AH104" s="128"/>
      <c r="AI104" s="147"/>
      <c r="AJ104" s="128"/>
      <c r="AK104" s="128"/>
      <c r="AL104" s="147"/>
      <c r="AM104" s="131"/>
      <c r="AN104" s="128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52"/>
      <c r="BB104" s="52"/>
      <c r="BC104" s="52"/>
      <c r="BD104" s="52"/>
      <c r="BE104" s="52"/>
      <c r="BF104" s="52"/>
      <c r="BG104" s="52"/>
      <c r="BH104" s="128" t="n">
        <v>9</v>
      </c>
      <c r="BI104" s="128" t="n">
        <v>1</v>
      </c>
      <c r="BJ104" s="131" t="s">
        <v>724</v>
      </c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16"/>
      <c r="CK104" s="16"/>
      <c r="CL104" s="16"/>
      <c r="CM104" s="16"/>
      <c r="CN104" s="16"/>
      <c r="CO104" s="16"/>
      <c r="CP104" s="16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2"/>
      <c r="DU104" s="52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  <c r="EM104" s="52"/>
      <c r="EN104" s="52"/>
      <c r="EO104" s="52"/>
      <c r="EP104" s="52"/>
      <c r="EQ104" s="52"/>
      <c r="ER104" s="52"/>
      <c r="ES104" s="52"/>
      <c r="ET104" s="52"/>
      <c r="EU104" s="52"/>
      <c r="EV104" s="52"/>
      <c r="EW104" s="52"/>
      <c r="EX104" s="52"/>
      <c r="EY104" s="52"/>
      <c r="EZ104" s="52"/>
      <c r="FA104" s="52"/>
      <c r="FB104" s="52"/>
      <c r="FC104" s="52"/>
      <c r="FD104" s="52"/>
      <c r="FE104" s="52"/>
      <c r="FF104" s="52"/>
      <c r="FG104" s="52"/>
      <c r="FH104" s="52"/>
      <c r="FI104" s="52"/>
      <c r="FJ104" s="52"/>
      <c r="FK104" s="52"/>
      <c r="FL104" s="52"/>
      <c r="FM104" s="52"/>
      <c r="FN104" s="52"/>
      <c r="FO104" s="52"/>
      <c r="FP104" s="52"/>
      <c r="FQ104" s="52"/>
      <c r="FR104" s="52"/>
      <c r="FS104" s="52"/>
      <c r="FT104" s="52"/>
      <c r="FU104" s="52"/>
      <c r="FV104" s="52"/>
      <c r="FW104" s="52"/>
      <c r="FX104" s="52"/>
      <c r="FY104" s="52"/>
      <c r="FZ104" s="52"/>
      <c r="GA104" s="52"/>
      <c r="GB104" s="52"/>
      <c r="GC104" s="52"/>
      <c r="GD104" s="52"/>
      <c r="GE104" s="52"/>
      <c r="GF104" s="52"/>
      <c r="GG104" s="52"/>
      <c r="GH104" s="52"/>
      <c r="GI104" s="52"/>
      <c r="GJ104" s="52"/>
      <c r="GK104" s="52"/>
      <c r="GL104" s="52"/>
      <c r="GM104" s="52"/>
      <c r="GN104" s="52"/>
      <c r="GO104" s="52"/>
      <c r="GP104" s="52"/>
      <c r="GQ104" s="52"/>
      <c r="GR104" s="52"/>
      <c r="GS104" s="52"/>
      <c r="GT104" s="52"/>
      <c r="GU104" s="52"/>
      <c r="GV104" s="52"/>
      <c r="GW104" s="52"/>
      <c r="GX104" s="52"/>
      <c r="GY104" s="52"/>
      <c r="GZ104" s="52"/>
      <c r="HA104" s="52"/>
      <c r="HB104" s="52"/>
      <c r="HC104" s="52"/>
      <c r="HD104" s="52"/>
      <c r="HE104" s="52"/>
      <c r="HF104" s="52"/>
      <c r="HG104" s="52"/>
      <c r="HH104" s="52"/>
      <c r="HI104" s="52"/>
      <c r="HJ104" s="52"/>
      <c r="HK104" s="52"/>
      <c r="HL104" s="52"/>
      <c r="HM104" s="52"/>
      <c r="HN104" s="52"/>
      <c r="HO104" s="52"/>
      <c r="HP104" s="52"/>
      <c r="HQ104" s="52"/>
      <c r="HR104" s="52"/>
      <c r="HS104" s="52"/>
      <c r="HT104" s="131"/>
      <c r="HU104" s="128"/>
      <c r="HV104" s="131"/>
      <c r="HW104" s="131"/>
      <c r="HX104" s="131"/>
      <c r="HY104" s="131"/>
      <c r="HZ104" s="131"/>
    </row>
    <row r="105" customFormat="false" ht="12.8" hidden="true" customHeight="false" outlineLevel="0" collapsed="false">
      <c r="A105" s="16" t="s">
        <v>53</v>
      </c>
      <c r="B105" s="17" t="s">
        <v>81</v>
      </c>
      <c r="C105" s="17" t="s">
        <v>246</v>
      </c>
      <c r="D105" s="16" t="s">
        <v>222</v>
      </c>
      <c r="E105" s="156" t="s">
        <v>89</v>
      </c>
      <c r="F105" s="16" t="s">
        <v>188</v>
      </c>
      <c r="G105" s="154" t="s">
        <v>587</v>
      </c>
      <c r="H105" s="150"/>
      <c r="I105" s="150"/>
      <c r="J105" s="150"/>
      <c r="K105" s="128" t="n">
        <v>5500</v>
      </c>
      <c r="L105" s="18" t="n">
        <v>4</v>
      </c>
      <c r="M105" s="18" t="n">
        <f aca="false">IF(AD105,1,0)+IF(AK105,1,0)+AN105+AU105+BB105+BI105+BP105+BW105+CD105+CK105+CR105+CY105+DF105+DM105+DT105+EA105+EH105+EO105+EV105+FC105+FJ105+FQ105+FX105+GE105+GL105+GS105+GZ105+HG105+HN105+HU105</f>
        <v>0</v>
      </c>
      <c r="N105" s="131"/>
      <c r="O105" s="147" t="n">
        <v>2250</v>
      </c>
      <c r="P105" s="147" t="n">
        <v>630</v>
      </c>
      <c r="Q105" s="147" t="n">
        <v>157</v>
      </c>
      <c r="R105" s="21" t="s">
        <v>44</v>
      </c>
      <c r="S105" s="18"/>
      <c r="T105" s="18"/>
      <c r="U105" s="18"/>
      <c r="V105" s="18"/>
      <c r="W105" s="18"/>
      <c r="X105" s="18"/>
      <c r="Y105" s="21" t="s">
        <v>541</v>
      </c>
      <c r="Z105" s="18"/>
      <c r="AA105" s="18"/>
      <c r="AB105" s="18"/>
      <c r="AC105" s="23" t="s">
        <v>637</v>
      </c>
      <c r="AD105" s="128" t="n">
        <v>8</v>
      </c>
      <c r="AE105" s="128"/>
      <c r="AF105" s="128" t="n">
        <v>30</v>
      </c>
      <c r="AG105" s="128" t="n">
        <v>25</v>
      </c>
      <c r="AH105" s="128"/>
      <c r="AI105" s="147" t="s">
        <v>638</v>
      </c>
      <c r="AJ105" s="128"/>
      <c r="AK105" s="128"/>
      <c r="AL105" s="147"/>
      <c r="AM105" s="131"/>
      <c r="AN105" s="128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16"/>
      <c r="CK105" s="16"/>
      <c r="CL105" s="16"/>
      <c r="CM105" s="16"/>
      <c r="CN105" s="16"/>
      <c r="CO105" s="16"/>
      <c r="CP105" s="16"/>
      <c r="CQ105" s="128" t="n">
        <v>5</v>
      </c>
      <c r="CR105" s="128" t="n">
        <v>2</v>
      </c>
      <c r="CS105" s="131" t="s">
        <v>390</v>
      </c>
      <c r="CT105" s="131" t="s">
        <v>391</v>
      </c>
      <c r="CU105" s="131" t="s">
        <v>410</v>
      </c>
      <c r="CV105" s="131" t="s">
        <v>411</v>
      </c>
      <c r="CW105" s="131" t="s">
        <v>415</v>
      </c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  <c r="DO105" s="52"/>
      <c r="DP105" s="52"/>
      <c r="DQ105" s="52"/>
      <c r="DR105" s="52"/>
      <c r="DS105" s="52"/>
      <c r="DT105" s="52"/>
      <c r="DU105" s="52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F105" s="52"/>
      <c r="EG105" s="52"/>
      <c r="EH105" s="52"/>
      <c r="EI105" s="52"/>
      <c r="EJ105" s="52"/>
      <c r="EK105" s="52"/>
      <c r="EL105" s="52"/>
      <c r="EM105" s="52"/>
      <c r="EN105" s="52"/>
      <c r="EO105" s="52"/>
      <c r="EP105" s="52"/>
      <c r="EQ105" s="52"/>
      <c r="ER105" s="52"/>
      <c r="ES105" s="52"/>
      <c r="ET105" s="52"/>
      <c r="EU105" s="52"/>
      <c r="EV105" s="52"/>
      <c r="EW105" s="52"/>
      <c r="EX105" s="52"/>
      <c r="EY105" s="52"/>
      <c r="EZ105" s="52"/>
      <c r="FA105" s="52"/>
      <c r="FB105" s="128" t="n">
        <v>5</v>
      </c>
      <c r="FC105" s="128" t="n">
        <v>2</v>
      </c>
      <c r="FD105" s="131" t="s">
        <v>451</v>
      </c>
      <c r="FE105" s="131" t="s">
        <v>410</v>
      </c>
      <c r="FF105" s="131" t="s">
        <v>452</v>
      </c>
      <c r="FG105" s="131" t="s">
        <v>453</v>
      </c>
      <c r="FH105" s="131" t="s">
        <v>389</v>
      </c>
      <c r="FI105" s="131"/>
      <c r="FJ105" s="131"/>
      <c r="FK105" s="131"/>
      <c r="FL105" s="131"/>
      <c r="FM105" s="131"/>
      <c r="FN105" s="131"/>
      <c r="FO105" s="131"/>
      <c r="FP105" s="52"/>
      <c r="FQ105" s="52"/>
      <c r="FR105" s="52"/>
      <c r="FS105" s="52"/>
      <c r="FT105" s="52"/>
      <c r="FU105" s="52"/>
      <c r="FV105" s="52"/>
      <c r="FW105" s="52"/>
      <c r="FX105" s="52"/>
      <c r="FY105" s="52"/>
      <c r="FZ105" s="52"/>
      <c r="GA105" s="52"/>
      <c r="GB105" s="52"/>
      <c r="GC105" s="52"/>
      <c r="GD105" s="52"/>
      <c r="GE105" s="52"/>
      <c r="GF105" s="52"/>
      <c r="GG105" s="52"/>
      <c r="GH105" s="52"/>
      <c r="GI105" s="52"/>
      <c r="GJ105" s="52"/>
      <c r="GK105" s="52"/>
      <c r="GL105" s="52"/>
      <c r="GM105" s="52"/>
      <c r="GN105" s="52"/>
      <c r="GO105" s="52"/>
      <c r="GP105" s="52"/>
      <c r="GQ105" s="52"/>
      <c r="GR105" s="52"/>
      <c r="GS105" s="52"/>
      <c r="GT105" s="52"/>
      <c r="GU105" s="52"/>
      <c r="GV105" s="52"/>
      <c r="GW105" s="52"/>
      <c r="GX105" s="52"/>
      <c r="GY105" s="52"/>
      <c r="GZ105" s="52"/>
      <c r="HA105" s="52"/>
      <c r="HB105" s="52"/>
      <c r="HC105" s="52"/>
      <c r="HD105" s="52"/>
      <c r="HE105" s="52"/>
      <c r="HF105" s="128" t="n">
        <v>5</v>
      </c>
      <c r="HG105" s="128" t="n">
        <v>1</v>
      </c>
      <c r="HH105" s="131" t="s">
        <v>451</v>
      </c>
      <c r="HI105" s="131" t="s">
        <v>410</v>
      </c>
      <c r="HJ105" s="131" t="s">
        <v>452</v>
      </c>
      <c r="HK105" s="131" t="s">
        <v>453</v>
      </c>
      <c r="HL105" s="131" t="s">
        <v>389</v>
      </c>
      <c r="HM105" s="52"/>
      <c r="HN105" s="52"/>
      <c r="HO105" s="52"/>
      <c r="HP105" s="52"/>
      <c r="HQ105" s="52"/>
      <c r="HR105" s="52"/>
      <c r="HS105" s="52"/>
      <c r="HT105" s="131"/>
      <c r="HU105" s="128"/>
      <c r="HV105" s="131"/>
      <c r="HW105" s="131"/>
      <c r="HX105" s="131"/>
      <c r="HY105" s="131"/>
      <c r="HZ105" s="131"/>
    </row>
    <row r="106" customFormat="false" ht="12.8" hidden="true" customHeight="false" outlineLevel="0" collapsed="false">
      <c r="A106" s="16" t="s">
        <v>53</v>
      </c>
      <c r="B106" s="17" t="s">
        <v>81</v>
      </c>
      <c r="C106" s="17" t="s">
        <v>246</v>
      </c>
      <c r="D106" s="16" t="s">
        <v>236</v>
      </c>
      <c r="E106" s="156" t="s">
        <v>87</v>
      </c>
      <c r="F106" s="16" t="s">
        <v>237</v>
      </c>
      <c r="G106" s="157"/>
      <c r="H106" s="150"/>
      <c r="I106" s="150"/>
      <c r="J106" s="150"/>
      <c r="K106" s="128" t="n">
        <v>5500</v>
      </c>
      <c r="L106" s="18"/>
      <c r="M106" s="18" t="n">
        <f aca="false">IF(AD106,1,0)+IF(AK106,1,0)+AN106+AU106+BB106+BI106+BP106+BW106+CD106+CK106+CR106+CY106+DF106+DM106+DT106+EA106+EH106+EO106+EV106+FC106+FJ106+FQ106+FX106+GE106+GL106+GS106+GZ106+HG106+HN106+HU106</f>
        <v>0</v>
      </c>
      <c r="N106" s="131"/>
      <c r="O106" s="147"/>
      <c r="P106" s="147"/>
      <c r="Q106" s="147"/>
      <c r="R106" s="12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31"/>
      <c r="AD106" s="128"/>
      <c r="AE106" s="128"/>
      <c r="AF106" s="128"/>
      <c r="AG106" s="128"/>
      <c r="AH106" s="128"/>
      <c r="AI106" s="147"/>
      <c r="AJ106" s="128"/>
      <c r="AK106" s="128"/>
      <c r="AL106" s="147"/>
      <c r="AM106" s="131"/>
      <c r="AN106" s="128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16"/>
      <c r="CK106" s="16"/>
      <c r="CL106" s="16"/>
      <c r="CM106" s="16"/>
      <c r="CN106" s="16"/>
      <c r="CO106" s="16"/>
      <c r="CP106" s="16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  <c r="DO106" s="52"/>
      <c r="DP106" s="52"/>
      <c r="DQ106" s="52"/>
      <c r="DR106" s="52"/>
      <c r="DS106" s="52"/>
      <c r="DT106" s="52"/>
      <c r="DU106" s="52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F106" s="52"/>
      <c r="EG106" s="52"/>
      <c r="EH106" s="52"/>
      <c r="EI106" s="52"/>
      <c r="EJ106" s="52"/>
      <c r="EK106" s="52"/>
      <c r="EL106" s="52"/>
      <c r="EM106" s="52"/>
      <c r="EN106" s="52"/>
      <c r="EO106" s="52"/>
      <c r="EP106" s="52"/>
      <c r="EQ106" s="52"/>
      <c r="ER106" s="52"/>
      <c r="ES106" s="52"/>
      <c r="ET106" s="52"/>
      <c r="EU106" s="52"/>
      <c r="EV106" s="52"/>
      <c r="EW106" s="52"/>
      <c r="EX106" s="52"/>
      <c r="EY106" s="52"/>
      <c r="EZ106" s="52"/>
      <c r="FA106" s="52"/>
      <c r="FB106" s="52"/>
      <c r="FC106" s="52"/>
      <c r="FD106" s="52"/>
      <c r="FE106" s="52"/>
      <c r="FF106" s="52"/>
      <c r="FG106" s="52"/>
      <c r="FH106" s="52"/>
      <c r="FI106" s="52"/>
      <c r="FJ106" s="52"/>
      <c r="FK106" s="52"/>
      <c r="FL106" s="52"/>
      <c r="FM106" s="52"/>
      <c r="FN106" s="52"/>
      <c r="FO106" s="52"/>
      <c r="FP106" s="52"/>
      <c r="FQ106" s="52"/>
      <c r="FR106" s="52"/>
      <c r="FS106" s="52"/>
      <c r="FT106" s="52"/>
      <c r="FU106" s="52"/>
      <c r="FV106" s="52"/>
      <c r="FW106" s="52"/>
      <c r="FX106" s="52"/>
      <c r="FY106" s="52"/>
      <c r="FZ106" s="52"/>
      <c r="GA106" s="52"/>
      <c r="GB106" s="52"/>
      <c r="GC106" s="52"/>
      <c r="GD106" s="52"/>
      <c r="GE106" s="52"/>
      <c r="GF106" s="52"/>
      <c r="GG106" s="52"/>
      <c r="GH106" s="52"/>
      <c r="GI106" s="52"/>
      <c r="GJ106" s="52"/>
      <c r="GK106" s="52"/>
      <c r="GL106" s="52"/>
      <c r="GM106" s="52"/>
      <c r="GN106" s="52"/>
      <c r="GO106" s="52"/>
      <c r="GP106" s="52"/>
      <c r="GQ106" s="52"/>
      <c r="GR106" s="52"/>
      <c r="GS106" s="52"/>
      <c r="GT106" s="52"/>
      <c r="GU106" s="52"/>
      <c r="GV106" s="52"/>
      <c r="GW106" s="52"/>
      <c r="GX106" s="52"/>
      <c r="GY106" s="52"/>
      <c r="GZ106" s="52"/>
      <c r="HA106" s="52"/>
      <c r="HB106" s="52"/>
      <c r="HC106" s="52"/>
      <c r="HD106" s="52"/>
      <c r="HE106" s="52"/>
      <c r="HF106" s="52"/>
      <c r="HG106" s="52"/>
      <c r="HH106" s="52"/>
      <c r="HI106" s="52"/>
      <c r="HJ106" s="52"/>
      <c r="HK106" s="52"/>
      <c r="HL106" s="52"/>
      <c r="HM106" s="52"/>
      <c r="HN106" s="52"/>
      <c r="HO106" s="52"/>
      <c r="HP106" s="52"/>
      <c r="HQ106" s="52"/>
      <c r="HR106" s="52"/>
      <c r="HS106" s="52"/>
      <c r="HT106" s="131"/>
      <c r="HU106" s="128"/>
      <c r="HV106" s="131"/>
      <c r="HW106" s="131"/>
      <c r="HX106" s="131"/>
      <c r="HY106" s="131"/>
      <c r="HZ106" s="131"/>
    </row>
    <row r="107" customFormat="false" ht="12.8" hidden="true" customHeight="false" outlineLevel="0" collapsed="false">
      <c r="A107" s="36" t="s">
        <v>53</v>
      </c>
      <c r="B107" s="35" t="s">
        <v>81</v>
      </c>
      <c r="C107" s="35" t="s">
        <v>247</v>
      </c>
      <c r="D107" s="35" t="s">
        <v>248</v>
      </c>
      <c r="E107" s="34" t="s">
        <v>89</v>
      </c>
      <c r="F107" s="35" t="s">
        <v>148</v>
      </c>
      <c r="G107" s="154" t="s">
        <v>725</v>
      </c>
      <c r="H107" s="148" t="s">
        <v>92</v>
      </c>
      <c r="I107" s="150"/>
      <c r="J107" s="150"/>
      <c r="K107" s="128" t="n">
        <v>5500</v>
      </c>
      <c r="L107" s="18" t="n">
        <v>6</v>
      </c>
      <c r="M107" s="18" t="n">
        <f aca="false">IF(AD107,1,0)+IF(AK107,1,0)+AN107+AU107+BB107+BI107+BP107+BW107+CD107+CK107+CR107+CY107+DF107+DM107+DT107+EA107+EH107+EO107+EV107+FC107+FJ107+FQ107+FX107+GE107+GL107+GS107+GZ107+HG107+HN107+HU107</f>
        <v>0</v>
      </c>
      <c r="N107" s="131"/>
      <c r="O107" s="147" t="n">
        <v>6250</v>
      </c>
      <c r="P107" s="147" t="n">
        <v>800</v>
      </c>
      <c r="Q107" s="147" t="n">
        <v>775</v>
      </c>
      <c r="R107" s="21" t="s">
        <v>44</v>
      </c>
      <c r="S107" s="21" t="s">
        <v>44</v>
      </c>
      <c r="T107" s="128"/>
      <c r="U107" s="18"/>
      <c r="V107" s="18"/>
      <c r="W107" s="18"/>
      <c r="X107" s="18"/>
      <c r="Y107" s="21" t="s">
        <v>542</v>
      </c>
      <c r="Z107" s="18"/>
      <c r="AA107" s="18"/>
      <c r="AB107" s="18"/>
      <c r="AC107" s="23" t="s">
        <v>726</v>
      </c>
      <c r="AD107" s="128" t="n">
        <v>15</v>
      </c>
      <c r="AE107" s="128"/>
      <c r="AF107" s="128" t="n">
        <v>90</v>
      </c>
      <c r="AG107" s="128" t="n">
        <v>10</v>
      </c>
      <c r="AH107" s="128"/>
      <c r="AI107" s="147" t="s">
        <v>727</v>
      </c>
      <c r="AJ107" s="128"/>
      <c r="AK107" s="128"/>
      <c r="AL107" s="147"/>
      <c r="AM107" s="131"/>
      <c r="AN107" s="128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128"/>
      <c r="BP107" s="128"/>
      <c r="BQ107" s="131"/>
      <c r="BR107" s="131"/>
      <c r="BS107" s="131"/>
      <c r="BT107" s="131"/>
      <c r="BU107" s="131"/>
      <c r="BV107" s="128"/>
      <c r="BW107" s="128"/>
      <c r="BX107" s="131"/>
      <c r="BY107" s="131"/>
      <c r="BZ107" s="131"/>
      <c r="CA107" s="131"/>
      <c r="CB107" s="131"/>
      <c r="CC107" s="128"/>
      <c r="CD107" s="128"/>
      <c r="CE107" s="131"/>
      <c r="CF107" s="131"/>
      <c r="CG107" s="131"/>
      <c r="CH107" s="131"/>
      <c r="CI107" s="131"/>
      <c r="CJ107" s="16"/>
      <c r="CK107" s="16"/>
      <c r="CL107" s="16"/>
      <c r="CM107" s="16"/>
      <c r="CN107" s="16"/>
      <c r="CO107" s="16"/>
      <c r="CP107" s="16"/>
      <c r="CQ107" s="128" t="n">
        <v>10</v>
      </c>
      <c r="CR107" s="128" t="n">
        <v>3</v>
      </c>
      <c r="CS107" s="131" t="s">
        <v>381</v>
      </c>
      <c r="CT107" s="131" t="s">
        <v>382</v>
      </c>
      <c r="CU107" s="131" t="s">
        <v>383</v>
      </c>
      <c r="CV107" s="131" t="s">
        <v>384</v>
      </c>
      <c r="CW107" s="131" t="s">
        <v>399</v>
      </c>
      <c r="CX107" s="52"/>
      <c r="CY107" s="52"/>
      <c r="CZ107" s="52"/>
      <c r="DA107" s="52"/>
      <c r="DB107" s="52"/>
      <c r="DC107" s="52"/>
      <c r="DD107" s="52"/>
      <c r="DE107" s="128"/>
      <c r="DF107" s="128"/>
      <c r="DG107" s="131"/>
      <c r="DH107" s="131"/>
      <c r="DI107" s="131"/>
      <c r="DJ107" s="131"/>
      <c r="DK107" s="131"/>
      <c r="DL107" s="52"/>
      <c r="DM107" s="52"/>
      <c r="DN107" s="52"/>
      <c r="DO107" s="52"/>
      <c r="DP107" s="52"/>
      <c r="DQ107" s="52"/>
      <c r="DR107" s="52"/>
      <c r="DS107" s="52"/>
      <c r="DT107" s="52"/>
      <c r="DU107" s="52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  <c r="EH107" s="52"/>
      <c r="EI107" s="52"/>
      <c r="EJ107" s="52"/>
      <c r="EK107" s="52"/>
      <c r="EL107" s="52"/>
      <c r="EM107" s="52"/>
      <c r="EN107" s="52"/>
      <c r="EO107" s="52"/>
      <c r="EP107" s="52"/>
      <c r="EQ107" s="52"/>
      <c r="ER107" s="52"/>
      <c r="ES107" s="52"/>
      <c r="ET107" s="52"/>
      <c r="EU107" s="52"/>
      <c r="EV107" s="52"/>
      <c r="EW107" s="52"/>
      <c r="EX107" s="52"/>
      <c r="EY107" s="52"/>
      <c r="EZ107" s="52"/>
      <c r="FA107" s="52"/>
      <c r="FB107" s="128" t="n">
        <v>10</v>
      </c>
      <c r="FC107" s="128" t="n">
        <v>2</v>
      </c>
      <c r="FD107" s="131" t="s">
        <v>572</v>
      </c>
      <c r="FE107" s="131" t="s">
        <v>383</v>
      </c>
      <c r="FF107" s="131" t="s">
        <v>573</v>
      </c>
      <c r="FG107" s="131" t="s">
        <v>574</v>
      </c>
      <c r="FH107" s="131" t="s">
        <v>378</v>
      </c>
      <c r="FI107" s="52"/>
      <c r="FJ107" s="52"/>
      <c r="FK107" s="52"/>
      <c r="FL107" s="52"/>
      <c r="FM107" s="52"/>
      <c r="FN107" s="52"/>
      <c r="FO107" s="52"/>
      <c r="FP107" s="128" t="n">
        <v>10</v>
      </c>
      <c r="FQ107" s="128" t="n">
        <v>1</v>
      </c>
      <c r="FR107" s="131" t="s">
        <v>381</v>
      </c>
      <c r="FS107" s="131" t="s">
        <v>382</v>
      </c>
      <c r="FT107" s="131" t="s">
        <v>383</v>
      </c>
      <c r="FU107" s="131" t="s">
        <v>384</v>
      </c>
      <c r="FV107" s="131" t="s">
        <v>399</v>
      </c>
      <c r="FW107" s="52"/>
      <c r="FX107" s="52"/>
      <c r="FY107" s="52"/>
      <c r="FZ107" s="52"/>
      <c r="GA107" s="52"/>
      <c r="GB107" s="52"/>
      <c r="GC107" s="52"/>
      <c r="GD107" s="52"/>
      <c r="GE107" s="52"/>
      <c r="GF107" s="52"/>
      <c r="GG107" s="52"/>
      <c r="GH107" s="52"/>
      <c r="GI107" s="52"/>
      <c r="GJ107" s="52"/>
      <c r="GK107" s="52"/>
      <c r="GL107" s="52"/>
      <c r="GM107" s="52"/>
      <c r="GN107" s="52"/>
      <c r="GO107" s="52"/>
      <c r="GP107" s="52"/>
      <c r="GQ107" s="52"/>
      <c r="GR107" s="52"/>
      <c r="GS107" s="52"/>
      <c r="GT107" s="52"/>
      <c r="GU107" s="52"/>
      <c r="GV107" s="52"/>
      <c r="GW107" s="52"/>
      <c r="GX107" s="52"/>
      <c r="GY107" s="52"/>
      <c r="GZ107" s="52"/>
      <c r="HA107" s="52"/>
      <c r="HB107" s="52"/>
      <c r="HC107" s="52"/>
      <c r="HD107" s="52"/>
      <c r="HE107" s="52"/>
      <c r="HF107" s="128" t="n">
        <v>10</v>
      </c>
      <c r="HG107" s="128" t="n">
        <v>1</v>
      </c>
      <c r="HH107" s="131" t="s">
        <v>572</v>
      </c>
      <c r="HI107" s="131" t="s">
        <v>383</v>
      </c>
      <c r="HJ107" s="131" t="s">
        <v>573</v>
      </c>
      <c r="HK107" s="131" t="s">
        <v>574</v>
      </c>
      <c r="HL107" s="131" t="s">
        <v>378</v>
      </c>
      <c r="HM107" s="128" t="n">
        <v>10</v>
      </c>
      <c r="HN107" s="128" t="n">
        <v>1</v>
      </c>
      <c r="HO107" s="131" t="s">
        <v>572</v>
      </c>
      <c r="HP107" s="131" t="s">
        <v>383</v>
      </c>
      <c r="HQ107" s="131" t="s">
        <v>573</v>
      </c>
      <c r="HR107" s="131" t="s">
        <v>574</v>
      </c>
      <c r="HS107" s="131" t="s">
        <v>378</v>
      </c>
      <c r="HT107" s="39"/>
      <c r="HU107" s="128"/>
      <c r="HV107" s="131"/>
      <c r="HW107" s="131"/>
      <c r="HX107" s="131"/>
      <c r="HY107" s="131"/>
      <c r="HZ107" s="131"/>
    </row>
    <row r="108" customFormat="false" ht="12.8" hidden="true" customHeight="false" outlineLevel="0" collapsed="false">
      <c r="A108" s="36" t="s">
        <v>53</v>
      </c>
      <c r="B108" s="35" t="s">
        <v>81</v>
      </c>
      <c r="C108" s="35" t="s">
        <v>247</v>
      </c>
      <c r="D108" s="35" t="s">
        <v>248</v>
      </c>
      <c r="E108" s="34" t="s">
        <v>89</v>
      </c>
      <c r="F108" s="35" t="s">
        <v>148</v>
      </c>
      <c r="G108" s="154" t="s">
        <v>700</v>
      </c>
      <c r="H108" s="150"/>
      <c r="I108" s="150"/>
      <c r="J108" s="150"/>
      <c r="K108" s="128" t="n">
        <v>5500</v>
      </c>
      <c r="L108" s="18" t="n">
        <v>3</v>
      </c>
      <c r="M108" s="18" t="n">
        <f aca="false">IF(AD108,1,0)+IF(AK108,1,0)+AN108+AU108+BB108+BI108+BP108+BW108+CD108+CK108+CR108+CY108+DF108+DM108+DT108+EA108+EH108+EO108+EV108+FC108+FJ108+FQ108+FX108+GE108+GL108+GS108+GZ108+HG108+HN108+HU108</f>
        <v>0</v>
      </c>
      <c r="N108" s="131"/>
      <c r="O108" s="147" t="n">
        <v>1200</v>
      </c>
      <c r="P108" s="147" t="n">
        <v>1440</v>
      </c>
      <c r="Q108" s="147" t="n">
        <v>0</v>
      </c>
      <c r="R108" s="21" t="s">
        <v>44</v>
      </c>
      <c r="S108" s="128"/>
      <c r="T108" s="128"/>
      <c r="U108" s="18"/>
      <c r="V108" s="18"/>
      <c r="W108" s="18"/>
      <c r="X108" s="18"/>
      <c r="Y108" s="21" t="s">
        <v>542</v>
      </c>
      <c r="Z108" s="18"/>
      <c r="AA108" s="18"/>
      <c r="AB108" s="18"/>
      <c r="AC108" s="131"/>
      <c r="AD108" s="128"/>
      <c r="AE108" s="128"/>
      <c r="AF108" s="128"/>
      <c r="AG108" s="128"/>
      <c r="AH108" s="128"/>
      <c r="AI108" s="147"/>
      <c r="AJ108" s="128"/>
      <c r="AK108" s="128"/>
      <c r="AL108" s="147"/>
      <c r="AM108" s="131"/>
      <c r="AN108" s="128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128"/>
      <c r="BP108" s="128"/>
      <c r="BQ108" s="131"/>
      <c r="BR108" s="131"/>
      <c r="BS108" s="131"/>
      <c r="BT108" s="131"/>
      <c r="BU108" s="131"/>
      <c r="BV108" s="128"/>
      <c r="BW108" s="128"/>
      <c r="BX108" s="131"/>
      <c r="BY108" s="131"/>
      <c r="BZ108" s="131"/>
      <c r="CA108" s="131"/>
      <c r="CB108" s="131"/>
      <c r="CC108" s="128"/>
      <c r="CD108" s="128"/>
      <c r="CE108" s="131"/>
      <c r="CF108" s="131"/>
      <c r="CG108" s="131"/>
      <c r="CH108" s="131"/>
      <c r="CI108" s="131"/>
      <c r="CJ108" s="16"/>
      <c r="CK108" s="16"/>
      <c r="CL108" s="16"/>
      <c r="CM108" s="16"/>
      <c r="CN108" s="16"/>
      <c r="CO108" s="16"/>
      <c r="CP108" s="16"/>
      <c r="CQ108" s="128" t="n">
        <v>5</v>
      </c>
      <c r="CR108" s="128" t="n">
        <v>2</v>
      </c>
      <c r="CS108" s="131" t="s">
        <v>390</v>
      </c>
      <c r="CT108" s="131" t="s">
        <v>391</v>
      </c>
      <c r="CU108" s="131" t="s">
        <v>410</v>
      </c>
      <c r="CV108" s="131" t="s">
        <v>411</v>
      </c>
      <c r="CW108" s="131" t="s">
        <v>415</v>
      </c>
      <c r="CX108" s="52"/>
      <c r="CY108" s="52"/>
      <c r="CZ108" s="52"/>
      <c r="DA108" s="52"/>
      <c r="DB108" s="52"/>
      <c r="DC108" s="52"/>
      <c r="DD108" s="52"/>
      <c r="DE108" s="128"/>
      <c r="DF108" s="128"/>
      <c r="DG108" s="131"/>
      <c r="DH108" s="131"/>
      <c r="DI108" s="131"/>
      <c r="DJ108" s="131"/>
      <c r="DK108" s="131"/>
      <c r="DL108" s="52"/>
      <c r="DM108" s="52"/>
      <c r="DN108" s="52"/>
      <c r="DO108" s="52"/>
      <c r="DP108" s="52"/>
      <c r="DQ108" s="52"/>
      <c r="DR108" s="52"/>
      <c r="DS108" s="52"/>
      <c r="DT108" s="52"/>
      <c r="DU108" s="52"/>
      <c r="DV108" s="52"/>
      <c r="DW108" s="52"/>
      <c r="DX108" s="52"/>
      <c r="DY108" s="52"/>
      <c r="DZ108" s="52"/>
      <c r="EA108" s="52"/>
      <c r="EB108" s="52"/>
      <c r="EC108" s="52"/>
      <c r="ED108" s="52"/>
      <c r="EE108" s="52"/>
      <c r="EF108" s="52"/>
      <c r="EG108" s="52"/>
      <c r="EH108" s="52"/>
      <c r="EI108" s="52"/>
      <c r="EJ108" s="52"/>
      <c r="EK108" s="52"/>
      <c r="EL108" s="52"/>
      <c r="EM108" s="52"/>
      <c r="EN108" s="52"/>
      <c r="EO108" s="52"/>
      <c r="EP108" s="52"/>
      <c r="EQ108" s="52"/>
      <c r="ER108" s="52"/>
      <c r="ES108" s="52"/>
      <c r="ET108" s="52"/>
      <c r="EU108" s="52"/>
      <c r="EV108" s="52"/>
      <c r="EW108" s="52"/>
      <c r="EX108" s="52"/>
      <c r="EY108" s="52"/>
      <c r="EZ108" s="52"/>
      <c r="FA108" s="52"/>
      <c r="FB108" s="128"/>
      <c r="FC108" s="128"/>
      <c r="FD108" s="131"/>
      <c r="FE108" s="131"/>
      <c r="FF108" s="131"/>
      <c r="FG108" s="131"/>
      <c r="FH108" s="131"/>
      <c r="FI108" s="52"/>
      <c r="FJ108" s="52"/>
      <c r="FK108" s="52"/>
      <c r="FL108" s="52"/>
      <c r="FM108" s="52"/>
      <c r="FN108" s="52"/>
      <c r="FO108" s="52"/>
      <c r="FP108" s="52"/>
      <c r="FQ108" s="52"/>
      <c r="FR108" s="52"/>
      <c r="FS108" s="52"/>
      <c r="FT108" s="52"/>
      <c r="FU108" s="52"/>
      <c r="FV108" s="52"/>
      <c r="FW108" s="52"/>
      <c r="FX108" s="52"/>
      <c r="FY108" s="52"/>
      <c r="FZ108" s="52"/>
      <c r="GA108" s="52"/>
      <c r="GB108" s="52"/>
      <c r="GC108" s="52"/>
      <c r="GD108" s="52"/>
      <c r="GE108" s="52"/>
      <c r="GF108" s="52"/>
      <c r="GG108" s="52"/>
      <c r="GH108" s="52"/>
      <c r="GI108" s="52"/>
      <c r="GJ108" s="52"/>
      <c r="GK108" s="52"/>
      <c r="GL108" s="52"/>
      <c r="GM108" s="52"/>
      <c r="GN108" s="52"/>
      <c r="GO108" s="52"/>
      <c r="GP108" s="52"/>
      <c r="GQ108" s="52"/>
      <c r="GR108" s="52"/>
      <c r="GS108" s="52"/>
      <c r="GT108" s="52"/>
      <c r="GU108" s="52"/>
      <c r="GV108" s="52"/>
      <c r="GW108" s="52"/>
      <c r="GX108" s="52"/>
      <c r="GY108" s="52"/>
      <c r="GZ108" s="52"/>
      <c r="HA108" s="52"/>
      <c r="HB108" s="52"/>
      <c r="HC108" s="52"/>
      <c r="HD108" s="52"/>
      <c r="HE108" s="52"/>
      <c r="HF108" s="128" t="n">
        <v>5</v>
      </c>
      <c r="HG108" s="128" t="n">
        <v>1</v>
      </c>
      <c r="HH108" s="131" t="s">
        <v>451</v>
      </c>
      <c r="HI108" s="131" t="s">
        <v>410</v>
      </c>
      <c r="HJ108" s="131" t="s">
        <v>452</v>
      </c>
      <c r="HK108" s="131" t="s">
        <v>453</v>
      </c>
      <c r="HL108" s="131" t="s">
        <v>389</v>
      </c>
      <c r="HM108" s="128" t="n">
        <v>5</v>
      </c>
      <c r="HN108" s="128" t="n">
        <v>1</v>
      </c>
      <c r="HO108" s="131" t="s">
        <v>451</v>
      </c>
      <c r="HP108" s="131" t="s">
        <v>410</v>
      </c>
      <c r="HQ108" s="131" t="s">
        <v>452</v>
      </c>
      <c r="HR108" s="131" t="s">
        <v>453</v>
      </c>
      <c r="HS108" s="131" t="s">
        <v>389</v>
      </c>
      <c r="HT108" s="39"/>
      <c r="HU108" s="128"/>
      <c r="HV108" s="131"/>
      <c r="HW108" s="131"/>
      <c r="HX108" s="131"/>
      <c r="HY108" s="131"/>
      <c r="HZ108" s="131"/>
    </row>
    <row r="109" customFormat="false" ht="12.8" hidden="true" customHeight="false" outlineLevel="0" collapsed="false">
      <c r="A109" s="16" t="s">
        <v>53</v>
      </c>
      <c r="B109" s="17" t="s">
        <v>93</v>
      </c>
      <c r="C109" s="130" t="s">
        <v>250</v>
      </c>
      <c r="D109" s="17" t="s">
        <v>251</v>
      </c>
      <c r="E109" s="156" t="s">
        <v>89</v>
      </c>
      <c r="F109" s="16" t="s">
        <v>148</v>
      </c>
      <c r="G109" s="157" t="s">
        <v>728</v>
      </c>
      <c r="H109" s="148" t="s">
        <v>92</v>
      </c>
      <c r="I109" s="150"/>
      <c r="J109" s="150"/>
      <c r="K109" s="128" t="n">
        <v>5500</v>
      </c>
      <c r="L109" s="18" t="n">
        <v>5</v>
      </c>
      <c r="M109" s="18" t="n">
        <f aca="false">IF(AD109,1,0)+IF(AK109,1,0)+AN109+AU109+BB109+BI109+BP109+BW109+CD109+CK109+CR109+CY109+DF109+DM109+DT109+EA109+EH109+EO109+EV109+FC109+FJ109+FQ109+FX109+GE109+GL109+GS109+GZ109+HG109+HN109+HU109</f>
        <v>0</v>
      </c>
      <c r="N109" s="131"/>
      <c r="O109" s="147" t="n">
        <v>2400</v>
      </c>
      <c r="P109" s="147" t="n">
        <v>1126</v>
      </c>
      <c r="Q109" s="147" t="n">
        <v>408</v>
      </c>
      <c r="R109" s="21" t="s">
        <v>44</v>
      </c>
      <c r="S109" s="21" t="s">
        <v>44</v>
      </c>
      <c r="T109" s="128"/>
      <c r="U109" s="18"/>
      <c r="V109" s="18"/>
      <c r="W109" s="18"/>
      <c r="X109" s="18"/>
      <c r="Y109" s="21" t="s">
        <v>588</v>
      </c>
      <c r="Z109" s="18"/>
      <c r="AA109" s="18"/>
      <c r="AB109" s="18"/>
      <c r="AC109" s="23" t="s">
        <v>618</v>
      </c>
      <c r="AD109" s="128" t="n">
        <v>15</v>
      </c>
      <c r="AE109" s="128"/>
      <c r="AF109" s="128" t="n">
        <v>60</v>
      </c>
      <c r="AG109" s="128" t="n">
        <v>15</v>
      </c>
      <c r="AH109" s="128" t="n">
        <v>10</v>
      </c>
      <c r="AI109" s="147" t="s">
        <v>619</v>
      </c>
      <c r="AJ109" s="128"/>
      <c r="AK109" s="128"/>
      <c r="AL109" s="147"/>
      <c r="AM109" s="131"/>
      <c r="AN109" s="128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16"/>
      <c r="CK109" s="16"/>
      <c r="CL109" s="16"/>
      <c r="CM109" s="16"/>
      <c r="CN109" s="16"/>
      <c r="CO109" s="16"/>
      <c r="CP109" s="16"/>
      <c r="CQ109" s="128" t="n">
        <v>10</v>
      </c>
      <c r="CR109" s="128" t="n">
        <v>2</v>
      </c>
      <c r="CS109" s="131" t="s">
        <v>381</v>
      </c>
      <c r="CT109" s="131" t="s">
        <v>382</v>
      </c>
      <c r="CU109" s="131" t="s">
        <v>383</v>
      </c>
      <c r="CV109" s="131" t="s">
        <v>384</v>
      </c>
      <c r="CW109" s="131" t="s">
        <v>399</v>
      </c>
      <c r="CX109" s="131"/>
      <c r="CY109" s="131"/>
      <c r="CZ109" s="131"/>
      <c r="DA109" s="131"/>
      <c r="DB109" s="131"/>
      <c r="DC109" s="131"/>
      <c r="DD109" s="131"/>
      <c r="DE109" s="131"/>
      <c r="DF109" s="131"/>
      <c r="DG109" s="131"/>
      <c r="DH109" s="131"/>
      <c r="DI109" s="131"/>
      <c r="DJ109" s="131"/>
      <c r="DK109" s="131"/>
      <c r="DL109" s="131"/>
      <c r="DM109" s="131"/>
      <c r="DN109" s="131"/>
      <c r="DO109" s="131"/>
      <c r="DP109" s="131"/>
      <c r="DQ109" s="131"/>
      <c r="DR109" s="131"/>
      <c r="DS109" s="131"/>
      <c r="DT109" s="131"/>
      <c r="DU109" s="131"/>
      <c r="DV109" s="131"/>
      <c r="DW109" s="131"/>
      <c r="DX109" s="131"/>
      <c r="DY109" s="131"/>
      <c r="DZ109" s="131"/>
      <c r="EA109" s="131"/>
      <c r="EB109" s="131"/>
      <c r="EC109" s="131"/>
      <c r="ED109" s="131"/>
      <c r="EE109" s="131"/>
      <c r="EF109" s="131"/>
      <c r="EG109" s="131"/>
      <c r="EH109" s="131"/>
      <c r="EI109" s="131"/>
      <c r="EJ109" s="131"/>
      <c r="EK109" s="131"/>
      <c r="EL109" s="131"/>
      <c r="EM109" s="131"/>
      <c r="EN109" s="131"/>
      <c r="EO109" s="131"/>
      <c r="EP109" s="131"/>
      <c r="EQ109" s="131"/>
      <c r="ER109" s="131"/>
      <c r="ES109" s="131"/>
      <c r="ET109" s="131"/>
      <c r="EU109" s="131"/>
      <c r="EV109" s="131"/>
      <c r="EW109" s="131"/>
      <c r="EX109" s="131"/>
      <c r="EY109" s="131"/>
      <c r="EZ109" s="131"/>
      <c r="FA109" s="131"/>
      <c r="FB109" s="128" t="n">
        <v>10</v>
      </c>
      <c r="FC109" s="128" t="n">
        <v>2</v>
      </c>
      <c r="FD109" s="131" t="s">
        <v>572</v>
      </c>
      <c r="FE109" s="131" t="s">
        <v>383</v>
      </c>
      <c r="FF109" s="131" t="s">
        <v>573</v>
      </c>
      <c r="FG109" s="131" t="s">
        <v>574</v>
      </c>
      <c r="FH109" s="131" t="s">
        <v>378</v>
      </c>
      <c r="FI109" s="131"/>
      <c r="FJ109" s="131"/>
      <c r="FK109" s="131"/>
      <c r="FL109" s="131"/>
      <c r="FM109" s="131"/>
      <c r="FN109" s="131"/>
      <c r="FO109" s="131"/>
      <c r="FP109" s="52"/>
      <c r="FQ109" s="52"/>
      <c r="FR109" s="52"/>
      <c r="FS109" s="52"/>
      <c r="FT109" s="52"/>
      <c r="FU109" s="52"/>
      <c r="FV109" s="52"/>
      <c r="FW109" s="52"/>
      <c r="FX109" s="52"/>
      <c r="FY109" s="52"/>
      <c r="FZ109" s="52"/>
      <c r="GA109" s="52"/>
      <c r="GB109" s="52"/>
      <c r="GC109" s="52"/>
      <c r="GD109" s="52"/>
      <c r="GE109" s="52"/>
      <c r="GF109" s="52"/>
      <c r="GG109" s="52"/>
      <c r="GH109" s="52"/>
      <c r="GI109" s="52"/>
      <c r="GJ109" s="52"/>
      <c r="GK109" s="52"/>
      <c r="GL109" s="52"/>
      <c r="GM109" s="52"/>
      <c r="GN109" s="52"/>
      <c r="GO109" s="52"/>
      <c r="GP109" s="52"/>
      <c r="GQ109" s="52"/>
      <c r="GR109" s="52"/>
      <c r="GS109" s="52"/>
      <c r="GT109" s="52"/>
      <c r="GU109" s="52"/>
      <c r="GV109" s="52"/>
      <c r="GW109" s="52"/>
      <c r="GX109" s="52"/>
      <c r="GY109" s="52"/>
      <c r="GZ109" s="52"/>
      <c r="HA109" s="52"/>
      <c r="HB109" s="52"/>
      <c r="HC109" s="52"/>
      <c r="HD109" s="52"/>
      <c r="HE109" s="52"/>
      <c r="HF109" s="52"/>
      <c r="HG109" s="52"/>
      <c r="HH109" s="52"/>
      <c r="HI109" s="52"/>
      <c r="HJ109" s="52"/>
      <c r="HK109" s="52"/>
      <c r="HL109" s="52"/>
      <c r="HM109" s="39" t="n">
        <v>10</v>
      </c>
      <c r="HN109" s="128" t="n">
        <v>2</v>
      </c>
      <c r="HO109" s="131" t="s">
        <v>572</v>
      </c>
      <c r="HP109" s="131" t="s">
        <v>383</v>
      </c>
      <c r="HQ109" s="131" t="s">
        <v>573</v>
      </c>
      <c r="HR109" s="131" t="s">
        <v>574</v>
      </c>
      <c r="HS109" s="131" t="s">
        <v>378</v>
      </c>
      <c r="HT109" s="131"/>
      <c r="HU109" s="128"/>
      <c r="HV109" s="131"/>
      <c r="HW109" s="131"/>
      <c r="HX109" s="131"/>
      <c r="HY109" s="131"/>
      <c r="HZ109" s="131"/>
    </row>
    <row r="110" customFormat="false" ht="12.8" hidden="true" customHeight="false" outlineLevel="0" collapsed="false">
      <c r="A110" s="16" t="s">
        <v>53</v>
      </c>
      <c r="B110" s="17" t="s">
        <v>93</v>
      </c>
      <c r="C110" s="156" t="s">
        <v>250</v>
      </c>
      <c r="D110" s="16" t="s">
        <v>252</v>
      </c>
      <c r="E110" s="156" t="s">
        <v>87</v>
      </c>
      <c r="F110" s="16" t="s">
        <v>126</v>
      </c>
      <c r="G110" s="157" t="s">
        <v>729</v>
      </c>
      <c r="H110" s="148" t="s">
        <v>92</v>
      </c>
      <c r="I110" s="150"/>
      <c r="J110" s="150"/>
      <c r="K110" s="128" t="n">
        <v>5500</v>
      </c>
      <c r="L110" s="18" t="n">
        <v>5</v>
      </c>
      <c r="M110" s="18" t="n">
        <f aca="false">IF(AD110,1,0)+IF(AK110,1,0)+AN110+AU110+BB110+BI110+BP110+BW110+CD110+CK110+CR110+CY110+DF110+DM110+DT110+EA110+EH110+EO110+EV110+FC110+FJ110+FQ110+FX110+GE110+GL110+GS110+GZ110+HG110+HN110+HU110</f>
        <v>0</v>
      </c>
      <c r="N110" s="131"/>
      <c r="O110" s="147"/>
      <c r="P110" s="147"/>
      <c r="Q110" s="147"/>
      <c r="R110" s="21" t="s">
        <v>45</v>
      </c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31"/>
      <c r="AD110" s="128"/>
      <c r="AE110" s="128"/>
      <c r="AF110" s="128"/>
      <c r="AG110" s="128"/>
      <c r="AH110" s="128"/>
      <c r="AI110" s="147"/>
      <c r="AJ110" s="128"/>
      <c r="AK110" s="128"/>
      <c r="AL110" s="147"/>
      <c r="AM110" s="131"/>
      <c r="AN110" s="128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16"/>
      <c r="CK110" s="16"/>
      <c r="CL110" s="16"/>
      <c r="CM110" s="16"/>
      <c r="CN110" s="16"/>
      <c r="CO110" s="16"/>
      <c r="CP110" s="16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2"/>
      <c r="DN110" s="52"/>
      <c r="DO110" s="52"/>
      <c r="DP110" s="52"/>
      <c r="DQ110" s="52"/>
      <c r="DR110" s="52"/>
      <c r="DS110" s="52"/>
      <c r="DT110" s="52"/>
      <c r="DU110" s="52"/>
      <c r="DV110" s="52"/>
      <c r="DW110" s="52"/>
      <c r="DX110" s="52"/>
      <c r="DY110" s="52"/>
      <c r="DZ110" s="52"/>
      <c r="EA110" s="52"/>
      <c r="EB110" s="52"/>
      <c r="EC110" s="52"/>
      <c r="ED110" s="52"/>
      <c r="EE110" s="52"/>
      <c r="EF110" s="52"/>
      <c r="EG110" s="52"/>
      <c r="EH110" s="52"/>
      <c r="EI110" s="52"/>
      <c r="EJ110" s="52"/>
      <c r="EK110" s="52"/>
      <c r="EL110" s="52"/>
      <c r="EM110" s="52"/>
      <c r="EN110" s="52"/>
      <c r="EO110" s="52"/>
      <c r="EP110" s="52"/>
      <c r="EQ110" s="52"/>
      <c r="ER110" s="52"/>
      <c r="ES110" s="52"/>
      <c r="ET110" s="52"/>
      <c r="EU110" s="52"/>
      <c r="EV110" s="52"/>
      <c r="EW110" s="52"/>
      <c r="EX110" s="52"/>
      <c r="EY110" s="52"/>
      <c r="EZ110" s="52"/>
      <c r="FA110" s="52"/>
      <c r="FB110" s="52"/>
      <c r="FC110" s="52"/>
      <c r="FD110" s="52"/>
      <c r="FE110" s="52"/>
      <c r="FF110" s="52"/>
      <c r="FG110" s="52"/>
      <c r="FH110" s="52"/>
      <c r="FI110" s="52"/>
      <c r="FJ110" s="52"/>
      <c r="FK110" s="52"/>
      <c r="FL110" s="52"/>
      <c r="FM110" s="52"/>
      <c r="FN110" s="52"/>
      <c r="FO110" s="52"/>
      <c r="FP110" s="52"/>
      <c r="FQ110" s="52"/>
      <c r="FR110" s="52"/>
      <c r="FS110" s="52"/>
      <c r="FT110" s="52"/>
      <c r="FU110" s="52"/>
      <c r="FV110" s="52"/>
      <c r="FW110" s="52"/>
      <c r="FX110" s="52"/>
      <c r="FY110" s="52"/>
      <c r="FZ110" s="52"/>
      <c r="GA110" s="52"/>
      <c r="GB110" s="52"/>
      <c r="GC110" s="52"/>
      <c r="GD110" s="52"/>
      <c r="GE110" s="52"/>
      <c r="GF110" s="52"/>
      <c r="GG110" s="52"/>
      <c r="GH110" s="52"/>
      <c r="GI110" s="52"/>
      <c r="GJ110" s="52"/>
      <c r="GK110" s="52"/>
      <c r="GL110" s="52"/>
      <c r="GM110" s="52"/>
      <c r="GN110" s="52"/>
      <c r="GO110" s="52"/>
      <c r="GP110" s="52"/>
      <c r="GQ110" s="52"/>
      <c r="GR110" s="52"/>
      <c r="GS110" s="52"/>
      <c r="GT110" s="52"/>
      <c r="GU110" s="52"/>
      <c r="GV110" s="52"/>
      <c r="GW110" s="52"/>
      <c r="GX110" s="52"/>
      <c r="GY110" s="52"/>
      <c r="GZ110" s="52"/>
      <c r="HA110" s="52"/>
      <c r="HB110" s="52"/>
      <c r="HC110" s="52"/>
      <c r="HD110" s="52"/>
      <c r="HE110" s="52"/>
      <c r="HF110" s="52"/>
      <c r="HG110" s="52"/>
      <c r="HH110" s="52"/>
      <c r="HI110" s="52"/>
      <c r="HJ110" s="52"/>
      <c r="HK110" s="52"/>
      <c r="HL110" s="52"/>
      <c r="HM110" s="52"/>
      <c r="HN110" s="52"/>
      <c r="HO110" s="52"/>
      <c r="HP110" s="52"/>
      <c r="HQ110" s="52"/>
      <c r="HR110" s="52"/>
      <c r="HS110" s="52"/>
      <c r="HT110" s="131"/>
      <c r="HU110" s="128"/>
      <c r="HV110" s="131"/>
      <c r="HW110" s="131"/>
      <c r="HX110" s="131"/>
      <c r="HY110" s="131"/>
      <c r="HZ110" s="131"/>
    </row>
    <row r="111" customFormat="false" ht="12.8" hidden="true" customHeight="false" outlineLevel="0" collapsed="false">
      <c r="A111" s="16" t="s">
        <v>53</v>
      </c>
      <c r="B111" s="17" t="s">
        <v>93</v>
      </c>
      <c r="C111" s="156" t="s">
        <v>250</v>
      </c>
      <c r="D111" s="16" t="s">
        <v>252</v>
      </c>
      <c r="E111" s="156" t="s">
        <v>87</v>
      </c>
      <c r="F111" s="16" t="s">
        <v>126</v>
      </c>
      <c r="G111" s="157" t="s">
        <v>730</v>
      </c>
      <c r="H111" s="150"/>
      <c r="I111" s="150"/>
      <c r="J111" s="150"/>
      <c r="K111" s="128" t="n">
        <v>5500</v>
      </c>
      <c r="L111" s="18" t="n">
        <v>4</v>
      </c>
      <c r="M111" s="18" t="n">
        <f aca="false">IF(AD111,1,0)+IF(AK111,1,0)+AN111+AU111+BB111+BI111+BP111+BW111+CD111+CK111+CR111+CY111+DF111+DM111+DT111+EA111+EH111+EO111+EV111+FC111+FJ111+FQ111+FX111+GE111+GL111+GS111+GZ111+HG111+HN111+HU111</f>
        <v>0</v>
      </c>
      <c r="N111" s="131"/>
      <c r="O111" s="147"/>
      <c r="P111" s="147"/>
      <c r="Q111" s="147"/>
      <c r="R111" s="21" t="s">
        <v>44</v>
      </c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31"/>
      <c r="AD111" s="128"/>
      <c r="AE111" s="128"/>
      <c r="AF111" s="128"/>
      <c r="AG111" s="128"/>
      <c r="AH111" s="128"/>
      <c r="AI111" s="147"/>
      <c r="AJ111" s="128"/>
      <c r="AK111" s="128"/>
      <c r="AL111" s="147"/>
      <c r="AM111" s="131"/>
      <c r="AN111" s="128"/>
      <c r="AO111" s="131"/>
      <c r="AP111" s="131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16"/>
      <c r="CK111" s="16"/>
      <c r="CL111" s="16"/>
      <c r="CM111" s="16"/>
      <c r="CN111" s="16"/>
      <c r="CO111" s="16"/>
      <c r="CP111" s="16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  <c r="DA111" s="52"/>
      <c r="DB111" s="52"/>
      <c r="DC111" s="52"/>
      <c r="DD111" s="52"/>
      <c r="DE111" s="52"/>
      <c r="DF111" s="52"/>
      <c r="DG111" s="52"/>
      <c r="DH111" s="52"/>
      <c r="DI111" s="52"/>
      <c r="DJ111" s="52"/>
      <c r="DK111" s="52"/>
      <c r="DL111" s="52"/>
      <c r="DM111" s="52"/>
      <c r="DN111" s="52"/>
      <c r="DO111" s="52"/>
      <c r="DP111" s="52"/>
      <c r="DQ111" s="52"/>
      <c r="DR111" s="52"/>
      <c r="DS111" s="52"/>
      <c r="DT111" s="52"/>
      <c r="DU111" s="52"/>
      <c r="DV111" s="52"/>
      <c r="DW111" s="52"/>
      <c r="DX111" s="52"/>
      <c r="DY111" s="52"/>
      <c r="DZ111" s="52"/>
      <c r="EA111" s="52"/>
      <c r="EB111" s="52"/>
      <c r="EC111" s="52"/>
      <c r="ED111" s="52"/>
      <c r="EE111" s="52"/>
      <c r="EF111" s="52"/>
      <c r="EG111" s="52"/>
      <c r="EH111" s="52"/>
      <c r="EI111" s="52"/>
      <c r="EJ111" s="52"/>
      <c r="EK111" s="52"/>
      <c r="EL111" s="52"/>
      <c r="EM111" s="52"/>
      <c r="EN111" s="52"/>
      <c r="EO111" s="52"/>
      <c r="EP111" s="52"/>
      <c r="EQ111" s="52"/>
      <c r="ER111" s="52"/>
      <c r="ES111" s="52"/>
      <c r="ET111" s="52"/>
      <c r="EU111" s="52"/>
      <c r="EV111" s="52"/>
      <c r="EW111" s="52"/>
      <c r="EX111" s="52"/>
      <c r="EY111" s="52"/>
      <c r="EZ111" s="52"/>
      <c r="FA111" s="52"/>
      <c r="FB111" s="52"/>
      <c r="FC111" s="52"/>
      <c r="FD111" s="52"/>
      <c r="FE111" s="52"/>
      <c r="FF111" s="52"/>
      <c r="FG111" s="52"/>
      <c r="FH111" s="52"/>
      <c r="FI111" s="52"/>
      <c r="FJ111" s="52"/>
      <c r="FK111" s="52"/>
      <c r="FL111" s="52"/>
      <c r="FM111" s="52"/>
      <c r="FN111" s="52"/>
      <c r="FO111" s="52"/>
      <c r="FP111" s="52"/>
      <c r="FQ111" s="52"/>
      <c r="FR111" s="52"/>
      <c r="FS111" s="52"/>
      <c r="FT111" s="52"/>
      <c r="FU111" s="52"/>
      <c r="FV111" s="52"/>
      <c r="FW111" s="52"/>
      <c r="FX111" s="52"/>
      <c r="FY111" s="52"/>
      <c r="FZ111" s="52"/>
      <c r="GA111" s="52"/>
      <c r="GB111" s="52"/>
      <c r="GC111" s="52"/>
      <c r="GD111" s="52"/>
      <c r="GE111" s="52"/>
      <c r="GF111" s="52"/>
      <c r="GG111" s="52"/>
      <c r="GH111" s="52"/>
      <c r="GI111" s="52"/>
      <c r="GJ111" s="52"/>
      <c r="GK111" s="52"/>
      <c r="GL111" s="52"/>
      <c r="GM111" s="52"/>
      <c r="GN111" s="52"/>
      <c r="GO111" s="52"/>
      <c r="GP111" s="52"/>
      <c r="GQ111" s="52"/>
      <c r="GR111" s="52"/>
      <c r="GS111" s="52"/>
      <c r="GT111" s="52"/>
      <c r="GU111" s="52"/>
      <c r="GV111" s="52"/>
      <c r="GW111" s="52"/>
      <c r="GX111" s="52"/>
      <c r="GY111" s="52"/>
      <c r="GZ111" s="52"/>
      <c r="HA111" s="52"/>
      <c r="HB111" s="52"/>
      <c r="HC111" s="52"/>
      <c r="HD111" s="52"/>
      <c r="HE111" s="52"/>
      <c r="HF111" s="52"/>
      <c r="HG111" s="52"/>
      <c r="HH111" s="52"/>
      <c r="HI111" s="52"/>
      <c r="HJ111" s="52"/>
      <c r="HK111" s="52"/>
      <c r="HL111" s="52"/>
      <c r="HM111" s="52"/>
      <c r="HN111" s="52"/>
      <c r="HO111" s="52"/>
      <c r="HP111" s="52"/>
      <c r="HQ111" s="52"/>
      <c r="HR111" s="52"/>
      <c r="HS111" s="52"/>
      <c r="HT111" s="131"/>
      <c r="HU111" s="128"/>
      <c r="HV111" s="131"/>
      <c r="HW111" s="131"/>
      <c r="HX111" s="131"/>
      <c r="HY111" s="131"/>
      <c r="HZ111" s="131"/>
    </row>
    <row r="112" customFormat="false" ht="12.8" hidden="true" customHeight="false" outlineLevel="0" collapsed="false">
      <c r="A112" s="16" t="s">
        <v>53</v>
      </c>
      <c r="B112" s="17" t="s">
        <v>93</v>
      </c>
      <c r="C112" s="130" t="s">
        <v>250</v>
      </c>
      <c r="D112" s="17" t="s">
        <v>253</v>
      </c>
      <c r="E112" s="130" t="s">
        <v>88</v>
      </c>
      <c r="F112" s="17" t="s">
        <v>178</v>
      </c>
      <c r="G112" s="157"/>
      <c r="H112" s="150"/>
      <c r="I112" s="150"/>
      <c r="J112" s="150"/>
      <c r="K112" s="128" t="n">
        <v>5500</v>
      </c>
      <c r="L112" s="18"/>
      <c r="M112" s="18" t="n">
        <f aca="false">IF(AD112,1,0)+IF(AK112,1,0)+AN112+AU112+BB112+BI112+BP112+BW112+CD112+CK112+CR112+CY112+DF112+DM112+DT112+EA112+EH112+EO112+EV112+FC112+FJ112+FQ112+FX112+GE112+GL112+GS112+GZ112+HG112+HN112+HU112</f>
        <v>0</v>
      </c>
      <c r="N112" s="131"/>
      <c r="O112" s="147"/>
      <c r="P112" s="147"/>
      <c r="Q112" s="147"/>
      <c r="R112" s="12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31"/>
      <c r="AD112" s="128"/>
      <c r="AE112" s="128"/>
      <c r="AF112" s="128"/>
      <c r="AG112" s="128"/>
      <c r="AH112" s="128"/>
      <c r="AI112" s="147"/>
      <c r="AJ112" s="128"/>
      <c r="AK112" s="128"/>
      <c r="AL112" s="147"/>
      <c r="AM112" s="131"/>
      <c r="AN112" s="128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16"/>
      <c r="CK112" s="16"/>
      <c r="CL112" s="16"/>
      <c r="CM112" s="16"/>
      <c r="CN112" s="16"/>
      <c r="CO112" s="16"/>
      <c r="CP112" s="16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  <c r="DN112" s="52"/>
      <c r="DO112" s="52"/>
      <c r="DP112" s="52"/>
      <c r="DQ112" s="52"/>
      <c r="DR112" s="52"/>
      <c r="DS112" s="52"/>
      <c r="DT112" s="52"/>
      <c r="DU112" s="52"/>
      <c r="DV112" s="52"/>
      <c r="DW112" s="52"/>
      <c r="DX112" s="52"/>
      <c r="DY112" s="52"/>
      <c r="DZ112" s="52"/>
      <c r="EA112" s="52"/>
      <c r="EB112" s="52"/>
      <c r="EC112" s="52"/>
      <c r="ED112" s="52"/>
      <c r="EE112" s="52"/>
      <c r="EF112" s="52"/>
      <c r="EG112" s="52"/>
      <c r="EH112" s="52"/>
      <c r="EI112" s="52"/>
      <c r="EJ112" s="52"/>
      <c r="EK112" s="52"/>
      <c r="EL112" s="52"/>
      <c r="EM112" s="52"/>
      <c r="EN112" s="52"/>
      <c r="EO112" s="52"/>
      <c r="EP112" s="52"/>
      <c r="EQ112" s="52"/>
      <c r="ER112" s="52"/>
      <c r="ES112" s="52"/>
      <c r="ET112" s="52"/>
      <c r="EU112" s="52"/>
      <c r="EV112" s="52"/>
      <c r="EW112" s="52"/>
      <c r="EX112" s="52"/>
      <c r="EY112" s="52"/>
      <c r="EZ112" s="52"/>
      <c r="FA112" s="52"/>
      <c r="FB112" s="52"/>
      <c r="FC112" s="52"/>
      <c r="FD112" s="52"/>
      <c r="FE112" s="52"/>
      <c r="FF112" s="52"/>
      <c r="FG112" s="52"/>
      <c r="FH112" s="52"/>
      <c r="FI112" s="52"/>
      <c r="FJ112" s="52"/>
      <c r="FK112" s="52"/>
      <c r="FL112" s="52"/>
      <c r="FM112" s="52"/>
      <c r="FN112" s="52"/>
      <c r="FO112" s="52"/>
      <c r="FP112" s="52"/>
      <c r="FQ112" s="52"/>
      <c r="FR112" s="52"/>
      <c r="FS112" s="52"/>
      <c r="FT112" s="52"/>
      <c r="FU112" s="52"/>
      <c r="FV112" s="52"/>
      <c r="FW112" s="52"/>
      <c r="FX112" s="52"/>
      <c r="FY112" s="52"/>
      <c r="FZ112" s="52"/>
      <c r="GA112" s="52"/>
      <c r="GB112" s="52"/>
      <c r="GC112" s="52"/>
      <c r="GD112" s="52"/>
      <c r="GE112" s="52"/>
      <c r="GF112" s="52"/>
      <c r="GG112" s="52"/>
      <c r="GH112" s="52"/>
      <c r="GI112" s="52"/>
      <c r="GJ112" s="52"/>
      <c r="GK112" s="52"/>
      <c r="GL112" s="52"/>
      <c r="GM112" s="52"/>
      <c r="GN112" s="52"/>
      <c r="GO112" s="52"/>
      <c r="GP112" s="52"/>
      <c r="GQ112" s="52"/>
      <c r="GR112" s="52"/>
      <c r="GS112" s="52"/>
      <c r="GT112" s="52"/>
      <c r="GU112" s="52"/>
      <c r="GV112" s="52"/>
      <c r="GW112" s="52"/>
      <c r="GX112" s="52"/>
      <c r="GY112" s="52"/>
      <c r="GZ112" s="52"/>
      <c r="HA112" s="52"/>
      <c r="HB112" s="52"/>
      <c r="HC112" s="52"/>
      <c r="HD112" s="52"/>
      <c r="HE112" s="52"/>
      <c r="HF112" s="52"/>
      <c r="HG112" s="52"/>
      <c r="HH112" s="52"/>
      <c r="HI112" s="52"/>
      <c r="HJ112" s="52"/>
      <c r="HK112" s="52"/>
      <c r="HL112" s="52"/>
      <c r="HM112" s="52"/>
      <c r="HN112" s="52"/>
      <c r="HO112" s="52"/>
      <c r="HP112" s="52"/>
      <c r="HQ112" s="52"/>
      <c r="HR112" s="52"/>
      <c r="HS112" s="52"/>
      <c r="HT112" s="131"/>
      <c r="HU112" s="128"/>
      <c r="HV112" s="131"/>
      <c r="HW112" s="131"/>
      <c r="HX112" s="131"/>
      <c r="HY112" s="131"/>
      <c r="HZ112" s="131"/>
    </row>
    <row r="113" customFormat="false" ht="12.8" hidden="true" customHeight="false" outlineLevel="0" collapsed="false">
      <c r="A113" s="16" t="s">
        <v>53</v>
      </c>
      <c r="B113" s="17" t="s">
        <v>93</v>
      </c>
      <c r="C113" s="156" t="s">
        <v>250</v>
      </c>
      <c r="D113" s="17" t="s">
        <v>254</v>
      </c>
      <c r="E113" s="156" t="s">
        <v>255</v>
      </c>
      <c r="F113" s="17" t="s">
        <v>237</v>
      </c>
      <c r="G113" s="157" t="s">
        <v>728</v>
      </c>
      <c r="H113" s="150"/>
      <c r="I113" s="150"/>
      <c r="J113" s="150"/>
      <c r="K113" s="128" t="n">
        <v>5500</v>
      </c>
      <c r="L113" s="18" t="n">
        <v>3</v>
      </c>
      <c r="M113" s="18" t="n">
        <f aca="false">IF(AD113,1,0)+IF(AK113,1,0)+AN113+AU113+BB113+BI113+BP113+BW113+CD113+CK113+CR113+CY113+DF113+DM113+DT113+EA113+EH113+EO113+EV113+FC113+FJ113+FQ113+FX113+GE113+GL113+GS113+GZ113+HG113+HN113+HU113</f>
        <v>0</v>
      </c>
      <c r="N113" s="131"/>
      <c r="O113" s="147" t="n">
        <v>1700</v>
      </c>
      <c r="P113" s="147" t="n">
        <v>693</v>
      </c>
      <c r="Q113" s="147" t="n">
        <v>181</v>
      </c>
      <c r="R113" s="21" t="s">
        <v>44</v>
      </c>
      <c r="S113" s="21" t="s">
        <v>44</v>
      </c>
      <c r="T113" s="128"/>
      <c r="U113" s="18"/>
      <c r="V113" s="18"/>
      <c r="W113" s="18"/>
      <c r="X113" s="18"/>
      <c r="Y113" s="21" t="s">
        <v>588</v>
      </c>
      <c r="Z113" s="18"/>
      <c r="AA113" s="18"/>
      <c r="AB113" s="18"/>
      <c r="AC113" s="23" t="s">
        <v>637</v>
      </c>
      <c r="AD113" s="128" t="n">
        <v>8</v>
      </c>
      <c r="AE113" s="128"/>
      <c r="AF113" s="128" t="n">
        <v>30</v>
      </c>
      <c r="AG113" s="128" t="n">
        <v>25</v>
      </c>
      <c r="AH113" s="128"/>
      <c r="AI113" s="147" t="s">
        <v>638</v>
      </c>
      <c r="AJ113" s="128"/>
      <c r="AK113" s="128"/>
      <c r="AL113" s="147"/>
      <c r="AM113" s="131"/>
      <c r="AN113" s="128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16"/>
      <c r="CK113" s="16"/>
      <c r="CL113" s="16"/>
      <c r="CM113" s="16"/>
      <c r="CN113" s="16"/>
      <c r="CO113" s="16"/>
      <c r="CP113" s="16"/>
      <c r="CQ113" s="128" t="n">
        <v>5</v>
      </c>
      <c r="CR113" s="128" t="n">
        <v>2</v>
      </c>
      <c r="CS113" s="131" t="s">
        <v>390</v>
      </c>
      <c r="CT113" s="131" t="s">
        <v>391</v>
      </c>
      <c r="CU113" s="131" t="s">
        <v>410</v>
      </c>
      <c r="CV113" s="131" t="s">
        <v>411</v>
      </c>
      <c r="CW113" s="131" t="s">
        <v>415</v>
      </c>
      <c r="CX113" s="131"/>
      <c r="CY113" s="131"/>
      <c r="CZ113" s="131"/>
      <c r="DA113" s="131"/>
      <c r="DB113" s="131"/>
      <c r="DC113" s="131"/>
      <c r="DD113" s="131"/>
      <c r="DE113" s="131"/>
      <c r="DF113" s="131"/>
      <c r="DG113" s="131"/>
      <c r="DH113" s="131"/>
      <c r="DI113" s="131"/>
      <c r="DJ113" s="131"/>
      <c r="DK113" s="131"/>
      <c r="DL113" s="131"/>
      <c r="DM113" s="131"/>
      <c r="DN113" s="131"/>
      <c r="DO113" s="131"/>
      <c r="DP113" s="131"/>
      <c r="DQ113" s="131"/>
      <c r="DR113" s="131"/>
      <c r="DS113" s="131"/>
      <c r="DT113" s="131"/>
      <c r="DU113" s="131"/>
      <c r="DV113" s="131"/>
      <c r="DW113" s="131"/>
      <c r="DX113" s="131"/>
      <c r="DY113" s="131"/>
      <c r="DZ113" s="131"/>
      <c r="EA113" s="131"/>
      <c r="EB113" s="131"/>
      <c r="EC113" s="131"/>
      <c r="ED113" s="131"/>
      <c r="EE113" s="131"/>
      <c r="EF113" s="131"/>
      <c r="EG113" s="131"/>
      <c r="EH113" s="131"/>
      <c r="EI113" s="131"/>
      <c r="EJ113" s="131"/>
      <c r="EK113" s="131"/>
      <c r="EL113" s="131"/>
      <c r="EM113" s="131"/>
      <c r="EN113" s="131"/>
      <c r="EO113" s="131"/>
      <c r="EP113" s="131"/>
      <c r="EQ113" s="131"/>
      <c r="ER113" s="131"/>
      <c r="ES113" s="131"/>
      <c r="ET113" s="131"/>
      <c r="EU113" s="131"/>
      <c r="EV113" s="131"/>
      <c r="EW113" s="131"/>
      <c r="EX113" s="131"/>
      <c r="EY113" s="131"/>
      <c r="EZ113" s="131"/>
      <c r="FA113" s="131"/>
      <c r="FB113" s="128" t="n">
        <v>5</v>
      </c>
      <c r="FC113" s="128" t="n">
        <v>2</v>
      </c>
      <c r="FD113" s="131" t="s">
        <v>451</v>
      </c>
      <c r="FE113" s="131" t="s">
        <v>410</v>
      </c>
      <c r="FF113" s="131" t="s">
        <v>452</v>
      </c>
      <c r="FG113" s="131" t="s">
        <v>453</v>
      </c>
      <c r="FH113" s="131" t="s">
        <v>389</v>
      </c>
      <c r="FI113" s="131"/>
      <c r="FJ113" s="131"/>
      <c r="FK113" s="131"/>
      <c r="FL113" s="131"/>
      <c r="FM113" s="131"/>
      <c r="FN113" s="131"/>
      <c r="FO113" s="131"/>
      <c r="FP113" s="52"/>
      <c r="FQ113" s="52"/>
      <c r="FR113" s="52"/>
      <c r="FS113" s="52"/>
      <c r="FT113" s="52"/>
      <c r="FU113" s="52"/>
      <c r="FV113" s="52"/>
      <c r="FW113" s="52"/>
      <c r="FX113" s="52"/>
      <c r="FY113" s="52"/>
      <c r="FZ113" s="52"/>
      <c r="GA113" s="52"/>
      <c r="GB113" s="52"/>
      <c r="GC113" s="52"/>
      <c r="GD113" s="52"/>
      <c r="GE113" s="52"/>
      <c r="GF113" s="52"/>
      <c r="GG113" s="52"/>
      <c r="GH113" s="52"/>
      <c r="GI113" s="52"/>
      <c r="GJ113" s="52"/>
      <c r="GK113" s="52"/>
      <c r="GL113" s="52"/>
      <c r="GM113" s="52"/>
      <c r="GN113" s="52"/>
      <c r="GO113" s="52"/>
      <c r="GP113" s="52"/>
      <c r="GQ113" s="52"/>
      <c r="GR113" s="52"/>
      <c r="GS113" s="52"/>
      <c r="GT113" s="52"/>
      <c r="GU113" s="52"/>
      <c r="GV113" s="52"/>
      <c r="GW113" s="52"/>
      <c r="GX113" s="52"/>
      <c r="GY113" s="52"/>
      <c r="GZ113" s="52"/>
      <c r="HA113" s="52"/>
      <c r="HB113" s="52"/>
      <c r="HC113" s="52"/>
      <c r="HD113" s="52"/>
      <c r="HE113" s="52"/>
      <c r="HF113" s="52"/>
      <c r="HG113" s="52"/>
      <c r="HH113" s="52"/>
      <c r="HI113" s="52"/>
      <c r="HJ113" s="52"/>
      <c r="HK113" s="52"/>
      <c r="HL113" s="52"/>
      <c r="HM113" s="52"/>
      <c r="HN113" s="52"/>
      <c r="HO113" s="52"/>
      <c r="HP113" s="52"/>
      <c r="HQ113" s="52"/>
      <c r="HR113" s="52"/>
      <c r="HS113" s="52"/>
      <c r="HT113" s="131"/>
      <c r="HU113" s="128"/>
      <c r="HV113" s="131"/>
      <c r="HW113" s="131"/>
      <c r="HX113" s="131"/>
      <c r="HY113" s="131"/>
      <c r="HZ113" s="131"/>
    </row>
    <row r="114" customFormat="false" ht="12.8" hidden="true" customHeight="false" outlineLevel="0" collapsed="false">
      <c r="A114" s="16" t="s">
        <v>53</v>
      </c>
      <c r="B114" s="17" t="s">
        <v>93</v>
      </c>
      <c r="C114" s="140" t="s">
        <v>256</v>
      </c>
      <c r="D114" s="16" t="s">
        <v>257</v>
      </c>
      <c r="E114" s="156" t="s">
        <v>89</v>
      </c>
      <c r="F114" s="17" t="s">
        <v>197</v>
      </c>
      <c r="G114" s="154" t="s">
        <v>648</v>
      </c>
      <c r="H114" s="150"/>
      <c r="I114" s="150"/>
      <c r="J114" s="150"/>
      <c r="K114" s="128" t="n">
        <v>3000</v>
      </c>
      <c r="L114" s="18" t="n">
        <v>0</v>
      </c>
      <c r="M114" s="18" t="n">
        <f aca="false">IF(AD114,1,0)+IF(AK114,1,0)+AN114+AU114+BB114+BI114+BP114+BW114+CD114+CK114+CR114+CY114+DF114+DM114+DT114+EA114+EH114+EO114+EV114+FC114+FJ114+FQ114+FX114+GE114+GL114+GS114+GZ114+HG114+HN114+HU114</f>
        <v>0</v>
      </c>
      <c r="N114" s="131"/>
      <c r="O114" s="147" t="n">
        <v>1500</v>
      </c>
      <c r="P114" s="147" t="n">
        <v>300</v>
      </c>
      <c r="Q114" s="147" t="n">
        <v>45</v>
      </c>
      <c r="R114" s="21" t="s">
        <v>44</v>
      </c>
      <c r="S114" s="18"/>
      <c r="T114" s="18"/>
      <c r="U114" s="18"/>
      <c r="V114" s="18"/>
      <c r="W114" s="18"/>
      <c r="X114" s="18"/>
      <c r="Y114" s="21" t="s">
        <v>541</v>
      </c>
      <c r="Z114" s="18"/>
      <c r="AA114" s="18"/>
      <c r="AB114" s="18"/>
      <c r="AC114" s="131"/>
      <c r="AD114" s="128"/>
      <c r="AE114" s="128"/>
      <c r="AF114" s="128"/>
      <c r="AG114" s="128"/>
      <c r="AH114" s="128"/>
      <c r="AI114" s="147"/>
      <c r="AJ114" s="128"/>
      <c r="AK114" s="128"/>
      <c r="AL114" s="147"/>
      <c r="AM114" s="131"/>
      <c r="AN114" s="128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  <c r="BA114" s="131"/>
      <c r="BB114" s="128"/>
      <c r="BC114" s="131"/>
      <c r="BD114" s="131"/>
      <c r="BE114" s="131"/>
      <c r="BF114" s="131"/>
      <c r="BG114" s="131"/>
      <c r="BH114" s="131"/>
      <c r="BI114" s="131"/>
      <c r="BJ114" s="131"/>
      <c r="BK114" s="131"/>
      <c r="BL114" s="131"/>
      <c r="BM114" s="131"/>
      <c r="BN114" s="131"/>
      <c r="BO114" s="131"/>
      <c r="BP114" s="131"/>
      <c r="BQ114" s="131"/>
      <c r="BR114" s="131"/>
      <c r="BS114" s="131"/>
      <c r="BT114" s="131"/>
      <c r="BU114" s="131"/>
      <c r="BV114" s="131"/>
      <c r="BW114" s="131"/>
      <c r="BX114" s="131"/>
      <c r="BY114" s="131"/>
      <c r="BZ114" s="131"/>
      <c r="CA114" s="131"/>
      <c r="CB114" s="131"/>
      <c r="CC114" s="131"/>
      <c r="CD114" s="131"/>
      <c r="CE114" s="131"/>
      <c r="CF114" s="131"/>
      <c r="CG114" s="131"/>
      <c r="CH114" s="131"/>
      <c r="CI114" s="131"/>
      <c r="CJ114" s="131"/>
      <c r="CK114" s="131"/>
      <c r="CL114" s="131"/>
      <c r="CM114" s="131"/>
      <c r="CN114" s="131"/>
      <c r="CO114" s="131"/>
      <c r="CP114" s="131"/>
      <c r="CQ114" s="131"/>
      <c r="CR114" s="128"/>
      <c r="CS114" s="131"/>
      <c r="CT114" s="131"/>
      <c r="CU114" s="131"/>
      <c r="CV114" s="131"/>
      <c r="CW114" s="131"/>
      <c r="CX114" s="131"/>
      <c r="CY114" s="131"/>
      <c r="CZ114" s="131"/>
      <c r="DA114" s="131"/>
      <c r="DB114" s="131"/>
      <c r="DC114" s="131"/>
      <c r="DD114" s="131"/>
      <c r="DE114" s="131"/>
      <c r="DF114" s="131"/>
      <c r="DG114" s="131"/>
      <c r="DH114" s="131"/>
      <c r="DI114" s="131"/>
      <c r="DJ114" s="131"/>
      <c r="DK114" s="131"/>
      <c r="DL114" s="131"/>
      <c r="DM114" s="131"/>
      <c r="DN114" s="131"/>
      <c r="DO114" s="131"/>
      <c r="DP114" s="131"/>
      <c r="DQ114" s="131"/>
      <c r="DR114" s="131"/>
      <c r="DS114" s="131"/>
      <c r="DT114" s="131"/>
      <c r="DU114" s="131"/>
      <c r="DV114" s="131"/>
      <c r="DW114" s="131"/>
      <c r="DX114" s="131"/>
      <c r="DY114" s="131"/>
      <c r="DZ114" s="131"/>
      <c r="EA114" s="131"/>
      <c r="EB114" s="131"/>
      <c r="EC114" s="131"/>
      <c r="ED114" s="131"/>
      <c r="EE114" s="131"/>
      <c r="EF114" s="131"/>
      <c r="EG114" s="131"/>
      <c r="EH114" s="131"/>
      <c r="EI114" s="131"/>
      <c r="EJ114" s="131"/>
      <c r="EK114" s="131"/>
      <c r="EL114" s="131"/>
      <c r="EM114" s="131"/>
      <c r="EN114" s="131"/>
      <c r="EO114" s="131"/>
      <c r="EP114" s="131"/>
      <c r="EQ114" s="131"/>
      <c r="ER114" s="131"/>
      <c r="ES114" s="131"/>
      <c r="ET114" s="131"/>
      <c r="EU114" s="131"/>
      <c r="EV114" s="131"/>
      <c r="EW114" s="131"/>
      <c r="EX114" s="131"/>
      <c r="EY114" s="131"/>
      <c r="EZ114" s="131"/>
      <c r="FA114" s="131"/>
      <c r="FB114" s="131"/>
      <c r="FC114" s="128"/>
      <c r="FD114" s="131"/>
      <c r="FE114" s="131"/>
      <c r="FF114" s="131"/>
      <c r="FG114" s="131"/>
      <c r="FH114" s="131"/>
      <c r="FI114" s="131"/>
      <c r="FJ114" s="131"/>
      <c r="FK114" s="131"/>
      <c r="FL114" s="131"/>
      <c r="FM114" s="131"/>
      <c r="FN114" s="131"/>
      <c r="FO114" s="131"/>
      <c r="FP114" s="131"/>
      <c r="FQ114" s="131"/>
      <c r="FR114" s="131"/>
      <c r="FS114" s="131"/>
      <c r="FT114" s="131"/>
      <c r="FU114" s="131"/>
      <c r="FV114" s="131"/>
      <c r="FW114" s="131"/>
      <c r="FX114" s="131"/>
      <c r="FY114" s="131"/>
      <c r="FZ114" s="131"/>
      <c r="GA114" s="131"/>
      <c r="GB114" s="131"/>
      <c r="GC114" s="131"/>
      <c r="GD114" s="131"/>
      <c r="GE114" s="131"/>
      <c r="GF114" s="131"/>
      <c r="GG114" s="131"/>
      <c r="GH114" s="131"/>
      <c r="GI114" s="131"/>
      <c r="GJ114" s="131"/>
      <c r="GK114" s="131"/>
      <c r="GL114" s="131"/>
      <c r="GM114" s="131"/>
      <c r="GN114" s="131"/>
      <c r="GO114" s="131"/>
      <c r="GP114" s="131"/>
      <c r="GQ114" s="131"/>
      <c r="GR114" s="131"/>
      <c r="GS114" s="131"/>
      <c r="GT114" s="131"/>
      <c r="GU114" s="131"/>
      <c r="GV114" s="131"/>
      <c r="GW114" s="131"/>
      <c r="GX114" s="131"/>
      <c r="GY114" s="131"/>
      <c r="GZ114" s="131"/>
      <c r="HA114" s="131"/>
      <c r="HB114" s="131"/>
      <c r="HC114" s="131"/>
      <c r="HD114" s="131"/>
      <c r="HE114" s="131"/>
      <c r="HF114" s="131"/>
      <c r="HG114" s="128"/>
      <c r="HH114" s="131"/>
      <c r="HI114" s="131"/>
      <c r="HJ114" s="131"/>
      <c r="HK114" s="131"/>
      <c r="HL114" s="131"/>
      <c r="HM114" s="131"/>
      <c r="HN114" s="128"/>
      <c r="HO114" s="131"/>
      <c r="HP114" s="131"/>
      <c r="HQ114" s="131"/>
      <c r="HR114" s="131"/>
      <c r="HS114" s="131"/>
      <c r="HT114" s="131"/>
      <c r="HU114" s="128"/>
      <c r="HV114" s="131"/>
      <c r="HW114" s="131"/>
      <c r="HX114" s="131"/>
      <c r="HY114" s="131"/>
      <c r="HZ114" s="131"/>
    </row>
    <row r="115" customFormat="false" ht="12.8" hidden="false" customHeight="false" outlineLevel="0" collapsed="false">
      <c r="A115" s="36" t="s">
        <v>258</v>
      </c>
      <c r="B115" s="36" t="s">
        <v>98</v>
      </c>
      <c r="C115" s="35" t="s">
        <v>259</v>
      </c>
      <c r="D115" s="35" t="s">
        <v>260</v>
      </c>
      <c r="E115" s="58" t="s">
        <v>89</v>
      </c>
      <c r="F115" s="35" t="s">
        <v>188</v>
      </c>
      <c r="G115" s="154" t="s">
        <v>731</v>
      </c>
      <c r="H115" s="148" t="s">
        <v>92</v>
      </c>
      <c r="I115" s="150"/>
      <c r="J115" s="150"/>
      <c r="K115" s="39" t="n">
        <v>7000</v>
      </c>
      <c r="L115" s="18" t="n">
        <v>4</v>
      </c>
      <c r="M115" s="18" t="n">
        <f aca="false">IF(AD115,1,0)+IF(AK115,1,0)+AN115+AU115+BB115+BI115+BP115+BW115+CD115+CK115+CR115+CY115+DF115+DM115+DT115+EA115+EH115+EO115+EV115+FC115+FJ115+FQ115+FX115+GE115+GL115+GS115+GZ115+HG115+HN115+HU115</f>
        <v>0</v>
      </c>
      <c r="N115" s="131"/>
      <c r="O115" s="147" t="n">
        <v>3866</v>
      </c>
      <c r="P115" s="147" t="n">
        <v>1652</v>
      </c>
      <c r="Q115" s="147" t="n">
        <v>273</v>
      </c>
      <c r="R115" s="21" t="s">
        <v>44</v>
      </c>
      <c r="S115" s="21" t="s">
        <v>44</v>
      </c>
      <c r="T115" s="18"/>
      <c r="U115" s="18"/>
      <c r="V115" s="18"/>
      <c r="W115" s="18"/>
      <c r="X115" s="18"/>
      <c r="Y115" s="18"/>
      <c r="Z115" s="18"/>
      <c r="AA115" s="18"/>
      <c r="AB115" s="18"/>
      <c r="AC115" s="131"/>
      <c r="AD115" s="128"/>
      <c r="AE115" s="128"/>
      <c r="AF115" s="128"/>
      <c r="AG115" s="128"/>
      <c r="AH115" s="128"/>
      <c r="AI115" s="147"/>
      <c r="AJ115" s="128"/>
      <c r="AK115" s="128"/>
      <c r="AL115" s="147"/>
      <c r="AM115" s="131"/>
      <c r="AN115" s="128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/>
      <c r="AZ115" s="131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16"/>
      <c r="CK115" s="16"/>
      <c r="CL115" s="16"/>
      <c r="CM115" s="16"/>
      <c r="CN115" s="16"/>
      <c r="CO115" s="16"/>
      <c r="CP115" s="16"/>
      <c r="CQ115" s="128" t="n">
        <v>6</v>
      </c>
      <c r="CR115" s="128" t="n">
        <v>1</v>
      </c>
      <c r="CS115" s="131" t="s">
        <v>390</v>
      </c>
      <c r="CT115" s="131" t="s">
        <v>391</v>
      </c>
      <c r="CU115" s="131" t="s">
        <v>410</v>
      </c>
      <c r="CV115" s="131" t="s">
        <v>411</v>
      </c>
      <c r="CW115" s="131" t="s">
        <v>399</v>
      </c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2"/>
      <c r="DI115" s="52"/>
      <c r="DJ115" s="52"/>
      <c r="DK115" s="52"/>
      <c r="DL115" s="52"/>
      <c r="DM115" s="52"/>
      <c r="DN115" s="52"/>
      <c r="DO115" s="52"/>
      <c r="DP115" s="52"/>
      <c r="DQ115" s="52"/>
      <c r="DR115" s="52"/>
      <c r="DS115" s="52"/>
      <c r="DT115" s="52"/>
      <c r="DU115" s="52"/>
      <c r="DV115" s="52"/>
      <c r="DW115" s="52"/>
      <c r="DX115" s="52"/>
      <c r="DY115" s="52"/>
      <c r="DZ115" s="52"/>
      <c r="EA115" s="52"/>
      <c r="EB115" s="52"/>
      <c r="EC115" s="52"/>
      <c r="ED115" s="52"/>
      <c r="EE115" s="52"/>
      <c r="EF115" s="52"/>
      <c r="EG115" s="52"/>
      <c r="EH115" s="52"/>
      <c r="EI115" s="52"/>
      <c r="EJ115" s="52"/>
      <c r="EK115" s="52"/>
      <c r="EL115" s="52"/>
      <c r="EM115" s="52"/>
      <c r="EN115" s="52"/>
      <c r="EO115" s="52"/>
      <c r="EP115" s="52"/>
      <c r="EQ115" s="52"/>
      <c r="ER115" s="52"/>
      <c r="ES115" s="52"/>
      <c r="ET115" s="52"/>
      <c r="EU115" s="52"/>
      <c r="EV115" s="52"/>
      <c r="EW115" s="52"/>
      <c r="EX115" s="52"/>
      <c r="EY115" s="52"/>
      <c r="EZ115" s="52"/>
      <c r="FA115" s="52"/>
      <c r="FB115" s="128" t="n">
        <v>6</v>
      </c>
      <c r="FC115" s="128" t="n">
        <v>2</v>
      </c>
      <c r="FD115" s="131" t="s">
        <v>451</v>
      </c>
      <c r="FE115" s="131" t="s">
        <v>410</v>
      </c>
      <c r="FF115" s="131" t="s">
        <v>452</v>
      </c>
      <c r="FG115" s="131" t="s">
        <v>453</v>
      </c>
      <c r="FH115" s="131" t="s">
        <v>378</v>
      </c>
      <c r="FI115" s="52"/>
      <c r="FJ115" s="52"/>
      <c r="FK115" s="52"/>
      <c r="FL115" s="52"/>
      <c r="FM115" s="52"/>
      <c r="FN115" s="52"/>
      <c r="FO115" s="52"/>
      <c r="FP115" s="52"/>
      <c r="FQ115" s="52"/>
      <c r="FR115" s="52"/>
      <c r="FS115" s="52"/>
      <c r="FT115" s="52"/>
      <c r="FU115" s="52"/>
      <c r="FV115" s="52"/>
      <c r="FW115" s="52"/>
      <c r="FX115" s="52"/>
      <c r="FY115" s="52"/>
      <c r="FZ115" s="52"/>
      <c r="GA115" s="52"/>
      <c r="GB115" s="52"/>
      <c r="GC115" s="52"/>
      <c r="GD115" s="52"/>
      <c r="GE115" s="52"/>
      <c r="GF115" s="52"/>
      <c r="GG115" s="52"/>
      <c r="GH115" s="52"/>
      <c r="GI115" s="52"/>
      <c r="GJ115" s="52"/>
      <c r="GK115" s="52"/>
      <c r="GL115" s="52"/>
      <c r="GM115" s="52"/>
      <c r="GN115" s="52"/>
      <c r="GO115" s="52"/>
      <c r="GP115" s="52"/>
      <c r="GQ115" s="52"/>
      <c r="GR115" s="52"/>
      <c r="GS115" s="52"/>
      <c r="GT115" s="52"/>
      <c r="GU115" s="52"/>
      <c r="GV115" s="52"/>
      <c r="GW115" s="52"/>
      <c r="GX115" s="52"/>
      <c r="GY115" s="52"/>
      <c r="GZ115" s="52"/>
      <c r="HA115" s="52"/>
      <c r="HB115" s="52"/>
      <c r="HC115" s="52"/>
      <c r="HD115" s="52"/>
      <c r="HE115" s="52"/>
      <c r="HF115" s="128" t="n">
        <v>6</v>
      </c>
      <c r="HG115" s="128" t="n">
        <v>1</v>
      </c>
      <c r="HH115" s="131" t="s">
        <v>451</v>
      </c>
      <c r="HI115" s="131" t="s">
        <v>410</v>
      </c>
      <c r="HJ115" s="131" t="s">
        <v>452</v>
      </c>
      <c r="HK115" s="131" t="s">
        <v>453</v>
      </c>
      <c r="HL115" s="131" t="s">
        <v>378</v>
      </c>
      <c r="HM115" s="128" t="n">
        <v>6</v>
      </c>
      <c r="HN115" s="128" t="n">
        <v>1</v>
      </c>
      <c r="HO115" s="131" t="s">
        <v>451</v>
      </c>
      <c r="HP115" s="131" t="s">
        <v>410</v>
      </c>
      <c r="HQ115" s="131" t="s">
        <v>452</v>
      </c>
      <c r="HR115" s="131" t="s">
        <v>453</v>
      </c>
      <c r="HS115" s="131" t="s">
        <v>378</v>
      </c>
      <c r="HT115" s="131"/>
      <c r="HU115" s="128"/>
      <c r="HV115" s="131"/>
      <c r="HW115" s="131"/>
      <c r="HX115" s="131"/>
      <c r="HY115" s="131"/>
      <c r="HZ115" s="131"/>
    </row>
    <row r="116" customFormat="false" ht="12.8" hidden="false" customHeight="false" outlineLevel="0" collapsed="false">
      <c r="A116" s="36" t="s">
        <v>258</v>
      </c>
      <c r="B116" s="36" t="s">
        <v>98</v>
      </c>
      <c r="C116" s="35" t="s">
        <v>259</v>
      </c>
      <c r="D116" s="35" t="s">
        <v>261</v>
      </c>
      <c r="E116" s="58" t="s">
        <v>87</v>
      </c>
      <c r="F116" s="35" t="s">
        <v>116</v>
      </c>
      <c r="G116" s="157"/>
      <c r="H116" s="150"/>
      <c r="I116" s="150"/>
      <c r="J116" s="150"/>
      <c r="K116" s="39" t="n">
        <v>7000</v>
      </c>
      <c r="L116" s="18"/>
      <c r="M116" s="18" t="n">
        <f aca="false">IF(AD116,1,0)+IF(AK116,1,0)+AN116+AU116+BB116+BI116+BP116+BW116+CD116+CK116+CR116+CY116+DF116+DM116+DT116+EA116+EH116+EO116+EV116+FC116+FJ116+FQ116+FX116+GE116+GL116+GS116+GZ116+HG116+HN116+HU116</f>
        <v>0</v>
      </c>
      <c r="N116" s="131"/>
      <c r="O116" s="147"/>
      <c r="P116" s="147"/>
      <c r="Q116" s="147"/>
      <c r="R116" s="12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31"/>
      <c r="AD116" s="128"/>
      <c r="AE116" s="128"/>
      <c r="AF116" s="128"/>
      <c r="AG116" s="128"/>
      <c r="AH116" s="128"/>
      <c r="AI116" s="147"/>
      <c r="AJ116" s="128"/>
      <c r="AK116" s="128"/>
      <c r="AL116" s="147"/>
      <c r="AM116" s="131"/>
      <c r="AN116" s="128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16"/>
      <c r="CK116" s="16"/>
      <c r="CL116" s="16"/>
      <c r="CM116" s="16"/>
      <c r="CN116" s="16"/>
      <c r="CO116" s="16"/>
      <c r="CP116" s="16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2"/>
      <c r="DN116" s="52"/>
      <c r="DO116" s="52"/>
      <c r="DP116" s="52"/>
      <c r="DQ116" s="52"/>
      <c r="DR116" s="52"/>
      <c r="DS116" s="52"/>
      <c r="DT116" s="52"/>
      <c r="DU116" s="52"/>
      <c r="DV116" s="52"/>
      <c r="DW116" s="52"/>
      <c r="DX116" s="52"/>
      <c r="DY116" s="52"/>
      <c r="DZ116" s="52"/>
      <c r="EA116" s="52"/>
      <c r="EB116" s="52"/>
      <c r="EC116" s="52"/>
      <c r="ED116" s="52"/>
      <c r="EE116" s="52"/>
      <c r="EF116" s="52"/>
      <c r="EG116" s="52"/>
      <c r="EH116" s="52"/>
      <c r="EI116" s="52"/>
      <c r="EJ116" s="52"/>
      <c r="EK116" s="52"/>
      <c r="EL116" s="52"/>
      <c r="EM116" s="52"/>
      <c r="EN116" s="52"/>
      <c r="EO116" s="52"/>
      <c r="EP116" s="52"/>
      <c r="EQ116" s="52"/>
      <c r="ER116" s="52"/>
      <c r="ES116" s="52"/>
      <c r="ET116" s="52"/>
      <c r="EU116" s="52"/>
      <c r="EV116" s="52"/>
      <c r="EW116" s="52"/>
      <c r="EX116" s="52"/>
      <c r="EY116" s="52"/>
      <c r="EZ116" s="52"/>
      <c r="FA116" s="52"/>
      <c r="FB116" s="52"/>
      <c r="FC116" s="52"/>
      <c r="FD116" s="52"/>
      <c r="FE116" s="52"/>
      <c r="FF116" s="52"/>
      <c r="FG116" s="52"/>
      <c r="FH116" s="52"/>
      <c r="FI116" s="52"/>
      <c r="FJ116" s="52"/>
      <c r="FK116" s="52"/>
      <c r="FL116" s="52"/>
      <c r="FM116" s="52"/>
      <c r="FN116" s="52"/>
      <c r="FO116" s="52"/>
      <c r="FP116" s="52"/>
      <c r="FQ116" s="52"/>
      <c r="FR116" s="52"/>
      <c r="FS116" s="52"/>
      <c r="FT116" s="52"/>
      <c r="FU116" s="52"/>
      <c r="FV116" s="52"/>
      <c r="FW116" s="52"/>
      <c r="FX116" s="52"/>
      <c r="FY116" s="52"/>
      <c r="FZ116" s="52"/>
      <c r="GA116" s="52"/>
      <c r="GB116" s="52"/>
      <c r="GC116" s="52"/>
      <c r="GD116" s="52"/>
      <c r="GE116" s="52"/>
      <c r="GF116" s="52"/>
      <c r="GG116" s="52"/>
      <c r="GH116" s="52"/>
      <c r="GI116" s="52"/>
      <c r="GJ116" s="52"/>
      <c r="GK116" s="52"/>
      <c r="GL116" s="52"/>
      <c r="GM116" s="52"/>
      <c r="GN116" s="52"/>
      <c r="GO116" s="52"/>
      <c r="GP116" s="52"/>
      <c r="GQ116" s="52"/>
      <c r="GR116" s="52"/>
      <c r="GS116" s="52"/>
      <c r="GT116" s="52"/>
      <c r="GU116" s="52"/>
      <c r="GV116" s="52"/>
      <c r="GW116" s="52"/>
      <c r="GX116" s="52"/>
      <c r="GY116" s="52"/>
      <c r="GZ116" s="52"/>
      <c r="HA116" s="52"/>
      <c r="HB116" s="52"/>
      <c r="HC116" s="52"/>
      <c r="HD116" s="52"/>
      <c r="HE116" s="52"/>
      <c r="HF116" s="52"/>
      <c r="HG116" s="52"/>
      <c r="HH116" s="52"/>
      <c r="HI116" s="52"/>
      <c r="HJ116" s="52"/>
      <c r="HK116" s="52"/>
      <c r="HL116" s="52"/>
      <c r="HM116" s="52"/>
      <c r="HN116" s="52"/>
      <c r="HO116" s="52"/>
      <c r="HP116" s="52"/>
      <c r="HQ116" s="52"/>
      <c r="HR116" s="52"/>
      <c r="HS116" s="52"/>
      <c r="HT116" s="131"/>
      <c r="HU116" s="128"/>
      <c r="HV116" s="131"/>
      <c r="HW116" s="131"/>
      <c r="HX116" s="131"/>
      <c r="HY116" s="131"/>
      <c r="HZ116" s="131"/>
    </row>
    <row r="117" customFormat="false" ht="12.8" hidden="false" customHeight="false" outlineLevel="0" collapsed="false">
      <c r="A117" s="16" t="s">
        <v>258</v>
      </c>
      <c r="B117" s="16" t="s">
        <v>98</v>
      </c>
      <c r="C117" s="16" t="s">
        <v>262</v>
      </c>
      <c r="D117" s="17" t="s">
        <v>263</v>
      </c>
      <c r="E117" s="156" t="s">
        <v>89</v>
      </c>
      <c r="F117" s="16" t="s">
        <v>148</v>
      </c>
      <c r="G117" s="154" t="s">
        <v>649</v>
      </c>
      <c r="H117" s="148" t="s">
        <v>92</v>
      </c>
      <c r="I117" s="150"/>
      <c r="J117" s="150"/>
      <c r="K117" s="39" t="n">
        <v>7000</v>
      </c>
      <c r="L117" s="18" t="n">
        <v>5</v>
      </c>
      <c r="M117" s="18" t="n">
        <f aca="false">IF(AD117,1,0)+IF(AK117,1,0)+AN117+AU117+BB117+BI117+BP117+BW117+CD117+CK117+CR117+CY117+DF117+DM117+DT117+EA117+EH117+EO117+EV117+FC117+FJ117+FQ117+FX117+GE117+GL117+GS117+GZ117+HG117+HN117+HU117</f>
        <v>0</v>
      </c>
      <c r="N117" s="131"/>
      <c r="O117" s="147" t="n">
        <v>2971</v>
      </c>
      <c r="P117" s="147" t="n">
        <v>712</v>
      </c>
      <c r="Q117" s="147" t="n">
        <v>59</v>
      </c>
      <c r="R117" s="21" t="s">
        <v>45</v>
      </c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23" t="s">
        <v>637</v>
      </c>
      <c r="AD117" s="128" t="n">
        <v>8</v>
      </c>
      <c r="AE117" s="128"/>
      <c r="AF117" s="128" t="n">
        <v>30</v>
      </c>
      <c r="AG117" s="128" t="n">
        <v>25</v>
      </c>
      <c r="AH117" s="128"/>
      <c r="AI117" s="147" t="s">
        <v>638</v>
      </c>
      <c r="AJ117" s="128"/>
      <c r="AK117" s="128"/>
      <c r="AL117" s="147"/>
      <c r="AM117" s="131"/>
      <c r="AN117" s="128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16"/>
      <c r="CK117" s="16"/>
      <c r="CL117" s="16"/>
      <c r="CM117" s="16"/>
      <c r="CN117" s="16"/>
      <c r="CO117" s="16"/>
      <c r="CP117" s="16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128" t="n">
        <v>7</v>
      </c>
      <c r="DF117" s="128" t="n">
        <v>2</v>
      </c>
      <c r="DG117" s="131" t="s">
        <v>390</v>
      </c>
      <c r="DH117" s="131" t="s">
        <v>391</v>
      </c>
      <c r="DI117" s="131" t="s">
        <v>410</v>
      </c>
      <c r="DJ117" s="131" t="s">
        <v>384</v>
      </c>
      <c r="DK117" s="131" t="s">
        <v>399</v>
      </c>
      <c r="DL117" s="52"/>
      <c r="DM117" s="52"/>
      <c r="DN117" s="52"/>
      <c r="DO117" s="52"/>
      <c r="DP117" s="52"/>
      <c r="DQ117" s="52"/>
      <c r="DR117" s="52"/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  <c r="FB117" s="128" t="n">
        <v>7</v>
      </c>
      <c r="FC117" s="128" t="n">
        <v>2</v>
      </c>
      <c r="FD117" s="131" t="s">
        <v>451</v>
      </c>
      <c r="FE117" s="131" t="s">
        <v>410</v>
      </c>
      <c r="FF117" s="131" t="s">
        <v>452</v>
      </c>
      <c r="FG117" s="131" t="s">
        <v>574</v>
      </c>
      <c r="FH117" s="131" t="s">
        <v>378</v>
      </c>
      <c r="FI117" s="52"/>
      <c r="FJ117" s="52"/>
      <c r="FK117" s="52"/>
      <c r="FL117" s="52"/>
      <c r="FM117" s="52"/>
      <c r="FN117" s="52"/>
      <c r="FO117" s="52"/>
      <c r="FP117" s="52"/>
      <c r="FQ117" s="52"/>
      <c r="FR117" s="52"/>
      <c r="FS117" s="52"/>
      <c r="FT117" s="52"/>
      <c r="FU117" s="52"/>
      <c r="FV117" s="52"/>
      <c r="FW117" s="52"/>
      <c r="FX117" s="52"/>
      <c r="FY117" s="52"/>
      <c r="FZ117" s="52"/>
      <c r="GA117" s="52"/>
      <c r="GB117" s="52"/>
      <c r="GC117" s="52"/>
      <c r="GD117" s="52"/>
      <c r="GE117" s="52"/>
      <c r="GF117" s="52"/>
      <c r="GG117" s="52"/>
      <c r="GH117" s="52"/>
      <c r="GI117" s="52"/>
      <c r="GJ117" s="52"/>
      <c r="GK117" s="52"/>
      <c r="GL117" s="52"/>
      <c r="GM117" s="52"/>
      <c r="GN117" s="52"/>
      <c r="GO117" s="52"/>
      <c r="GP117" s="52"/>
      <c r="GQ117" s="52"/>
      <c r="GR117" s="52"/>
      <c r="GS117" s="52"/>
      <c r="GT117" s="52"/>
      <c r="GU117" s="52"/>
      <c r="GV117" s="52"/>
      <c r="GW117" s="52"/>
      <c r="GX117" s="52"/>
      <c r="GY117" s="52"/>
      <c r="GZ117" s="52"/>
      <c r="HA117" s="52"/>
      <c r="HB117" s="52"/>
      <c r="HC117" s="52"/>
      <c r="HD117" s="52"/>
      <c r="HE117" s="52"/>
      <c r="HF117" s="128" t="n">
        <v>7</v>
      </c>
      <c r="HG117" s="128" t="n">
        <v>2</v>
      </c>
      <c r="HH117" s="131" t="s">
        <v>451</v>
      </c>
      <c r="HI117" s="131" t="s">
        <v>410</v>
      </c>
      <c r="HJ117" s="131" t="s">
        <v>452</v>
      </c>
      <c r="HK117" s="131" t="s">
        <v>574</v>
      </c>
      <c r="HL117" s="131" t="s">
        <v>378</v>
      </c>
      <c r="HM117" s="52"/>
      <c r="HN117" s="52"/>
      <c r="HO117" s="52"/>
      <c r="HP117" s="52"/>
      <c r="HQ117" s="52"/>
      <c r="HR117" s="52"/>
      <c r="HS117" s="52"/>
      <c r="HT117" s="131"/>
      <c r="HU117" s="128"/>
      <c r="HV117" s="131"/>
      <c r="HW117" s="131"/>
      <c r="HX117" s="131"/>
      <c r="HY117" s="131"/>
      <c r="HZ117" s="131"/>
    </row>
    <row r="118" customFormat="false" ht="12.8" hidden="false" customHeight="false" outlineLevel="0" collapsed="false">
      <c r="A118" s="16" t="s">
        <v>258</v>
      </c>
      <c r="B118" s="16" t="s">
        <v>98</v>
      </c>
      <c r="C118" s="16" t="s">
        <v>262</v>
      </c>
      <c r="D118" s="17" t="s">
        <v>263</v>
      </c>
      <c r="E118" s="156" t="s">
        <v>89</v>
      </c>
      <c r="F118" s="16" t="s">
        <v>148</v>
      </c>
      <c r="G118" s="154" t="s">
        <v>732</v>
      </c>
      <c r="H118" s="150"/>
      <c r="I118" s="150"/>
      <c r="J118" s="150"/>
      <c r="K118" s="39" t="n">
        <v>7000</v>
      </c>
      <c r="L118" s="18" t="n">
        <v>4</v>
      </c>
      <c r="M118" s="18" t="n">
        <f aca="false">IF(AD118,1,0)+IF(AK118,1,0)+AN118+AU118+BB118+BI118+BP118+BW118+CD118+CK118+CR118+CY118+DF118+DM118+DT118+EA118+EH118+EO118+EV118+FC118+FJ118+FQ118+FX118+GE118+GL118+GS118+GZ118+HG118+HN118+HU118</f>
        <v>0</v>
      </c>
      <c r="N118" s="131"/>
      <c r="O118" s="147" t="n">
        <v>1200</v>
      </c>
      <c r="P118" s="147" t="n">
        <v>1440</v>
      </c>
      <c r="Q118" s="147" t="n">
        <v>60</v>
      </c>
      <c r="R118" s="21" t="s">
        <v>44</v>
      </c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31"/>
      <c r="AD118" s="128"/>
      <c r="AE118" s="128"/>
      <c r="AF118" s="128"/>
      <c r="AG118" s="128"/>
      <c r="AH118" s="128"/>
      <c r="AI118" s="147"/>
      <c r="AJ118" s="128"/>
      <c r="AK118" s="128"/>
      <c r="AL118" s="147"/>
      <c r="AM118" s="131"/>
      <c r="AN118" s="128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16"/>
      <c r="CK118" s="16"/>
      <c r="CL118" s="16"/>
      <c r="CM118" s="16"/>
      <c r="CN118" s="16"/>
      <c r="CO118" s="16"/>
      <c r="CP118" s="16"/>
      <c r="CQ118" s="128" t="n">
        <v>3</v>
      </c>
      <c r="CR118" s="128" t="n">
        <v>1</v>
      </c>
      <c r="CS118" s="131" t="s">
        <v>473</v>
      </c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  <c r="DN118" s="52"/>
      <c r="DO118" s="52"/>
      <c r="DP118" s="52"/>
      <c r="DQ118" s="52"/>
      <c r="DR118" s="52"/>
      <c r="DS118" s="52"/>
      <c r="DT118" s="52"/>
      <c r="DU118" s="52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  <c r="FB118" s="128" t="n">
        <v>3</v>
      </c>
      <c r="FC118" s="128" t="n">
        <v>2</v>
      </c>
      <c r="FD118" s="131" t="s">
        <v>607</v>
      </c>
      <c r="FE118" s="52"/>
      <c r="FF118" s="52"/>
      <c r="FG118" s="52"/>
      <c r="FH118" s="52"/>
      <c r="FI118" s="52"/>
      <c r="FJ118" s="52"/>
      <c r="FK118" s="52"/>
      <c r="FL118" s="52"/>
      <c r="FM118" s="52"/>
      <c r="FN118" s="52"/>
      <c r="FO118" s="52"/>
      <c r="FP118" s="52"/>
      <c r="FQ118" s="52"/>
      <c r="FR118" s="52"/>
      <c r="FS118" s="52"/>
      <c r="FT118" s="52"/>
      <c r="FU118" s="52"/>
      <c r="FV118" s="52"/>
      <c r="FW118" s="52"/>
      <c r="FX118" s="52"/>
      <c r="FY118" s="52"/>
      <c r="FZ118" s="52"/>
      <c r="GA118" s="52"/>
      <c r="GB118" s="52"/>
      <c r="GC118" s="52"/>
      <c r="GD118" s="52"/>
      <c r="GE118" s="52"/>
      <c r="GF118" s="52"/>
      <c r="GG118" s="52"/>
      <c r="GH118" s="52"/>
      <c r="GI118" s="52"/>
      <c r="GJ118" s="52"/>
      <c r="GK118" s="52"/>
      <c r="GL118" s="52"/>
      <c r="GM118" s="52"/>
      <c r="GN118" s="52"/>
      <c r="GO118" s="52"/>
      <c r="GP118" s="52"/>
      <c r="GQ118" s="52"/>
      <c r="GR118" s="52"/>
      <c r="GS118" s="52"/>
      <c r="GT118" s="52"/>
      <c r="GU118" s="52"/>
      <c r="GV118" s="52"/>
      <c r="GW118" s="52"/>
      <c r="GX118" s="52"/>
      <c r="GY118" s="52"/>
      <c r="GZ118" s="52"/>
      <c r="HA118" s="52"/>
      <c r="HB118" s="52"/>
      <c r="HC118" s="52"/>
      <c r="HD118" s="52"/>
      <c r="HE118" s="52"/>
      <c r="HF118" s="128" t="n">
        <v>3</v>
      </c>
      <c r="HG118" s="128" t="n">
        <v>1</v>
      </c>
      <c r="HH118" s="131" t="s">
        <v>607</v>
      </c>
      <c r="HI118" s="52"/>
      <c r="HJ118" s="52"/>
      <c r="HK118" s="52"/>
      <c r="HL118" s="52"/>
      <c r="HM118" s="128" t="n">
        <v>3</v>
      </c>
      <c r="HN118" s="128" t="n">
        <v>1</v>
      </c>
      <c r="HO118" s="131" t="s">
        <v>607</v>
      </c>
      <c r="HP118" s="52"/>
      <c r="HQ118" s="52"/>
      <c r="HR118" s="52"/>
      <c r="HS118" s="52"/>
      <c r="HT118" s="131"/>
      <c r="HU118" s="128"/>
      <c r="HV118" s="131"/>
      <c r="HW118" s="131"/>
      <c r="HX118" s="131"/>
      <c r="HY118" s="131"/>
      <c r="HZ118" s="131"/>
    </row>
    <row r="119" customFormat="false" ht="12.8" hidden="false" customHeight="false" outlineLevel="0" collapsed="false">
      <c r="A119" s="16" t="s">
        <v>258</v>
      </c>
      <c r="B119" s="16" t="s">
        <v>98</v>
      </c>
      <c r="C119" s="16" t="s">
        <v>262</v>
      </c>
      <c r="D119" s="16" t="s">
        <v>264</v>
      </c>
      <c r="E119" s="156" t="s">
        <v>87</v>
      </c>
      <c r="F119" s="16" t="s">
        <v>238</v>
      </c>
      <c r="G119" s="157"/>
      <c r="H119" s="150"/>
      <c r="I119" s="150"/>
      <c r="J119" s="150"/>
      <c r="K119" s="39" t="n">
        <v>7000</v>
      </c>
      <c r="L119" s="18"/>
      <c r="M119" s="18" t="n">
        <f aca="false">IF(AD119,1,0)+IF(AK119,1,0)+AN119+AU119+BB119+BI119+BP119+BW119+CD119+CK119+CR119+CY119+DF119+DM119+DT119+EA119+EH119+EO119+EV119+FC119+FJ119+FQ119+FX119+GE119+GL119+GS119+GZ119+HG119+HN119+HU119</f>
        <v>0</v>
      </c>
      <c r="N119" s="131"/>
      <c r="O119" s="147"/>
      <c r="P119" s="147"/>
      <c r="Q119" s="147"/>
      <c r="R119" s="12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31"/>
      <c r="AD119" s="128"/>
      <c r="AE119" s="128"/>
      <c r="AF119" s="128"/>
      <c r="AG119" s="128"/>
      <c r="AH119" s="128"/>
      <c r="AI119" s="147"/>
      <c r="AJ119" s="128"/>
      <c r="AK119" s="128"/>
      <c r="AL119" s="147"/>
      <c r="AM119" s="131"/>
      <c r="AN119" s="128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16"/>
      <c r="CK119" s="16"/>
      <c r="CL119" s="16"/>
      <c r="CM119" s="16"/>
      <c r="CN119" s="16"/>
      <c r="CO119" s="16"/>
      <c r="CP119" s="16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2"/>
      <c r="DN119" s="52"/>
      <c r="DO119" s="52"/>
      <c r="DP119" s="52"/>
      <c r="DQ119" s="52"/>
      <c r="DR119" s="52"/>
      <c r="DS119" s="52"/>
      <c r="DT119" s="52"/>
      <c r="DU119" s="52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  <c r="FB119" s="52"/>
      <c r="FC119" s="52"/>
      <c r="FD119" s="52"/>
      <c r="FE119" s="52"/>
      <c r="FF119" s="52"/>
      <c r="FG119" s="52"/>
      <c r="FH119" s="52"/>
      <c r="FI119" s="52"/>
      <c r="FJ119" s="52"/>
      <c r="FK119" s="52"/>
      <c r="FL119" s="52"/>
      <c r="FM119" s="52"/>
      <c r="FN119" s="52"/>
      <c r="FO119" s="52"/>
      <c r="FP119" s="52"/>
      <c r="FQ119" s="52"/>
      <c r="FR119" s="52"/>
      <c r="FS119" s="52"/>
      <c r="FT119" s="52"/>
      <c r="FU119" s="52"/>
      <c r="FV119" s="52"/>
      <c r="FW119" s="52"/>
      <c r="FX119" s="52"/>
      <c r="FY119" s="52"/>
      <c r="FZ119" s="52"/>
      <c r="GA119" s="52"/>
      <c r="GB119" s="52"/>
      <c r="GC119" s="52"/>
      <c r="GD119" s="52"/>
      <c r="GE119" s="52"/>
      <c r="GF119" s="52"/>
      <c r="GG119" s="52"/>
      <c r="GH119" s="52"/>
      <c r="GI119" s="52"/>
      <c r="GJ119" s="52"/>
      <c r="GK119" s="52"/>
      <c r="GL119" s="52"/>
      <c r="GM119" s="52"/>
      <c r="GN119" s="52"/>
      <c r="GO119" s="52"/>
      <c r="GP119" s="52"/>
      <c r="GQ119" s="52"/>
      <c r="GR119" s="52"/>
      <c r="GS119" s="52"/>
      <c r="GT119" s="52"/>
      <c r="GU119" s="52"/>
      <c r="GV119" s="52"/>
      <c r="GW119" s="52"/>
      <c r="GX119" s="52"/>
      <c r="GY119" s="52"/>
      <c r="GZ119" s="52"/>
      <c r="HA119" s="52"/>
      <c r="HB119" s="52"/>
      <c r="HC119" s="52"/>
      <c r="HD119" s="52"/>
      <c r="HE119" s="52"/>
      <c r="HF119" s="52"/>
      <c r="HG119" s="52"/>
      <c r="HH119" s="52"/>
      <c r="HI119" s="52"/>
      <c r="HJ119" s="52"/>
      <c r="HK119" s="52"/>
      <c r="HL119" s="52"/>
      <c r="HM119" s="52"/>
      <c r="HN119" s="52"/>
      <c r="HO119" s="52"/>
      <c r="HP119" s="52"/>
      <c r="HQ119" s="52"/>
      <c r="HR119" s="52"/>
      <c r="HS119" s="52"/>
      <c r="HT119" s="131"/>
      <c r="HU119" s="128"/>
      <c r="HV119" s="131"/>
      <c r="HW119" s="131"/>
      <c r="HX119" s="131"/>
      <c r="HY119" s="131"/>
      <c r="HZ119" s="131"/>
    </row>
    <row r="120" customFormat="false" ht="12.8" hidden="false" customHeight="false" outlineLevel="0" collapsed="false">
      <c r="A120" s="16" t="s">
        <v>258</v>
      </c>
      <c r="B120" s="16" t="s">
        <v>98</v>
      </c>
      <c r="C120" s="16" t="s">
        <v>262</v>
      </c>
      <c r="D120" s="16" t="s">
        <v>265</v>
      </c>
      <c r="E120" s="156" t="s">
        <v>88</v>
      </c>
      <c r="F120" s="16" t="s">
        <v>163</v>
      </c>
      <c r="G120" s="157"/>
      <c r="H120" s="150"/>
      <c r="I120" s="150"/>
      <c r="J120" s="150"/>
      <c r="K120" s="39" t="n">
        <v>7000</v>
      </c>
      <c r="L120" s="18"/>
      <c r="M120" s="18" t="n">
        <f aca="false">IF(AD120,1,0)+IF(AK120,1,0)+AN120+AU120+BB120+BI120+BP120+BW120+CD120+CK120+CR120+CY120+DF120+DM120+DT120+EA120+EH120+EO120+EV120+FC120+FJ120+FQ120+FX120+GE120+GL120+GS120+GZ120+HG120+HN120+HU120</f>
        <v>0</v>
      </c>
      <c r="N120" s="131"/>
      <c r="O120" s="147"/>
      <c r="P120" s="147"/>
      <c r="Q120" s="147"/>
      <c r="R120" s="12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31"/>
      <c r="AD120" s="128"/>
      <c r="AE120" s="128"/>
      <c r="AF120" s="128"/>
      <c r="AG120" s="128"/>
      <c r="AH120" s="128"/>
      <c r="AI120" s="147"/>
      <c r="AJ120" s="128"/>
      <c r="AK120" s="128"/>
      <c r="AL120" s="147"/>
      <c r="AM120" s="131"/>
      <c r="AN120" s="128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16"/>
      <c r="CK120" s="16"/>
      <c r="CL120" s="16"/>
      <c r="CM120" s="16"/>
      <c r="CN120" s="16"/>
      <c r="CO120" s="16"/>
      <c r="CP120" s="16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/>
      <c r="DE120" s="52"/>
      <c r="DF120" s="52"/>
      <c r="DG120" s="52"/>
      <c r="DH120" s="52"/>
      <c r="DI120" s="52"/>
      <c r="DJ120" s="52"/>
      <c r="DK120" s="52"/>
      <c r="DL120" s="52"/>
      <c r="DM120" s="52"/>
      <c r="DN120" s="52"/>
      <c r="DO120" s="52"/>
      <c r="DP120" s="52"/>
      <c r="DQ120" s="52"/>
      <c r="DR120" s="52"/>
      <c r="DS120" s="52"/>
      <c r="DT120" s="52"/>
      <c r="DU120" s="52"/>
      <c r="DV120" s="52"/>
      <c r="DW120" s="52"/>
      <c r="DX120" s="52"/>
      <c r="DY120" s="52"/>
      <c r="DZ120" s="52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2"/>
      <c r="FB120" s="52"/>
      <c r="FC120" s="52"/>
      <c r="FD120" s="52"/>
      <c r="FE120" s="52"/>
      <c r="FF120" s="52"/>
      <c r="FG120" s="52"/>
      <c r="FH120" s="52"/>
      <c r="FI120" s="52"/>
      <c r="FJ120" s="52"/>
      <c r="FK120" s="52"/>
      <c r="FL120" s="52"/>
      <c r="FM120" s="52"/>
      <c r="FN120" s="52"/>
      <c r="FO120" s="52"/>
      <c r="FP120" s="52"/>
      <c r="FQ120" s="52"/>
      <c r="FR120" s="52"/>
      <c r="FS120" s="52"/>
      <c r="FT120" s="52"/>
      <c r="FU120" s="52"/>
      <c r="FV120" s="52"/>
      <c r="FW120" s="52"/>
      <c r="FX120" s="52"/>
      <c r="FY120" s="52"/>
      <c r="FZ120" s="52"/>
      <c r="GA120" s="52"/>
      <c r="GB120" s="52"/>
      <c r="GC120" s="52"/>
      <c r="GD120" s="52"/>
      <c r="GE120" s="52"/>
      <c r="GF120" s="52"/>
      <c r="GG120" s="52"/>
      <c r="GH120" s="52"/>
      <c r="GI120" s="52"/>
      <c r="GJ120" s="52"/>
      <c r="GK120" s="52"/>
      <c r="GL120" s="52"/>
      <c r="GM120" s="52"/>
      <c r="GN120" s="52"/>
      <c r="GO120" s="52"/>
      <c r="GP120" s="52"/>
      <c r="GQ120" s="52"/>
      <c r="GR120" s="52"/>
      <c r="GS120" s="52"/>
      <c r="GT120" s="52"/>
      <c r="GU120" s="52"/>
      <c r="GV120" s="52"/>
      <c r="GW120" s="52"/>
      <c r="GX120" s="52"/>
      <c r="GY120" s="52"/>
      <c r="GZ120" s="52"/>
      <c r="HA120" s="52"/>
      <c r="HB120" s="52"/>
      <c r="HC120" s="52"/>
      <c r="HD120" s="52"/>
      <c r="HE120" s="52"/>
      <c r="HF120" s="52"/>
      <c r="HG120" s="52"/>
      <c r="HH120" s="52"/>
      <c r="HI120" s="52"/>
      <c r="HJ120" s="52"/>
      <c r="HK120" s="52"/>
      <c r="HL120" s="52"/>
      <c r="HM120" s="52"/>
      <c r="HN120" s="52"/>
      <c r="HO120" s="52"/>
      <c r="HP120" s="52"/>
      <c r="HQ120" s="52"/>
      <c r="HR120" s="52"/>
      <c r="HS120" s="52"/>
      <c r="HT120" s="131"/>
      <c r="HU120" s="128"/>
      <c r="HV120" s="131"/>
      <c r="HW120" s="131"/>
      <c r="HX120" s="131"/>
      <c r="HY120" s="131"/>
      <c r="HZ120" s="131"/>
    </row>
    <row r="121" customFormat="false" ht="12.8" hidden="false" customHeight="false" outlineLevel="0" collapsed="false">
      <c r="A121" s="16" t="s">
        <v>258</v>
      </c>
      <c r="B121" s="17" t="s">
        <v>113</v>
      </c>
      <c r="C121" s="17" t="s">
        <v>266</v>
      </c>
      <c r="D121" s="17" t="s">
        <v>267</v>
      </c>
      <c r="E121" s="130" t="s">
        <v>89</v>
      </c>
      <c r="F121" s="16" t="s">
        <v>178</v>
      </c>
      <c r="G121" s="154" t="s">
        <v>733</v>
      </c>
      <c r="H121" s="148" t="s">
        <v>92</v>
      </c>
      <c r="I121" s="150"/>
      <c r="J121" s="150"/>
      <c r="K121" s="39" t="n">
        <v>7000</v>
      </c>
      <c r="L121" s="18" t="n">
        <v>5</v>
      </c>
      <c r="M121" s="18" t="n">
        <f aca="false">IF(AD121,1,0)+IF(AK121,1,0)+AN121+AU121+BB121+BI121+BP121+BW121+CD121+CK121+CR121+CY121+DF121+DM121+DT121+EA121+EH121+EO121+EV121+FC121+FJ121+FQ121+FX121+GE121+GL121+GS121+GZ121+HG121+HN121+HU121</f>
        <v>0</v>
      </c>
      <c r="N121" s="131"/>
      <c r="O121" s="147" t="n">
        <v>10125</v>
      </c>
      <c r="P121" s="147" t="n">
        <v>0</v>
      </c>
      <c r="Q121" s="147" t="n">
        <v>1721</v>
      </c>
      <c r="R121" s="21" t="s">
        <v>734</v>
      </c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23" t="s">
        <v>735</v>
      </c>
      <c r="AD121" s="128" t="n">
        <v>20</v>
      </c>
      <c r="AE121" s="21" t="s">
        <v>613</v>
      </c>
      <c r="AF121" s="128"/>
      <c r="AG121" s="128"/>
      <c r="AH121" s="128"/>
      <c r="AI121" s="147" t="s">
        <v>736</v>
      </c>
      <c r="AJ121" s="128"/>
      <c r="AK121" s="128"/>
      <c r="AL121" s="147"/>
      <c r="AM121" s="128" t="n">
        <v>10</v>
      </c>
      <c r="AN121" s="128" t="n">
        <v>1</v>
      </c>
      <c r="AO121" s="131" t="s">
        <v>633</v>
      </c>
      <c r="AP121" s="131" t="s">
        <v>634</v>
      </c>
      <c r="AQ121" s="131" t="s">
        <v>635</v>
      </c>
      <c r="AR121" s="131" t="s">
        <v>636</v>
      </c>
      <c r="AS121" s="131" t="s">
        <v>563</v>
      </c>
      <c r="AT121" s="128" t="n">
        <v>10</v>
      </c>
      <c r="AU121" s="128" t="n">
        <v>1</v>
      </c>
      <c r="AV121" s="131" t="s">
        <v>383</v>
      </c>
      <c r="AW121" s="131" t="s">
        <v>574</v>
      </c>
      <c r="AX121" s="131" t="s">
        <v>467</v>
      </c>
      <c r="AY121" s="131" t="s">
        <v>468</v>
      </c>
      <c r="AZ121" s="131" t="s">
        <v>380</v>
      </c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16"/>
      <c r="CK121" s="16"/>
      <c r="CL121" s="16"/>
      <c r="CM121" s="16"/>
      <c r="CN121" s="16"/>
      <c r="CO121" s="16"/>
      <c r="CP121" s="16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/>
      <c r="DF121" s="52"/>
      <c r="DG121" s="52"/>
      <c r="DH121" s="52"/>
      <c r="DI121" s="52"/>
      <c r="DJ121" s="52"/>
      <c r="DK121" s="52"/>
      <c r="DL121" s="52"/>
      <c r="DM121" s="52"/>
      <c r="DN121" s="52"/>
      <c r="DO121" s="52"/>
      <c r="DP121" s="52"/>
      <c r="DQ121" s="52"/>
      <c r="DR121" s="52"/>
      <c r="DS121" s="128" t="n">
        <v>10</v>
      </c>
      <c r="DT121" s="128" t="n">
        <v>2</v>
      </c>
      <c r="DU121" s="131" t="s">
        <v>381</v>
      </c>
      <c r="DV121" s="131" t="s">
        <v>382</v>
      </c>
      <c r="DW121" s="131" t="s">
        <v>383</v>
      </c>
      <c r="DX121" s="131" t="s">
        <v>384</v>
      </c>
      <c r="DY121" s="131" t="s">
        <v>399</v>
      </c>
      <c r="DZ121" s="52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2"/>
      <c r="FB121" s="128" t="n">
        <v>10</v>
      </c>
      <c r="FC121" s="128" t="n">
        <v>2</v>
      </c>
      <c r="FD121" s="131" t="s">
        <v>572</v>
      </c>
      <c r="FE121" s="131" t="s">
        <v>383</v>
      </c>
      <c r="FF121" s="131" t="s">
        <v>573</v>
      </c>
      <c r="FG121" s="131" t="s">
        <v>574</v>
      </c>
      <c r="FH121" s="131" t="s">
        <v>378</v>
      </c>
      <c r="FI121" s="52"/>
      <c r="FJ121" s="52"/>
      <c r="FK121" s="52"/>
      <c r="FL121" s="52"/>
      <c r="FM121" s="52"/>
      <c r="FN121" s="52"/>
      <c r="FO121" s="52"/>
      <c r="FP121" s="52"/>
      <c r="FQ121" s="52"/>
      <c r="FR121" s="52"/>
      <c r="FS121" s="52"/>
      <c r="FT121" s="52"/>
      <c r="FU121" s="52"/>
      <c r="FV121" s="52"/>
      <c r="FW121" s="52"/>
      <c r="FX121" s="52"/>
      <c r="FY121" s="52"/>
      <c r="FZ121" s="52"/>
      <c r="GA121" s="52"/>
      <c r="GB121" s="52"/>
      <c r="GC121" s="52"/>
      <c r="GD121" s="52"/>
      <c r="GE121" s="52"/>
      <c r="GF121" s="52"/>
      <c r="GG121" s="52"/>
      <c r="GH121" s="52"/>
      <c r="GI121" s="52"/>
      <c r="GJ121" s="52"/>
      <c r="GK121" s="52"/>
      <c r="GL121" s="52"/>
      <c r="GM121" s="52"/>
      <c r="GN121" s="52"/>
      <c r="GO121" s="52"/>
      <c r="GP121" s="52"/>
      <c r="GQ121" s="52"/>
      <c r="GR121" s="52"/>
      <c r="GS121" s="52"/>
      <c r="GT121" s="52"/>
      <c r="GU121" s="52"/>
      <c r="GV121" s="52"/>
      <c r="GW121" s="52"/>
      <c r="GX121" s="52"/>
      <c r="GY121" s="52"/>
      <c r="GZ121" s="52"/>
      <c r="HA121" s="52"/>
      <c r="HB121" s="52"/>
      <c r="HC121" s="52"/>
      <c r="HD121" s="52"/>
      <c r="HE121" s="52"/>
      <c r="HF121" s="52"/>
      <c r="HG121" s="52"/>
      <c r="HH121" s="52"/>
      <c r="HI121" s="52"/>
      <c r="HJ121" s="52"/>
      <c r="HK121" s="52"/>
      <c r="HL121" s="52"/>
      <c r="HM121" s="52"/>
      <c r="HN121" s="52"/>
      <c r="HO121" s="52"/>
      <c r="HP121" s="52"/>
      <c r="HQ121" s="52"/>
      <c r="HR121" s="52"/>
      <c r="HS121" s="52"/>
      <c r="HT121" s="131"/>
      <c r="HU121" s="128"/>
      <c r="HV121" s="131"/>
      <c r="HW121" s="131"/>
      <c r="HX121" s="131"/>
      <c r="HY121" s="131"/>
      <c r="HZ121" s="131"/>
    </row>
    <row r="122" customFormat="false" ht="12.8" hidden="false" customHeight="false" outlineLevel="0" collapsed="false">
      <c r="A122" s="16" t="s">
        <v>258</v>
      </c>
      <c r="B122" s="17" t="s">
        <v>113</v>
      </c>
      <c r="C122" s="17" t="s">
        <v>266</v>
      </c>
      <c r="D122" s="17" t="s">
        <v>267</v>
      </c>
      <c r="E122" s="130" t="s">
        <v>89</v>
      </c>
      <c r="F122" s="16" t="s">
        <v>178</v>
      </c>
      <c r="G122" s="154" t="s">
        <v>737</v>
      </c>
      <c r="H122" s="150"/>
      <c r="I122" s="150"/>
      <c r="J122" s="150"/>
      <c r="K122" s="39" t="n">
        <v>7000</v>
      </c>
      <c r="L122" s="18" t="n">
        <v>3</v>
      </c>
      <c r="M122" s="18" t="n">
        <f aca="false">IF(AD122,1,0)+IF(AK122,1,0)+AN122+AU122+BB122+BI122+BP122+BW122+CD122+CK122+CR122+CY122+DF122+DM122+DT122+EA122+EH122+EO122+EV122+FC122+FJ122+FQ122+FX122+GE122+GL122+GS122+GZ122+HG122+HN122+HU122</f>
        <v>0</v>
      </c>
      <c r="N122" s="131" t="n">
        <v>0.15</v>
      </c>
      <c r="O122" s="147" t="n">
        <v>675</v>
      </c>
      <c r="P122" s="147" t="n">
        <v>3307</v>
      </c>
      <c r="Q122" s="147" t="n">
        <v>0</v>
      </c>
      <c r="R122" s="21" t="s">
        <v>44</v>
      </c>
      <c r="S122" s="18"/>
      <c r="T122" s="18"/>
      <c r="U122" s="18"/>
      <c r="V122" s="18"/>
      <c r="W122" s="18"/>
      <c r="X122" s="18"/>
      <c r="Y122" s="21" t="s">
        <v>541</v>
      </c>
      <c r="Z122" s="18"/>
      <c r="AA122" s="18"/>
      <c r="AB122" s="18"/>
      <c r="AC122" s="131"/>
      <c r="AD122" s="128"/>
      <c r="AE122" s="128"/>
      <c r="AF122" s="128"/>
      <c r="AG122" s="128"/>
      <c r="AH122" s="128"/>
      <c r="AI122" s="147"/>
      <c r="AJ122" s="128"/>
      <c r="AK122" s="128"/>
      <c r="AL122" s="147"/>
      <c r="AM122" s="131"/>
      <c r="AN122" s="128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16"/>
      <c r="CK122" s="16"/>
      <c r="CL122" s="16"/>
      <c r="CM122" s="16"/>
      <c r="CN122" s="16"/>
      <c r="CO122" s="16"/>
      <c r="CP122" s="16"/>
      <c r="CQ122" s="128" t="n">
        <v>8</v>
      </c>
      <c r="CR122" s="128" t="n">
        <v>2</v>
      </c>
      <c r="CS122" s="131" t="s">
        <v>557</v>
      </c>
      <c r="CT122" s="131" t="s">
        <v>398</v>
      </c>
      <c r="CU122" s="131" t="s">
        <v>377</v>
      </c>
      <c r="CV122" s="131" t="s">
        <v>399</v>
      </c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2"/>
      <c r="DN122" s="52"/>
      <c r="DO122" s="52"/>
      <c r="DP122" s="52"/>
      <c r="DQ122" s="52"/>
      <c r="DR122" s="52"/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  <c r="FB122" s="128" t="n">
        <v>8</v>
      </c>
      <c r="FC122" s="39" t="n">
        <v>1</v>
      </c>
      <c r="FD122" s="114" t="s">
        <v>385</v>
      </c>
      <c r="FE122" s="114" t="s">
        <v>377</v>
      </c>
      <c r="FF122" s="114" t="s">
        <v>386</v>
      </c>
      <c r="FG122" s="114" t="s">
        <v>378</v>
      </c>
      <c r="FH122" s="52"/>
      <c r="FI122" s="52"/>
      <c r="FJ122" s="52"/>
      <c r="FK122" s="52"/>
      <c r="FL122" s="52"/>
      <c r="FM122" s="52"/>
      <c r="FN122" s="52"/>
      <c r="FO122" s="52"/>
      <c r="FP122" s="52"/>
      <c r="FQ122" s="52"/>
      <c r="FR122" s="52"/>
      <c r="FS122" s="52"/>
      <c r="FT122" s="52"/>
      <c r="FU122" s="52"/>
      <c r="FV122" s="52"/>
      <c r="FW122" s="52"/>
      <c r="FX122" s="52"/>
      <c r="FY122" s="52"/>
      <c r="FZ122" s="52"/>
      <c r="GA122" s="52"/>
      <c r="GB122" s="52"/>
      <c r="GC122" s="52"/>
      <c r="GD122" s="52"/>
      <c r="GE122" s="52"/>
      <c r="GF122" s="52"/>
      <c r="GG122" s="52"/>
      <c r="GH122" s="52"/>
      <c r="GI122" s="52"/>
      <c r="GJ122" s="52"/>
      <c r="GK122" s="52"/>
      <c r="GL122" s="52"/>
      <c r="GM122" s="52"/>
      <c r="GN122" s="52"/>
      <c r="GO122" s="52"/>
      <c r="GP122" s="52"/>
      <c r="GQ122" s="52"/>
      <c r="GR122" s="52"/>
      <c r="GS122" s="52"/>
      <c r="GT122" s="52"/>
      <c r="GU122" s="52"/>
      <c r="GV122" s="52"/>
      <c r="GW122" s="52"/>
      <c r="GX122" s="52"/>
      <c r="GY122" s="52"/>
      <c r="GZ122" s="52"/>
      <c r="HA122" s="52"/>
      <c r="HB122" s="52"/>
      <c r="HC122" s="52"/>
      <c r="HD122" s="52"/>
      <c r="HE122" s="52"/>
      <c r="HF122" s="128" t="n">
        <v>8</v>
      </c>
      <c r="HG122" s="39" t="n">
        <v>1</v>
      </c>
      <c r="HH122" s="114" t="s">
        <v>385</v>
      </c>
      <c r="HI122" s="114" t="s">
        <v>377</v>
      </c>
      <c r="HJ122" s="114" t="s">
        <v>386</v>
      </c>
      <c r="HK122" s="114" t="s">
        <v>378</v>
      </c>
      <c r="HL122" s="52"/>
      <c r="HM122" s="52"/>
      <c r="HN122" s="52"/>
      <c r="HO122" s="52"/>
      <c r="HP122" s="52"/>
      <c r="HQ122" s="52"/>
      <c r="HR122" s="52"/>
      <c r="HS122" s="52"/>
      <c r="HT122" s="131"/>
      <c r="HU122" s="128"/>
      <c r="HV122" s="131"/>
      <c r="HW122" s="131"/>
      <c r="HX122" s="131"/>
      <c r="HY122" s="131"/>
      <c r="HZ122" s="131"/>
    </row>
    <row r="123" customFormat="false" ht="12.8" hidden="false" customHeight="false" outlineLevel="0" collapsed="false">
      <c r="A123" s="36" t="s">
        <v>258</v>
      </c>
      <c r="B123" s="35" t="s">
        <v>113</v>
      </c>
      <c r="C123" s="34" t="s">
        <v>268</v>
      </c>
      <c r="D123" s="35" t="s">
        <v>269</v>
      </c>
      <c r="E123" s="156" t="s">
        <v>89</v>
      </c>
      <c r="F123" s="36" t="s">
        <v>270</v>
      </c>
      <c r="G123" s="154" t="s">
        <v>732</v>
      </c>
      <c r="H123" s="150"/>
      <c r="I123" s="150"/>
      <c r="J123" s="150"/>
      <c r="K123" s="39" t="n">
        <v>7000</v>
      </c>
      <c r="L123" s="18" t="n">
        <v>3</v>
      </c>
      <c r="M123" s="18" t="n">
        <f aca="false">IF(AD123,1,0)+IF(AK123,1,0)+AN123+AU123+BB123+BI123+BP123+BW123+CD123+CK123+CR123+CY123+DF123+DM123+DT123+EA123+EH123+EO123+EV123+FC123+FJ123+FQ123+FX123+GE123+GL123+GS123+GZ123+HG123+HN123+HU123</f>
        <v>0</v>
      </c>
      <c r="N123" s="131"/>
      <c r="O123" s="147" t="n">
        <v>3240</v>
      </c>
      <c r="P123" s="147" t="n">
        <v>0</v>
      </c>
      <c r="Q123" s="147" t="n">
        <v>97</v>
      </c>
      <c r="R123" s="21" t="s">
        <v>44</v>
      </c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31"/>
      <c r="AD123" s="128"/>
      <c r="AE123" s="128"/>
      <c r="AF123" s="128"/>
      <c r="AG123" s="128"/>
      <c r="AH123" s="128"/>
      <c r="AI123" s="147"/>
      <c r="AJ123" s="128"/>
      <c r="AK123" s="128"/>
      <c r="AL123" s="147"/>
      <c r="AM123" s="131"/>
      <c r="AN123" s="128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16"/>
      <c r="CK123" s="16"/>
      <c r="CL123" s="16"/>
      <c r="CM123" s="16"/>
      <c r="CN123" s="16"/>
      <c r="CO123" s="16"/>
      <c r="CP123" s="16"/>
      <c r="CQ123" s="128" t="n">
        <v>8</v>
      </c>
      <c r="CR123" s="128" t="n">
        <v>2</v>
      </c>
      <c r="CS123" s="131" t="s">
        <v>557</v>
      </c>
      <c r="CT123" s="131" t="s">
        <v>398</v>
      </c>
      <c r="CU123" s="131" t="s">
        <v>377</v>
      </c>
      <c r="CV123" s="131" t="s">
        <v>399</v>
      </c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  <c r="DL123" s="52"/>
      <c r="DM123" s="52"/>
      <c r="DN123" s="52"/>
      <c r="DO123" s="52"/>
      <c r="DP123" s="52"/>
      <c r="DQ123" s="52"/>
      <c r="DR123" s="52"/>
      <c r="DS123" s="52"/>
      <c r="DT123" s="52"/>
      <c r="DU123" s="52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  <c r="FB123" s="52"/>
      <c r="FC123" s="52"/>
      <c r="FD123" s="52"/>
      <c r="FE123" s="52"/>
      <c r="FF123" s="52"/>
      <c r="FG123" s="52"/>
      <c r="FH123" s="52"/>
      <c r="FI123" s="52"/>
      <c r="FJ123" s="52"/>
      <c r="FK123" s="52"/>
      <c r="FL123" s="52"/>
      <c r="FM123" s="52"/>
      <c r="FN123" s="52"/>
      <c r="FO123" s="52"/>
      <c r="FP123" s="52"/>
      <c r="FQ123" s="52"/>
      <c r="FR123" s="52"/>
      <c r="FS123" s="52"/>
      <c r="FT123" s="52"/>
      <c r="FU123" s="52"/>
      <c r="FV123" s="52"/>
      <c r="FW123" s="52"/>
      <c r="FX123" s="52"/>
      <c r="FY123" s="52"/>
      <c r="FZ123" s="52"/>
      <c r="GA123" s="52"/>
      <c r="GB123" s="52"/>
      <c r="GC123" s="52"/>
      <c r="GD123" s="52"/>
      <c r="GE123" s="52"/>
      <c r="GF123" s="52"/>
      <c r="GG123" s="52"/>
      <c r="GH123" s="52"/>
      <c r="GI123" s="52"/>
      <c r="GJ123" s="52"/>
      <c r="GK123" s="52"/>
      <c r="GL123" s="52"/>
      <c r="GM123" s="52"/>
      <c r="GN123" s="52"/>
      <c r="GO123" s="52"/>
      <c r="GP123" s="52"/>
      <c r="GQ123" s="52"/>
      <c r="GR123" s="52"/>
      <c r="GS123" s="52"/>
      <c r="GT123" s="52"/>
      <c r="GU123" s="52"/>
      <c r="GV123" s="52"/>
      <c r="GW123" s="52"/>
      <c r="GX123" s="52"/>
      <c r="GY123" s="52"/>
      <c r="GZ123" s="52"/>
      <c r="HA123" s="52"/>
      <c r="HB123" s="52"/>
      <c r="HC123" s="52"/>
      <c r="HD123" s="52"/>
      <c r="HE123" s="52"/>
      <c r="HF123" s="52"/>
      <c r="HG123" s="52"/>
      <c r="HH123" s="52"/>
      <c r="HI123" s="52"/>
      <c r="HJ123" s="52"/>
      <c r="HK123" s="52"/>
      <c r="HL123" s="52"/>
      <c r="HM123" s="128" t="n">
        <v>8</v>
      </c>
      <c r="HN123" s="39" t="n">
        <v>2</v>
      </c>
      <c r="HO123" s="114" t="s">
        <v>385</v>
      </c>
      <c r="HP123" s="114" t="s">
        <v>377</v>
      </c>
      <c r="HQ123" s="114" t="s">
        <v>386</v>
      </c>
      <c r="HR123" s="114" t="s">
        <v>378</v>
      </c>
      <c r="HS123" s="52"/>
      <c r="HT123" s="131"/>
      <c r="HU123" s="128"/>
      <c r="HV123" s="131"/>
      <c r="HW123" s="131"/>
      <c r="HX123" s="131"/>
      <c r="HY123" s="131"/>
      <c r="HZ123" s="131"/>
    </row>
    <row r="124" customFormat="false" ht="12.8" hidden="false" customHeight="false" outlineLevel="0" collapsed="false">
      <c r="A124" s="36" t="s">
        <v>258</v>
      </c>
      <c r="B124" s="35" t="s">
        <v>113</v>
      </c>
      <c r="C124" s="34" t="s">
        <v>268</v>
      </c>
      <c r="D124" s="35" t="s">
        <v>271</v>
      </c>
      <c r="E124" s="156" t="s">
        <v>87</v>
      </c>
      <c r="F124" s="36" t="s">
        <v>188</v>
      </c>
      <c r="G124" s="157"/>
      <c r="H124" s="150"/>
      <c r="I124" s="150"/>
      <c r="J124" s="150"/>
      <c r="K124" s="39" t="n">
        <v>7000</v>
      </c>
      <c r="L124" s="18"/>
      <c r="M124" s="18" t="n">
        <f aca="false">IF(AD124,1,0)+IF(AK124,1,0)+AN124+AU124+BB124+BI124+BP124+BW124+CD124+CK124+CR124+CY124+DF124+DM124+DT124+EA124+EH124+EO124+EV124+FC124+FJ124+FQ124+FX124+GE124+GL124+GS124+GZ124+HG124+HN124+HU124</f>
        <v>0</v>
      </c>
      <c r="N124" s="131"/>
      <c r="O124" s="147"/>
      <c r="P124" s="147"/>
      <c r="Q124" s="147"/>
      <c r="R124" s="12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31"/>
      <c r="AD124" s="128"/>
      <c r="AE124" s="128"/>
      <c r="AF124" s="128"/>
      <c r="AG124" s="128"/>
      <c r="AH124" s="128"/>
      <c r="AI124" s="147"/>
      <c r="AJ124" s="128"/>
      <c r="AK124" s="128"/>
      <c r="AL124" s="147"/>
      <c r="AM124" s="131"/>
      <c r="AN124" s="128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16"/>
      <c r="CK124" s="16"/>
      <c r="CL124" s="16"/>
      <c r="CM124" s="16"/>
      <c r="CN124" s="16"/>
      <c r="CO124" s="16"/>
      <c r="CP124" s="16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2"/>
      <c r="DD124" s="52"/>
      <c r="DE124" s="52"/>
      <c r="DF124" s="52"/>
      <c r="DG124" s="52"/>
      <c r="DH124" s="52"/>
      <c r="DI124" s="52"/>
      <c r="DJ124" s="52"/>
      <c r="DK124" s="52"/>
      <c r="DL124" s="52"/>
      <c r="DM124" s="52"/>
      <c r="DN124" s="52"/>
      <c r="DO124" s="52"/>
      <c r="DP124" s="52"/>
      <c r="DQ124" s="52"/>
      <c r="DR124" s="52"/>
      <c r="DS124" s="52"/>
      <c r="DT124" s="52"/>
      <c r="DU124" s="52"/>
      <c r="DV124" s="52"/>
      <c r="DW124" s="52"/>
      <c r="DX124" s="52"/>
      <c r="DY124" s="52"/>
      <c r="DZ124" s="52"/>
      <c r="EA124" s="52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  <c r="EM124" s="52"/>
      <c r="EN124" s="52"/>
      <c r="EO124" s="52"/>
      <c r="EP124" s="52"/>
      <c r="EQ124" s="52"/>
      <c r="ER124" s="52"/>
      <c r="ES124" s="52"/>
      <c r="ET124" s="52"/>
      <c r="EU124" s="52"/>
      <c r="EV124" s="52"/>
      <c r="EW124" s="52"/>
      <c r="EX124" s="52"/>
      <c r="EY124" s="52"/>
      <c r="EZ124" s="52"/>
      <c r="FA124" s="52"/>
      <c r="FB124" s="52"/>
      <c r="FC124" s="52"/>
      <c r="FD124" s="52"/>
      <c r="FE124" s="52"/>
      <c r="FF124" s="52"/>
      <c r="FG124" s="52"/>
      <c r="FH124" s="52"/>
      <c r="FI124" s="52"/>
      <c r="FJ124" s="52"/>
      <c r="FK124" s="52"/>
      <c r="FL124" s="52"/>
      <c r="FM124" s="52"/>
      <c r="FN124" s="52"/>
      <c r="FO124" s="52"/>
      <c r="FP124" s="52"/>
      <c r="FQ124" s="52"/>
      <c r="FR124" s="52"/>
      <c r="FS124" s="52"/>
      <c r="FT124" s="52"/>
      <c r="FU124" s="52"/>
      <c r="FV124" s="52"/>
      <c r="FW124" s="52"/>
      <c r="FX124" s="52"/>
      <c r="FY124" s="52"/>
      <c r="FZ124" s="52"/>
      <c r="GA124" s="52"/>
      <c r="GB124" s="52"/>
      <c r="GC124" s="52"/>
      <c r="GD124" s="52"/>
      <c r="GE124" s="52"/>
      <c r="GF124" s="52"/>
      <c r="GG124" s="52"/>
      <c r="GH124" s="52"/>
      <c r="GI124" s="52"/>
      <c r="GJ124" s="52"/>
      <c r="GK124" s="52"/>
      <c r="GL124" s="52"/>
      <c r="GM124" s="52"/>
      <c r="GN124" s="52"/>
      <c r="GO124" s="52"/>
      <c r="GP124" s="52"/>
      <c r="GQ124" s="52"/>
      <c r="GR124" s="52"/>
      <c r="GS124" s="52"/>
      <c r="GT124" s="52"/>
      <c r="GU124" s="52"/>
      <c r="GV124" s="52"/>
      <c r="GW124" s="52"/>
      <c r="GX124" s="52"/>
      <c r="GY124" s="52"/>
      <c r="GZ124" s="52"/>
      <c r="HA124" s="52"/>
      <c r="HB124" s="52"/>
      <c r="HC124" s="52"/>
      <c r="HD124" s="52"/>
      <c r="HE124" s="52"/>
      <c r="HF124" s="52"/>
      <c r="HG124" s="52"/>
      <c r="HH124" s="52"/>
      <c r="HI124" s="52"/>
      <c r="HJ124" s="52"/>
      <c r="HK124" s="52"/>
      <c r="HL124" s="52"/>
      <c r="HM124" s="52"/>
      <c r="HN124" s="52"/>
      <c r="HO124" s="52"/>
      <c r="HP124" s="52"/>
      <c r="HQ124" s="52"/>
      <c r="HR124" s="52"/>
      <c r="HS124" s="52"/>
      <c r="HT124" s="131"/>
      <c r="HU124" s="128"/>
      <c r="HV124" s="131"/>
      <c r="HW124" s="131"/>
      <c r="HX124" s="131"/>
      <c r="HY124" s="131"/>
      <c r="HZ124" s="131"/>
    </row>
    <row r="125" customFormat="false" ht="12.8" hidden="false" customHeight="false" outlineLevel="0" collapsed="false">
      <c r="A125" s="36" t="s">
        <v>258</v>
      </c>
      <c r="B125" s="35" t="s">
        <v>113</v>
      </c>
      <c r="C125" s="34" t="s">
        <v>268</v>
      </c>
      <c r="D125" s="35" t="s">
        <v>263</v>
      </c>
      <c r="E125" s="156" t="s">
        <v>88</v>
      </c>
      <c r="F125" s="16" t="s">
        <v>237</v>
      </c>
      <c r="G125" s="154" t="s">
        <v>732</v>
      </c>
      <c r="H125" s="150"/>
      <c r="I125" s="150"/>
      <c r="J125" s="150"/>
      <c r="K125" s="39" t="n">
        <v>7000</v>
      </c>
      <c r="L125" s="18" t="n">
        <v>3</v>
      </c>
      <c r="M125" s="18" t="n">
        <f aca="false">IF(AD125,1,0)+IF(AK125,1,0)+AN125+AU125+BB125+BI125+BP125+BW125+CD125+CK125+CR125+CY125+DF125+DM125+DT125+EA125+EH125+EO125+EV125+FC125+FJ125+FQ125+FX125+GE125+GL125+GS125+GZ125+HG125+HN125+HU125</f>
        <v>0</v>
      </c>
      <c r="N125" s="131"/>
      <c r="O125" s="147" t="n">
        <v>4114</v>
      </c>
      <c r="P125" s="147" t="n">
        <v>345</v>
      </c>
      <c r="Q125" s="147" t="n">
        <v>288</v>
      </c>
      <c r="R125" s="21" t="s">
        <v>44</v>
      </c>
      <c r="S125" s="18"/>
      <c r="T125" s="18"/>
      <c r="U125" s="18"/>
      <c r="V125" s="18"/>
      <c r="W125" s="18"/>
      <c r="X125" s="18"/>
      <c r="Y125" s="21" t="s">
        <v>541</v>
      </c>
      <c r="Z125" s="18"/>
      <c r="AA125" s="18"/>
      <c r="AB125" s="18"/>
      <c r="AC125" s="131"/>
      <c r="AD125" s="128"/>
      <c r="AE125" s="128"/>
      <c r="AF125" s="128"/>
      <c r="AG125" s="128"/>
      <c r="AH125" s="128"/>
      <c r="AI125" s="147"/>
      <c r="AJ125" s="128"/>
      <c r="AK125" s="128"/>
      <c r="AL125" s="147"/>
      <c r="AM125" s="131"/>
      <c r="AN125" s="128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16"/>
      <c r="CK125" s="16"/>
      <c r="CL125" s="16"/>
      <c r="CM125" s="16"/>
      <c r="CN125" s="16"/>
      <c r="CO125" s="16"/>
      <c r="CP125" s="16"/>
      <c r="CQ125" s="128" t="n">
        <v>8</v>
      </c>
      <c r="CR125" s="128" t="n">
        <v>2</v>
      </c>
      <c r="CS125" s="131" t="s">
        <v>557</v>
      </c>
      <c r="CT125" s="131" t="s">
        <v>398</v>
      </c>
      <c r="CU125" s="131" t="s">
        <v>377</v>
      </c>
      <c r="CV125" s="131" t="s">
        <v>399</v>
      </c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/>
      <c r="DH125" s="52"/>
      <c r="DI125" s="52"/>
      <c r="DJ125" s="52"/>
      <c r="DK125" s="52"/>
      <c r="DL125" s="52"/>
      <c r="DM125" s="52"/>
      <c r="DN125" s="52"/>
      <c r="DO125" s="52"/>
      <c r="DP125" s="52"/>
      <c r="DQ125" s="52"/>
      <c r="DR125" s="52"/>
      <c r="DS125" s="52"/>
      <c r="DT125" s="52"/>
      <c r="DU125" s="52"/>
      <c r="DV125" s="52"/>
      <c r="DW125" s="52"/>
      <c r="DX125" s="52"/>
      <c r="DY125" s="52"/>
      <c r="DZ125" s="52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2"/>
      <c r="FB125" s="52"/>
      <c r="FC125" s="52"/>
      <c r="FD125" s="52"/>
      <c r="FE125" s="52"/>
      <c r="FF125" s="52"/>
      <c r="FG125" s="52"/>
      <c r="FH125" s="52"/>
      <c r="FI125" s="52"/>
      <c r="FJ125" s="52"/>
      <c r="FK125" s="52"/>
      <c r="FL125" s="52"/>
      <c r="FM125" s="52"/>
      <c r="FN125" s="52"/>
      <c r="FO125" s="52"/>
      <c r="FP125" s="52"/>
      <c r="FQ125" s="52"/>
      <c r="FR125" s="52"/>
      <c r="FS125" s="52"/>
      <c r="FT125" s="52"/>
      <c r="FU125" s="52"/>
      <c r="FV125" s="52"/>
      <c r="FW125" s="52"/>
      <c r="FX125" s="52"/>
      <c r="FY125" s="52"/>
      <c r="FZ125" s="52"/>
      <c r="GA125" s="52"/>
      <c r="GB125" s="52"/>
      <c r="GC125" s="52"/>
      <c r="GD125" s="52"/>
      <c r="GE125" s="52"/>
      <c r="GF125" s="52"/>
      <c r="GG125" s="52"/>
      <c r="GH125" s="52"/>
      <c r="GI125" s="52"/>
      <c r="GJ125" s="52"/>
      <c r="GK125" s="52"/>
      <c r="GL125" s="52"/>
      <c r="GM125" s="52"/>
      <c r="GN125" s="52"/>
      <c r="GO125" s="52"/>
      <c r="GP125" s="52"/>
      <c r="GQ125" s="52"/>
      <c r="GR125" s="52"/>
      <c r="GS125" s="52"/>
      <c r="GT125" s="52"/>
      <c r="GU125" s="52"/>
      <c r="GV125" s="52"/>
      <c r="GW125" s="52"/>
      <c r="GX125" s="52"/>
      <c r="GY125" s="52"/>
      <c r="GZ125" s="52"/>
      <c r="HA125" s="52"/>
      <c r="HB125" s="52"/>
      <c r="HC125" s="52"/>
      <c r="HD125" s="52"/>
      <c r="HE125" s="52"/>
      <c r="HF125" s="52"/>
      <c r="HG125" s="52"/>
      <c r="HH125" s="52"/>
      <c r="HI125" s="52"/>
      <c r="HJ125" s="52"/>
      <c r="HK125" s="52"/>
      <c r="HL125" s="52"/>
      <c r="HM125" s="128" t="n">
        <v>8</v>
      </c>
      <c r="HN125" s="39" t="n">
        <v>2</v>
      </c>
      <c r="HO125" s="114" t="s">
        <v>385</v>
      </c>
      <c r="HP125" s="114" t="s">
        <v>377</v>
      </c>
      <c r="HQ125" s="114" t="s">
        <v>386</v>
      </c>
      <c r="HR125" s="114" t="s">
        <v>378</v>
      </c>
      <c r="HS125" s="52"/>
      <c r="HT125" s="131"/>
      <c r="HU125" s="128"/>
      <c r="HV125" s="131"/>
      <c r="HW125" s="131"/>
      <c r="HX125" s="131"/>
      <c r="HY125" s="131"/>
      <c r="HZ125" s="131"/>
    </row>
    <row r="126" customFormat="false" ht="12.8" hidden="false" customHeight="false" outlineLevel="0" collapsed="false">
      <c r="A126" s="16" t="s">
        <v>258</v>
      </c>
      <c r="B126" s="17" t="s">
        <v>113</v>
      </c>
      <c r="C126" s="17" t="s">
        <v>272</v>
      </c>
      <c r="D126" s="17" t="s">
        <v>273</v>
      </c>
      <c r="E126" s="130" t="s">
        <v>89</v>
      </c>
      <c r="F126" s="16" t="s">
        <v>148</v>
      </c>
      <c r="G126" s="154" t="s">
        <v>732</v>
      </c>
      <c r="H126" s="150"/>
      <c r="I126" s="150"/>
      <c r="J126" s="150"/>
      <c r="K126" s="39" t="n">
        <v>7000</v>
      </c>
      <c r="L126" s="18" t="n">
        <v>3</v>
      </c>
      <c r="M126" s="18" t="n">
        <f aca="false">IF(AD126,1,0)+IF(AK126,1,0)+AN126+AU126+BB126+BI126+BP126+BW126+CD126+CK126+CR126+CY126+DF126+DM126+DT126+EA126+EH126+EO126+EV126+FC126+FJ126+FQ126+FX126+GE126+GL126+GS126+GZ126+HG126+HN126+HU126</f>
        <v>0</v>
      </c>
      <c r="N126" s="131"/>
      <c r="O126" s="147" t="n">
        <v>3200</v>
      </c>
      <c r="P126" s="147" t="n">
        <v>1920</v>
      </c>
      <c r="Q126" s="147" t="n">
        <v>256</v>
      </c>
      <c r="R126" s="21" t="s">
        <v>44</v>
      </c>
      <c r="S126" s="18"/>
      <c r="T126" s="18"/>
      <c r="U126" s="18"/>
      <c r="V126" s="18"/>
      <c r="W126" s="18"/>
      <c r="X126" s="18"/>
      <c r="Y126" s="21" t="s">
        <v>541</v>
      </c>
      <c r="Z126" s="18"/>
      <c r="AA126" s="18"/>
      <c r="AB126" s="18"/>
      <c r="AC126" s="131"/>
      <c r="AD126" s="128"/>
      <c r="AE126" s="128"/>
      <c r="AF126" s="128"/>
      <c r="AG126" s="128"/>
      <c r="AH126" s="128"/>
      <c r="AI126" s="147"/>
      <c r="AJ126" s="128"/>
      <c r="AK126" s="128"/>
      <c r="AL126" s="147"/>
      <c r="AM126" s="131"/>
      <c r="AN126" s="128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16"/>
      <c r="CK126" s="16"/>
      <c r="CL126" s="16"/>
      <c r="CM126" s="16"/>
      <c r="CN126" s="16"/>
      <c r="CO126" s="16"/>
      <c r="CP126" s="16"/>
      <c r="CQ126" s="128" t="n">
        <v>15</v>
      </c>
      <c r="CR126" s="128" t="n">
        <v>2</v>
      </c>
      <c r="CS126" s="131" t="s">
        <v>641</v>
      </c>
      <c r="CT126" s="131" t="s">
        <v>642</v>
      </c>
      <c r="CU126" s="131" t="s">
        <v>396</v>
      </c>
      <c r="CV126" s="131" t="s">
        <v>397</v>
      </c>
      <c r="CW126" s="131" t="s">
        <v>473</v>
      </c>
      <c r="CX126" s="52"/>
      <c r="CY126" s="52"/>
      <c r="CZ126" s="52"/>
      <c r="DA126" s="52"/>
      <c r="DB126" s="52"/>
      <c r="DC126" s="52"/>
      <c r="DD126" s="52"/>
      <c r="DE126" s="52"/>
      <c r="DF126" s="52"/>
      <c r="DG126" s="52"/>
      <c r="DH126" s="52"/>
      <c r="DI126" s="52"/>
      <c r="DJ126" s="52"/>
      <c r="DK126" s="52"/>
      <c r="DL126" s="52"/>
      <c r="DM126" s="52"/>
      <c r="DN126" s="52"/>
      <c r="DO126" s="52"/>
      <c r="DP126" s="52"/>
      <c r="DQ126" s="52"/>
      <c r="DR126" s="52"/>
      <c r="DS126" s="52"/>
      <c r="DT126" s="52"/>
      <c r="DU126" s="52"/>
      <c r="DV126" s="52"/>
      <c r="DW126" s="52"/>
      <c r="DX126" s="52"/>
      <c r="DY126" s="52"/>
      <c r="DZ126" s="52"/>
      <c r="EA126" s="52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  <c r="EM126" s="52"/>
      <c r="EN126" s="52"/>
      <c r="EO126" s="52"/>
      <c r="EP126" s="52"/>
      <c r="EQ126" s="52"/>
      <c r="ER126" s="52"/>
      <c r="ES126" s="52"/>
      <c r="ET126" s="52"/>
      <c r="EU126" s="52"/>
      <c r="EV126" s="52"/>
      <c r="EW126" s="52"/>
      <c r="EX126" s="52"/>
      <c r="EY126" s="52"/>
      <c r="EZ126" s="52"/>
      <c r="FA126" s="52"/>
      <c r="FB126" s="52"/>
      <c r="FC126" s="52"/>
      <c r="FD126" s="52"/>
      <c r="FE126" s="52"/>
      <c r="FF126" s="52"/>
      <c r="FG126" s="52"/>
      <c r="FH126" s="52"/>
      <c r="FI126" s="52"/>
      <c r="FJ126" s="52"/>
      <c r="FK126" s="52"/>
      <c r="FL126" s="52"/>
      <c r="FM126" s="52"/>
      <c r="FN126" s="52"/>
      <c r="FO126" s="52"/>
      <c r="FP126" s="52"/>
      <c r="FQ126" s="52"/>
      <c r="FR126" s="52"/>
      <c r="FS126" s="52"/>
      <c r="FT126" s="52"/>
      <c r="FU126" s="52"/>
      <c r="FV126" s="52"/>
      <c r="FW126" s="52"/>
      <c r="FX126" s="52"/>
      <c r="FY126" s="52"/>
      <c r="FZ126" s="52"/>
      <c r="GA126" s="52"/>
      <c r="GB126" s="52"/>
      <c r="GC126" s="52"/>
      <c r="GD126" s="52"/>
      <c r="GE126" s="52"/>
      <c r="GF126" s="52"/>
      <c r="GG126" s="52"/>
      <c r="GH126" s="52"/>
      <c r="GI126" s="52"/>
      <c r="GJ126" s="52"/>
      <c r="GK126" s="52"/>
      <c r="GL126" s="52"/>
      <c r="GM126" s="52"/>
      <c r="GN126" s="52"/>
      <c r="GO126" s="52"/>
      <c r="GP126" s="52"/>
      <c r="GQ126" s="52"/>
      <c r="GR126" s="52"/>
      <c r="GS126" s="52"/>
      <c r="GT126" s="52"/>
      <c r="GU126" s="52"/>
      <c r="GV126" s="52"/>
      <c r="GW126" s="52"/>
      <c r="GX126" s="52"/>
      <c r="GY126" s="52"/>
      <c r="GZ126" s="52"/>
      <c r="HA126" s="52"/>
      <c r="HB126" s="52"/>
      <c r="HC126" s="52"/>
      <c r="HD126" s="52"/>
      <c r="HE126" s="52"/>
      <c r="HF126" s="128" t="n">
        <v>15</v>
      </c>
      <c r="HG126" s="128" t="n">
        <v>1</v>
      </c>
      <c r="HH126" s="131" t="s">
        <v>643</v>
      </c>
      <c r="HI126" s="131" t="s">
        <v>396</v>
      </c>
      <c r="HJ126" s="131" t="s">
        <v>644</v>
      </c>
      <c r="HK126" s="131" t="s">
        <v>606</v>
      </c>
      <c r="HL126" s="131" t="s">
        <v>607</v>
      </c>
      <c r="HM126" s="128" t="n">
        <v>15</v>
      </c>
      <c r="HN126" s="128" t="n">
        <v>1</v>
      </c>
      <c r="HO126" s="131" t="s">
        <v>643</v>
      </c>
      <c r="HP126" s="131" t="s">
        <v>396</v>
      </c>
      <c r="HQ126" s="131" t="s">
        <v>644</v>
      </c>
      <c r="HR126" s="131" t="s">
        <v>606</v>
      </c>
      <c r="HS126" s="131" t="s">
        <v>607</v>
      </c>
      <c r="HT126" s="131"/>
      <c r="HU126" s="128"/>
      <c r="HV126" s="131"/>
      <c r="HW126" s="131"/>
      <c r="HX126" s="131"/>
      <c r="HY126" s="131"/>
      <c r="HZ126" s="131"/>
    </row>
    <row r="127" customFormat="false" ht="12.8" hidden="false" customHeight="false" outlineLevel="0" collapsed="false">
      <c r="A127" s="16" t="s">
        <v>258</v>
      </c>
      <c r="B127" s="17" t="s">
        <v>113</v>
      </c>
      <c r="C127" s="17" t="s">
        <v>272</v>
      </c>
      <c r="D127" s="17" t="s">
        <v>274</v>
      </c>
      <c r="E127" s="156" t="s">
        <v>87</v>
      </c>
      <c r="F127" s="16" t="s">
        <v>237</v>
      </c>
      <c r="G127" s="154" t="s">
        <v>732</v>
      </c>
      <c r="H127" s="150"/>
      <c r="I127" s="150"/>
      <c r="J127" s="150"/>
      <c r="K127" s="39" t="n">
        <v>7000</v>
      </c>
      <c r="L127" s="18" t="n">
        <v>3</v>
      </c>
      <c r="M127" s="18" t="n">
        <f aca="false">IF(AD127,1,0)+IF(AK127,1,0)+AN127+AU127+BB127+BI127+BP127+BW127+CD127+CK127+CR127+CY127+DF127+DM127+DT127+EA127+EH127+EO127+EV127+FC127+FJ127+FQ127+FX127+GE127+GL127+GS127+GZ127+HG127+HN127+HU127</f>
        <v>0</v>
      </c>
      <c r="N127" s="131"/>
      <c r="O127" s="147" t="n">
        <v>3200</v>
      </c>
      <c r="P127" s="147" t="n">
        <v>1920</v>
      </c>
      <c r="Q127" s="147" t="n">
        <v>256</v>
      </c>
      <c r="R127" s="21" t="s">
        <v>44</v>
      </c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31"/>
      <c r="AD127" s="128"/>
      <c r="AE127" s="128"/>
      <c r="AF127" s="128"/>
      <c r="AG127" s="128"/>
      <c r="AH127" s="128"/>
      <c r="AI127" s="147"/>
      <c r="AJ127" s="128"/>
      <c r="AK127" s="128"/>
      <c r="AL127" s="147"/>
      <c r="AM127" s="131"/>
      <c r="AN127" s="128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16"/>
      <c r="CK127" s="16"/>
      <c r="CL127" s="16"/>
      <c r="CM127" s="16"/>
      <c r="CN127" s="16"/>
      <c r="CO127" s="16"/>
      <c r="CP127" s="16"/>
      <c r="CQ127" s="128" t="n">
        <v>15</v>
      </c>
      <c r="CR127" s="128" t="n">
        <v>2</v>
      </c>
      <c r="CS127" s="131" t="s">
        <v>641</v>
      </c>
      <c r="CT127" s="131" t="s">
        <v>642</v>
      </c>
      <c r="CU127" s="131" t="s">
        <v>396</v>
      </c>
      <c r="CV127" s="131" t="s">
        <v>397</v>
      </c>
      <c r="CW127" s="131" t="s">
        <v>473</v>
      </c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/>
      <c r="DK127" s="52"/>
      <c r="DL127" s="52"/>
      <c r="DM127" s="52"/>
      <c r="DN127" s="52"/>
      <c r="DO127" s="52"/>
      <c r="DP127" s="52"/>
      <c r="DQ127" s="52"/>
      <c r="DR127" s="52"/>
      <c r="DS127" s="52"/>
      <c r="DT127" s="52"/>
      <c r="DU127" s="52"/>
      <c r="DV127" s="52"/>
      <c r="DW127" s="52"/>
      <c r="DX127" s="52"/>
      <c r="DY127" s="52"/>
      <c r="DZ127" s="52"/>
      <c r="EA127" s="52"/>
      <c r="EB127" s="52"/>
      <c r="EC127" s="52"/>
      <c r="ED127" s="52"/>
      <c r="EE127" s="52"/>
      <c r="EF127" s="52"/>
      <c r="EG127" s="52"/>
      <c r="EH127" s="52"/>
      <c r="EI127" s="52"/>
      <c r="EJ127" s="52"/>
      <c r="EK127" s="52"/>
      <c r="EL127" s="52"/>
      <c r="EM127" s="52"/>
      <c r="EN127" s="52"/>
      <c r="EO127" s="52"/>
      <c r="EP127" s="52"/>
      <c r="EQ127" s="52"/>
      <c r="ER127" s="52"/>
      <c r="ES127" s="52"/>
      <c r="ET127" s="52"/>
      <c r="EU127" s="52"/>
      <c r="EV127" s="52"/>
      <c r="EW127" s="52"/>
      <c r="EX127" s="52"/>
      <c r="EY127" s="52"/>
      <c r="EZ127" s="52"/>
      <c r="FA127" s="52"/>
      <c r="FB127" s="52"/>
      <c r="FC127" s="52"/>
      <c r="FD127" s="52"/>
      <c r="FE127" s="52"/>
      <c r="FF127" s="52"/>
      <c r="FG127" s="52"/>
      <c r="FH127" s="52"/>
      <c r="FI127" s="52"/>
      <c r="FJ127" s="52"/>
      <c r="FK127" s="52"/>
      <c r="FL127" s="52"/>
      <c r="FM127" s="52"/>
      <c r="FN127" s="52"/>
      <c r="FO127" s="52"/>
      <c r="FP127" s="52"/>
      <c r="FQ127" s="52"/>
      <c r="FR127" s="52"/>
      <c r="FS127" s="52"/>
      <c r="FT127" s="52"/>
      <c r="FU127" s="52"/>
      <c r="FV127" s="52"/>
      <c r="FW127" s="52"/>
      <c r="FX127" s="52"/>
      <c r="FY127" s="52"/>
      <c r="FZ127" s="52"/>
      <c r="GA127" s="52"/>
      <c r="GB127" s="52"/>
      <c r="GC127" s="52"/>
      <c r="GD127" s="52"/>
      <c r="GE127" s="52"/>
      <c r="GF127" s="52"/>
      <c r="GG127" s="52"/>
      <c r="GH127" s="52"/>
      <c r="GI127" s="52"/>
      <c r="GJ127" s="52"/>
      <c r="GK127" s="52"/>
      <c r="GL127" s="52"/>
      <c r="GM127" s="52"/>
      <c r="GN127" s="52"/>
      <c r="GO127" s="52"/>
      <c r="GP127" s="52"/>
      <c r="GQ127" s="52"/>
      <c r="GR127" s="52"/>
      <c r="GS127" s="52"/>
      <c r="GT127" s="52"/>
      <c r="GU127" s="52"/>
      <c r="GV127" s="52"/>
      <c r="GW127" s="52"/>
      <c r="GX127" s="52"/>
      <c r="GY127" s="52"/>
      <c r="GZ127" s="52"/>
      <c r="HA127" s="52"/>
      <c r="HB127" s="52"/>
      <c r="HC127" s="52"/>
      <c r="HD127" s="52"/>
      <c r="HE127" s="52"/>
      <c r="HF127" s="128" t="n">
        <v>15</v>
      </c>
      <c r="HG127" s="128" t="n">
        <v>1</v>
      </c>
      <c r="HH127" s="131" t="s">
        <v>643</v>
      </c>
      <c r="HI127" s="131" t="s">
        <v>396</v>
      </c>
      <c r="HJ127" s="131" t="s">
        <v>644</v>
      </c>
      <c r="HK127" s="131" t="s">
        <v>606</v>
      </c>
      <c r="HL127" s="131" t="s">
        <v>607</v>
      </c>
      <c r="HM127" s="128" t="n">
        <v>15</v>
      </c>
      <c r="HN127" s="128" t="n">
        <v>1</v>
      </c>
      <c r="HO127" s="131" t="s">
        <v>643</v>
      </c>
      <c r="HP127" s="131" t="s">
        <v>396</v>
      </c>
      <c r="HQ127" s="131" t="s">
        <v>644</v>
      </c>
      <c r="HR127" s="131" t="s">
        <v>606</v>
      </c>
      <c r="HS127" s="131" t="s">
        <v>607</v>
      </c>
      <c r="HT127" s="131"/>
      <c r="HU127" s="128"/>
      <c r="HV127" s="131"/>
      <c r="HW127" s="131"/>
      <c r="HX127" s="131"/>
      <c r="HY127" s="131"/>
      <c r="HZ127" s="131"/>
    </row>
    <row r="128" customFormat="false" ht="12.8" hidden="false" customHeight="false" outlineLevel="0" collapsed="false">
      <c r="A128" s="36" t="s">
        <v>258</v>
      </c>
      <c r="B128" s="35" t="s">
        <v>113</v>
      </c>
      <c r="C128" s="35" t="s">
        <v>272</v>
      </c>
      <c r="D128" s="35" t="s">
        <v>275</v>
      </c>
      <c r="E128" s="34" t="s">
        <v>88</v>
      </c>
      <c r="F128" s="36" t="s">
        <v>237</v>
      </c>
      <c r="G128" s="154" t="s">
        <v>732</v>
      </c>
      <c r="H128" s="150"/>
      <c r="I128" s="150"/>
      <c r="J128" s="150"/>
      <c r="K128" s="39" t="n">
        <v>7000</v>
      </c>
      <c r="L128" s="18" t="n">
        <v>0</v>
      </c>
      <c r="M128" s="18" t="n">
        <f aca="false">IF(AD128,1,0)+IF(AK128,1,0)+AN128+AU128+BB128+BI128+BP128+BW128+CD128+CK128+CR128+CY128+DF128+DM128+DT128+EA128+EH128+EO128+EV128+FC128+FJ128+FQ128+FX128+GE128+GL128+GS128+GZ128+HG128+HN128+HU128</f>
        <v>0</v>
      </c>
      <c r="N128" s="131"/>
      <c r="O128" s="147" t="n">
        <v>3200</v>
      </c>
      <c r="P128" s="147" t="n">
        <v>1920</v>
      </c>
      <c r="Q128" s="147" t="n">
        <v>256</v>
      </c>
      <c r="R128" s="21" t="s">
        <v>44</v>
      </c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31"/>
      <c r="AD128" s="128"/>
      <c r="AE128" s="128"/>
      <c r="AF128" s="128"/>
      <c r="AG128" s="128"/>
      <c r="AH128" s="128"/>
      <c r="AI128" s="147"/>
      <c r="AJ128" s="128"/>
      <c r="AK128" s="128"/>
      <c r="AL128" s="147"/>
      <c r="AM128" s="128"/>
      <c r="AN128" s="128"/>
      <c r="AO128" s="131"/>
      <c r="AP128" s="131"/>
      <c r="AQ128" s="131"/>
      <c r="AR128" s="131"/>
      <c r="AS128" s="131"/>
      <c r="AT128" s="128"/>
      <c r="AU128" s="128"/>
      <c r="AV128" s="131"/>
      <c r="AW128" s="131"/>
      <c r="AX128" s="131"/>
      <c r="AY128" s="131"/>
      <c r="AZ128" s="131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16"/>
      <c r="CK128" s="16"/>
      <c r="CL128" s="16"/>
      <c r="CM128" s="16"/>
      <c r="CN128" s="16"/>
      <c r="CO128" s="16"/>
      <c r="CP128" s="16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  <c r="DK128" s="52"/>
      <c r="DL128" s="52"/>
      <c r="DM128" s="52"/>
      <c r="DN128" s="52"/>
      <c r="DO128" s="52"/>
      <c r="DP128" s="52"/>
      <c r="DQ128" s="52"/>
      <c r="DR128" s="52"/>
      <c r="DS128" s="128"/>
      <c r="DT128" s="128"/>
      <c r="DU128" s="131"/>
      <c r="DV128" s="131"/>
      <c r="DW128" s="131"/>
      <c r="DX128" s="131"/>
      <c r="DY128" s="131"/>
      <c r="DZ128" s="52"/>
      <c r="EA128" s="52"/>
      <c r="EB128" s="52"/>
      <c r="EC128" s="52"/>
      <c r="ED128" s="52"/>
      <c r="EE128" s="52"/>
      <c r="EF128" s="52"/>
      <c r="EG128" s="52"/>
      <c r="EH128" s="52"/>
      <c r="EI128" s="52"/>
      <c r="EJ128" s="52"/>
      <c r="EK128" s="52"/>
      <c r="EL128" s="52"/>
      <c r="EM128" s="52"/>
      <c r="EN128" s="52"/>
      <c r="EO128" s="52"/>
      <c r="EP128" s="52"/>
      <c r="EQ128" s="52"/>
      <c r="ER128" s="52"/>
      <c r="ES128" s="52"/>
      <c r="ET128" s="52"/>
      <c r="EU128" s="52"/>
      <c r="EV128" s="52"/>
      <c r="EW128" s="52"/>
      <c r="EX128" s="52"/>
      <c r="EY128" s="52"/>
      <c r="EZ128" s="52"/>
      <c r="FA128" s="52"/>
      <c r="FB128" s="128"/>
      <c r="FC128" s="128"/>
      <c r="FD128" s="131"/>
      <c r="FE128" s="131"/>
      <c r="FF128" s="131"/>
      <c r="FG128" s="131"/>
      <c r="FH128" s="131"/>
      <c r="FI128" s="52"/>
      <c r="FJ128" s="52"/>
      <c r="FK128" s="52"/>
      <c r="FL128" s="52"/>
      <c r="FM128" s="52"/>
      <c r="FN128" s="52"/>
      <c r="FO128" s="52"/>
      <c r="FP128" s="52"/>
      <c r="FQ128" s="52"/>
      <c r="FR128" s="52"/>
      <c r="FS128" s="52"/>
      <c r="FT128" s="52"/>
      <c r="FU128" s="52"/>
      <c r="FV128" s="52"/>
      <c r="FW128" s="52"/>
      <c r="FX128" s="52"/>
      <c r="FY128" s="52"/>
      <c r="FZ128" s="52"/>
      <c r="GA128" s="52"/>
      <c r="GB128" s="52"/>
      <c r="GC128" s="52"/>
      <c r="GD128" s="52"/>
      <c r="GE128" s="52"/>
      <c r="GF128" s="52"/>
      <c r="GG128" s="52"/>
      <c r="GH128" s="52"/>
      <c r="GI128" s="52"/>
      <c r="GJ128" s="52"/>
      <c r="GK128" s="52"/>
      <c r="GL128" s="52"/>
      <c r="GM128" s="52"/>
      <c r="GN128" s="52"/>
      <c r="GO128" s="52"/>
      <c r="GP128" s="52"/>
      <c r="GQ128" s="52"/>
      <c r="GR128" s="52"/>
      <c r="GS128" s="52"/>
      <c r="GT128" s="52"/>
      <c r="GU128" s="52"/>
      <c r="GV128" s="52"/>
      <c r="GW128" s="52"/>
      <c r="GX128" s="52"/>
      <c r="GY128" s="52"/>
      <c r="GZ128" s="52"/>
      <c r="HA128" s="52"/>
      <c r="HB128" s="52"/>
      <c r="HC128" s="52"/>
      <c r="HD128" s="52"/>
      <c r="HE128" s="52"/>
      <c r="HF128" s="52"/>
      <c r="HG128" s="52"/>
      <c r="HH128" s="52"/>
      <c r="HI128" s="52"/>
      <c r="HJ128" s="52"/>
      <c r="HK128" s="52"/>
      <c r="HL128" s="52"/>
      <c r="HM128" s="52"/>
      <c r="HN128" s="52"/>
      <c r="HO128" s="52"/>
      <c r="HP128" s="52"/>
      <c r="HQ128" s="52"/>
      <c r="HR128" s="52"/>
      <c r="HS128" s="52"/>
      <c r="HT128" s="131"/>
      <c r="HU128" s="128"/>
      <c r="HV128" s="131"/>
      <c r="HW128" s="131"/>
      <c r="HX128" s="131"/>
      <c r="HY128" s="131"/>
      <c r="HZ128" s="131"/>
    </row>
    <row r="129" customFormat="false" ht="12.8" hidden="false" customHeight="false" outlineLevel="0" collapsed="false">
      <c r="A129" s="16" t="s">
        <v>258</v>
      </c>
      <c r="B129" s="16" t="s">
        <v>158</v>
      </c>
      <c r="C129" s="16" t="s">
        <v>276</v>
      </c>
      <c r="D129" s="16" t="s">
        <v>277</v>
      </c>
      <c r="E129" s="156" t="s">
        <v>89</v>
      </c>
      <c r="F129" s="16" t="s">
        <v>178</v>
      </c>
      <c r="G129" s="154" t="s">
        <v>738</v>
      </c>
      <c r="H129" s="148" t="s">
        <v>92</v>
      </c>
      <c r="I129" s="150"/>
      <c r="J129" s="150"/>
      <c r="K129" s="39" t="n">
        <v>7000</v>
      </c>
      <c r="L129" s="18" t="n">
        <v>6</v>
      </c>
      <c r="M129" s="18" t="n">
        <f aca="false">IF(AD129,1,0)+IF(AK129,1,0)+AN129+AU129+BB129+BI129+BP129+BW129+CD129+CK129+CR129+CY129+DF129+DM129+DT129+EA129+EH129+EO129+EV129+FC129+FJ129+FQ129+FX129+GE129+GL129+GS129+GZ129+HG129+HN129+HU129</f>
        <v>0</v>
      </c>
      <c r="N129" s="131"/>
      <c r="O129" s="147" t="n">
        <v>14400</v>
      </c>
      <c r="P129" s="147" t="n">
        <v>0</v>
      </c>
      <c r="Q129" s="147" t="n">
        <v>3456</v>
      </c>
      <c r="R129" s="21" t="s">
        <v>734</v>
      </c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23" t="s">
        <v>739</v>
      </c>
      <c r="AD129" s="128" t="n">
        <v>20</v>
      </c>
      <c r="AE129" s="128"/>
      <c r="AF129" s="128" t="n">
        <v>90</v>
      </c>
      <c r="AG129" s="128" t="n">
        <v>30</v>
      </c>
      <c r="AH129" s="128" t="n">
        <v>15</v>
      </c>
      <c r="AI129" s="147" t="s">
        <v>740</v>
      </c>
      <c r="AJ129" s="128"/>
      <c r="AK129" s="128"/>
      <c r="AL129" s="147"/>
      <c r="AM129" s="128" t="n">
        <v>10</v>
      </c>
      <c r="AN129" s="128" t="n">
        <v>1</v>
      </c>
      <c r="AO129" s="131" t="s">
        <v>633</v>
      </c>
      <c r="AP129" s="131" t="s">
        <v>634</v>
      </c>
      <c r="AQ129" s="131" t="s">
        <v>635</v>
      </c>
      <c r="AR129" s="131" t="s">
        <v>636</v>
      </c>
      <c r="AS129" s="131" t="s">
        <v>563</v>
      </c>
      <c r="AT129" s="128" t="n">
        <v>10</v>
      </c>
      <c r="AU129" s="128" t="n">
        <v>1</v>
      </c>
      <c r="AV129" s="131" t="s">
        <v>383</v>
      </c>
      <c r="AW129" s="131" t="s">
        <v>574</v>
      </c>
      <c r="AX129" s="131" t="s">
        <v>467</v>
      </c>
      <c r="AY129" s="131" t="s">
        <v>468</v>
      </c>
      <c r="AZ129" s="131" t="s">
        <v>380</v>
      </c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16"/>
      <c r="CK129" s="16"/>
      <c r="CL129" s="16"/>
      <c r="CM129" s="16"/>
      <c r="CN129" s="16"/>
      <c r="CO129" s="16"/>
      <c r="CP129" s="16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  <c r="DK129" s="52"/>
      <c r="DL129" s="52"/>
      <c r="DM129" s="52"/>
      <c r="DN129" s="52"/>
      <c r="DO129" s="52"/>
      <c r="DP129" s="52"/>
      <c r="DQ129" s="52"/>
      <c r="DR129" s="52"/>
      <c r="DS129" s="128" t="n">
        <v>10</v>
      </c>
      <c r="DT129" s="128" t="n">
        <v>2</v>
      </c>
      <c r="DU129" s="131" t="s">
        <v>381</v>
      </c>
      <c r="DV129" s="131" t="s">
        <v>382</v>
      </c>
      <c r="DW129" s="131" t="s">
        <v>383</v>
      </c>
      <c r="DX129" s="131" t="s">
        <v>384</v>
      </c>
      <c r="DY129" s="131" t="s">
        <v>399</v>
      </c>
      <c r="DZ129" s="52"/>
      <c r="EA129" s="52"/>
      <c r="EB129" s="52"/>
      <c r="EC129" s="52"/>
      <c r="ED129" s="52"/>
      <c r="EE129" s="52"/>
      <c r="EF129" s="52"/>
      <c r="EG129" s="52"/>
      <c r="EH129" s="52"/>
      <c r="EI129" s="52"/>
      <c r="EJ129" s="52"/>
      <c r="EK129" s="52"/>
      <c r="EL129" s="52"/>
      <c r="EM129" s="52"/>
      <c r="EN129" s="52"/>
      <c r="EO129" s="52"/>
      <c r="EP129" s="52"/>
      <c r="EQ129" s="52"/>
      <c r="ER129" s="52"/>
      <c r="ES129" s="52"/>
      <c r="ET129" s="52"/>
      <c r="EU129" s="52"/>
      <c r="EV129" s="52"/>
      <c r="EW129" s="52"/>
      <c r="EX129" s="52"/>
      <c r="EY129" s="52"/>
      <c r="EZ129" s="52"/>
      <c r="FA129" s="52"/>
      <c r="FB129" s="128" t="n">
        <v>10</v>
      </c>
      <c r="FC129" s="128" t="n">
        <v>2</v>
      </c>
      <c r="FD129" s="131" t="s">
        <v>572</v>
      </c>
      <c r="FE129" s="131" t="s">
        <v>383</v>
      </c>
      <c r="FF129" s="131" t="s">
        <v>573</v>
      </c>
      <c r="FG129" s="131" t="s">
        <v>574</v>
      </c>
      <c r="FH129" s="131" t="s">
        <v>378</v>
      </c>
      <c r="FI129" s="52"/>
      <c r="FJ129" s="52"/>
      <c r="FK129" s="52"/>
      <c r="FL129" s="52"/>
      <c r="FM129" s="52"/>
      <c r="FN129" s="52"/>
      <c r="FO129" s="52"/>
      <c r="FP129" s="52"/>
      <c r="FQ129" s="52"/>
      <c r="FR129" s="52"/>
      <c r="FS129" s="52"/>
      <c r="FT129" s="52"/>
      <c r="FU129" s="52"/>
      <c r="FV129" s="52"/>
      <c r="FW129" s="52"/>
      <c r="FX129" s="52"/>
      <c r="FY129" s="52"/>
      <c r="FZ129" s="52"/>
      <c r="GA129" s="52"/>
      <c r="GB129" s="52"/>
      <c r="GC129" s="52"/>
      <c r="GD129" s="52"/>
      <c r="GE129" s="52"/>
      <c r="GF129" s="52"/>
      <c r="GG129" s="52"/>
      <c r="GH129" s="52"/>
      <c r="GI129" s="52"/>
      <c r="GJ129" s="52"/>
      <c r="GK129" s="52"/>
      <c r="GL129" s="52"/>
      <c r="GM129" s="52"/>
      <c r="GN129" s="52"/>
      <c r="GO129" s="52"/>
      <c r="GP129" s="52"/>
      <c r="GQ129" s="52"/>
      <c r="GR129" s="52"/>
      <c r="GS129" s="52"/>
      <c r="GT129" s="52"/>
      <c r="GU129" s="52"/>
      <c r="GV129" s="52"/>
      <c r="GW129" s="52"/>
      <c r="GX129" s="52"/>
      <c r="GY129" s="128" t="n">
        <v>10</v>
      </c>
      <c r="GZ129" s="128" t="n">
        <v>1</v>
      </c>
      <c r="HA129" s="131" t="s">
        <v>381</v>
      </c>
      <c r="HB129" s="131" t="s">
        <v>382</v>
      </c>
      <c r="HC129" s="131" t="s">
        <v>383</v>
      </c>
      <c r="HD129" s="131" t="s">
        <v>384</v>
      </c>
      <c r="HE129" s="131" t="s">
        <v>399</v>
      </c>
      <c r="HF129" s="52"/>
      <c r="HG129" s="52"/>
      <c r="HH129" s="52"/>
      <c r="HI129" s="52"/>
      <c r="HJ129" s="52"/>
      <c r="HK129" s="52"/>
      <c r="HL129" s="52"/>
      <c r="HM129" s="52"/>
      <c r="HN129" s="52"/>
      <c r="HO129" s="52"/>
      <c r="HP129" s="52"/>
      <c r="HQ129" s="52"/>
      <c r="HR129" s="52"/>
      <c r="HS129" s="52"/>
      <c r="HT129" s="39" t="n">
        <v>10</v>
      </c>
      <c r="HU129" s="128" t="n">
        <v>1</v>
      </c>
      <c r="HV129" s="131" t="s">
        <v>572</v>
      </c>
      <c r="HW129" s="131" t="s">
        <v>383</v>
      </c>
      <c r="HX129" s="131" t="s">
        <v>573</v>
      </c>
      <c r="HY129" s="131" t="s">
        <v>574</v>
      </c>
      <c r="HZ129" s="131" t="s">
        <v>378</v>
      </c>
    </row>
    <row r="130" customFormat="false" ht="12.8" hidden="false" customHeight="false" outlineLevel="0" collapsed="false">
      <c r="A130" s="16" t="s">
        <v>258</v>
      </c>
      <c r="B130" s="16" t="s">
        <v>158</v>
      </c>
      <c r="C130" s="16" t="s">
        <v>276</v>
      </c>
      <c r="D130" s="16" t="s">
        <v>277</v>
      </c>
      <c r="E130" s="156" t="s">
        <v>89</v>
      </c>
      <c r="F130" s="16" t="s">
        <v>178</v>
      </c>
      <c r="G130" s="154" t="s">
        <v>741</v>
      </c>
      <c r="H130" s="150"/>
      <c r="I130" s="150"/>
      <c r="J130" s="150"/>
      <c r="K130" s="39" t="n">
        <v>7000</v>
      </c>
      <c r="L130" s="18" t="n">
        <v>4</v>
      </c>
      <c r="M130" s="18" t="n">
        <f aca="false">IF(AD130,1,0)+IF(AK130,1,0)+AN130+AU130+BB130+BI130+BP130+BW130+CD130+CK130+CR130+CY130+DF130+DM130+DT130+EA130+EH130+EO130+EV130+FC130+FJ130+FQ130+FX130+GE130+GL130+GS130+GZ130+HG130+HN130+HU130</f>
        <v>0</v>
      </c>
      <c r="N130" s="131"/>
      <c r="O130" s="147" t="n">
        <v>3428</v>
      </c>
      <c r="P130" s="147" t="n">
        <v>0</v>
      </c>
      <c r="Q130" s="147" t="n">
        <v>171</v>
      </c>
      <c r="R130" s="21" t="s">
        <v>45</v>
      </c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31"/>
      <c r="AD130" s="128"/>
      <c r="AE130" s="128"/>
      <c r="AF130" s="128"/>
      <c r="AG130" s="128"/>
      <c r="AH130" s="128"/>
      <c r="AI130" s="147"/>
      <c r="AJ130" s="128"/>
      <c r="AK130" s="128"/>
      <c r="AL130" s="147"/>
      <c r="AM130" s="131"/>
      <c r="AN130" s="128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16"/>
      <c r="CK130" s="16"/>
      <c r="CL130" s="16"/>
      <c r="CM130" s="16"/>
      <c r="CN130" s="16"/>
      <c r="CO130" s="16"/>
      <c r="CP130" s="16"/>
      <c r="CQ130" s="52"/>
      <c r="CR130" s="52"/>
      <c r="CS130" s="52"/>
      <c r="CT130" s="52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128" t="n">
        <v>2</v>
      </c>
      <c r="DF130" s="128" t="n">
        <v>2</v>
      </c>
      <c r="DG130" s="131" t="s">
        <v>399</v>
      </c>
      <c r="DH130" s="52"/>
      <c r="DI130" s="52"/>
      <c r="DJ130" s="52"/>
      <c r="DK130" s="52"/>
      <c r="DL130" s="52"/>
      <c r="DM130" s="52"/>
      <c r="DN130" s="52"/>
      <c r="DO130" s="52"/>
      <c r="DP130" s="52"/>
      <c r="DQ130" s="52"/>
      <c r="DR130" s="52"/>
      <c r="DS130" s="52"/>
      <c r="DT130" s="52"/>
      <c r="DU130" s="52"/>
      <c r="DV130" s="52"/>
      <c r="DW130" s="52"/>
      <c r="DX130" s="52"/>
      <c r="DY130" s="52"/>
      <c r="DZ130" s="52"/>
      <c r="EA130" s="52"/>
      <c r="EB130" s="52"/>
      <c r="EC130" s="52"/>
      <c r="ED130" s="52"/>
      <c r="EE130" s="52"/>
      <c r="EF130" s="52"/>
      <c r="EG130" s="52"/>
      <c r="EH130" s="52"/>
      <c r="EI130" s="52"/>
      <c r="EJ130" s="52"/>
      <c r="EK130" s="52"/>
      <c r="EL130" s="52"/>
      <c r="EM130" s="52"/>
      <c r="EN130" s="52"/>
      <c r="EO130" s="52"/>
      <c r="EP130" s="52"/>
      <c r="EQ130" s="52"/>
      <c r="ER130" s="52"/>
      <c r="ES130" s="52"/>
      <c r="ET130" s="52"/>
      <c r="EU130" s="52"/>
      <c r="EV130" s="52"/>
      <c r="EW130" s="52"/>
      <c r="EX130" s="52"/>
      <c r="EY130" s="52"/>
      <c r="EZ130" s="52"/>
      <c r="FA130" s="52"/>
      <c r="FB130" s="128" t="n">
        <v>2</v>
      </c>
      <c r="FC130" s="128" t="n">
        <v>1</v>
      </c>
      <c r="FD130" s="131" t="s">
        <v>378</v>
      </c>
      <c r="FE130" s="52"/>
      <c r="FF130" s="52"/>
      <c r="FG130" s="52"/>
      <c r="FH130" s="52"/>
      <c r="FI130" s="52"/>
      <c r="FJ130" s="52"/>
      <c r="FK130" s="52"/>
      <c r="FL130" s="52"/>
      <c r="FM130" s="52"/>
      <c r="FN130" s="52"/>
      <c r="FO130" s="52"/>
      <c r="FP130" s="52"/>
      <c r="FQ130" s="52"/>
      <c r="FR130" s="52"/>
      <c r="FS130" s="52"/>
      <c r="FT130" s="52"/>
      <c r="FU130" s="52"/>
      <c r="FV130" s="52"/>
      <c r="FW130" s="52"/>
      <c r="FX130" s="52"/>
      <c r="FY130" s="52"/>
      <c r="FZ130" s="52"/>
      <c r="GA130" s="52"/>
      <c r="GB130" s="52"/>
      <c r="GC130" s="52"/>
      <c r="GD130" s="52"/>
      <c r="GE130" s="52"/>
      <c r="GF130" s="52"/>
      <c r="GG130" s="52"/>
      <c r="GH130" s="52"/>
      <c r="GI130" s="52"/>
      <c r="GJ130" s="52"/>
      <c r="GK130" s="52"/>
      <c r="GL130" s="52"/>
      <c r="GM130" s="52"/>
      <c r="GN130" s="52"/>
      <c r="GO130" s="52"/>
      <c r="GP130" s="52"/>
      <c r="GQ130" s="52"/>
      <c r="GR130" s="52"/>
      <c r="GS130" s="52"/>
      <c r="GT130" s="52"/>
      <c r="GU130" s="52"/>
      <c r="GV130" s="52"/>
      <c r="GW130" s="52"/>
      <c r="GX130" s="52"/>
      <c r="GY130" s="52"/>
      <c r="GZ130" s="52"/>
      <c r="HA130" s="52"/>
      <c r="HB130" s="52"/>
      <c r="HC130" s="52"/>
      <c r="HD130" s="52"/>
      <c r="HE130" s="52"/>
      <c r="HF130" s="52"/>
      <c r="HG130" s="52"/>
      <c r="HH130" s="52"/>
      <c r="HI130" s="52"/>
      <c r="HJ130" s="52"/>
      <c r="HK130" s="52"/>
      <c r="HL130" s="52"/>
      <c r="HM130" s="128" t="n">
        <v>2</v>
      </c>
      <c r="HN130" s="128" t="n">
        <v>2</v>
      </c>
      <c r="HO130" s="131" t="s">
        <v>378</v>
      </c>
      <c r="HP130" s="52"/>
      <c r="HQ130" s="52"/>
      <c r="HR130" s="52"/>
      <c r="HS130" s="52"/>
      <c r="HT130" s="131"/>
      <c r="HU130" s="128"/>
      <c r="HV130" s="131"/>
      <c r="HW130" s="131"/>
      <c r="HX130" s="131"/>
      <c r="HY130" s="131"/>
      <c r="HZ130" s="131"/>
    </row>
    <row r="131" customFormat="false" ht="12.8" hidden="false" customHeight="false" outlineLevel="0" collapsed="false">
      <c r="A131" s="16" t="s">
        <v>258</v>
      </c>
      <c r="B131" s="16" t="s">
        <v>158</v>
      </c>
      <c r="C131" s="16" t="s">
        <v>276</v>
      </c>
      <c r="D131" s="16" t="s">
        <v>277</v>
      </c>
      <c r="E131" s="156" t="s">
        <v>89</v>
      </c>
      <c r="F131" s="16" t="s">
        <v>178</v>
      </c>
      <c r="G131" s="154" t="s">
        <v>731</v>
      </c>
      <c r="H131" s="150"/>
      <c r="I131" s="150"/>
      <c r="J131" s="150"/>
      <c r="K131" s="39" t="n">
        <v>7000</v>
      </c>
      <c r="L131" s="18" t="n">
        <v>4</v>
      </c>
      <c r="M131" s="18" t="n">
        <f aca="false">IF(AD131,1,0)+IF(AK131,1,0)+AN131+AU131+BB131+BI131+BP131+BW131+CD131+CK131+CR131+CY131+DF131+DM131+DT131+EA131+EH131+EO131+EV131+FC131+FJ131+FQ131+FX131+GE131+GL131+GS131+GZ131+HG131+HN131+HU131</f>
        <v>0</v>
      </c>
      <c r="N131" s="131"/>
      <c r="O131" s="147" t="n">
        <v>2100</v>
      </c>
      <c r="P131" s="147" t="n">
        <v>1260</v>
      </c>
      <c r="Q131" s="147" t="n">
        <v>126</v>
      </c>
      <c r="R131" s="21" t="s">
        <v>44</v>
      </c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31"/>
      <c r="AD131" s="128"/>
      <c r="AE131" s="128"/>
      <c r="AF131" s="128"/>
      <c r="AG131" s="128"/>
      <c r="AH131" s="128"/>
      <c r="AI131" s="147"/>
      <c r="AJ131" s="128"/>
      <c r="AK131" s="128"/>
      <c r="AL131" s="147"/>
      <c r="AM131" s="131"/>
      <c r="AN131" s="128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16"/>
      <c r="CK131" s="16"/>
      <c r="CL131" s="16"/>
      <c r="CM131" s="16"/>
      <c r="CN131" s="16"/>
      <c r="CO131" s="16"/>
      <c r="CP131" s="16"/>
      <c r="CQ131" s="128" t="n">
        <v>2</v>
      </c>
      <c r="CR131" s="128" t="n">
        <v>2</v>
      </c>
      <c r="CS131" s="131" t="s">
        <v>399</v>
      </c>
      <c r="CT131" s="52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  <c r="DK131" s="52"/>
      <c r="DL131" s="52"/>
      <c r="DM131" s="52"/>
      <c r="DN131" s="52"/>
      <c r="DO131" s="52"/>
      <c r="DP131" s="52"/>
      <c r="DQ131" s="52"/>
      <c r="DR131" s="52"/>
      <c r="DS131" s="52"/>
      <c r="DT131" s="52"/>
      <c r="DU131" s="52"/>
      <c r="DV131" s="52"/>
      <c r="DW131" s="52"/>
      <c r="DX131" s="52"/>
      <c r="DY131" s="52"/>
      <c r="DZ131" s="52"/>
      <c r="EA131" s="52"/>
      <c r="EB131" s="52"/>
      <c r="EC131" s="52"/>
      <c r="ED131" s="52"/>
      <c r="EE131" s="52"/>
      <c r="EF131" s="52"/>
      <c r="EG131" s="52"/>
      <c r="EH131" s="52"/>
      <c r="EI131" s="52"/>
      <c r="EJ131" s="52"/>
      <c r="EK131" s="52"/>
      <c r="EL131" s="52"/>
      <c r="EM131" s="52"/>
      <c r="EN131" s="52"/>
      <c r="EO131" s="52"/>
      <c r="EP131" s="52"/>
      <c r="EQ131" s="52"/>
      <c r="ER131" s="52"/>
      <c r="ES131" s="52"/>
      <c r="ET131" s="52"/>
      <c r="EU131" s="52"/>
      <c r="EV131" s="52"/>
      <c r="EW131" s="52"/>
      <c r="EX131" s="52"/>
      <c r="EY131" s="52"/>
      <c r="EZ131" s="52"/>
      <c r="FA131" s="52"/>
      <c r="FB131" s="128" t="n">
        <v>2</v>
      </c>
      <c r="FC131" s="128" t="n">
        <v>2</v>
      </c>
      <c r="FD131" s="131" t="s">
        <v>378</v>
      </c>
      <c r="FE131" s="52"/>
      <c r="FF131" s="52"/>
      <c r="FG131" s="52"/>
      <c r="FH131" s="52"/>
      <c r="FI131" s="52"/>
      <c r="FJ131" s="52"/>
      <c r="FK131" s="52"/>
      <c r="FL131" s="52"/>
      <c r="FM131" s="52"/>
      <c r="FN131" s="52"/>
      <c r="FO131" s="52"/>
      <c r="FP131" s="52"/>
      <c r="FQ131" s="52"/>
      <c r="FR131" s="52"/>
      <c r="FS131" s="52"/>
      <c r="FT131" s="52"/>
      <c r="FU131" s="52"/>
      <c r="FV131" s="52"/>
      <c r="FW131" s="52"/>
      <c r="FX131" s="52"/>
      <c r="FY131" s="52"/>
      <c r="FZ131" s="52"/>
      <c r="GA131" s="52"/>
      <c r="GB131" s="52"/>
      <c r="GC131" s="52"/>
      <c r="GD131" s="52"/>
      <c r="GE131" s="52"/>
      <c r="GF131" s="52"/>
      <c r="GG131" s="52"/>
      <c r="GH131" s="52"/>
      <c r="GI131" s="52"/>
      <c r="GJ131" s="52"/>
      <c r="GK131" s="52"/>
      <c r="GL131" s="52"/>
      <c r="GM131" s="52"/>
      <c r="GN131" s="52"/>
      <c r="GO131" s="52"/>
      <c r="GP131" s="52"/>
      <c r="GQ131" s="52"/>
      <c r="GR131" s="52"/>
      <c r="GS131" s="52"/>
      <c r="GT131" s="52"/>
      <c r="GU131" s="52"/>
      <c r="GV131" s="52"/>
      <c r="GW131" s="52"/>
      <c r="GX131" s="52"/>
      <c r="GY131" s="52"/>
      <c r="GZ131" s="52"/>
      <c r="HA131" s="52"/>
      <c r="HB131" s="52"/>
      <c r="HC131" s="52"/>
      <c r="HD131" s="52"/>
      <c r="HE131" s="52"/>
      <c r="HF131" s="128" t="n">
        <v>2</v>
      </c>
      <c r="HG131" s="128" t="n">
        <v>1</v>
      </c>
      <c r="HH131" s="131" t="s">
        <v>378</v>
      </c>
      <c r="HI131" s="52"/>
      <c r="HJ131" s="52"/>
      <c r="HK131" s="52"/>
      <c r="HL131" s="52"/>
      <c r="HM131" s="52"/>
      <c r="HN131" s="52"/>
      <c r="HO131" s="52"/>
      <c r="HP131" s="52"/>
      <c r="HQ131" s="52"/>
      <c r="HR131" s="52"/>
      <c r="HS131" s="52"/>
      <c r="HT131" s="131"/>
      <c r="HU131" s="128"/>
      <c r="HV131" s="131"/>
      <c r="HW131" s="131"/>
      <c r="HX131" s="131"/>
      <c r="HY131" s="131"/>
      <c r="HZ131" s="131"/>
    </row>
    <row r="132" customFormat="false" ht="12.8" hidden="false" customHeight="false" outlineLevel="0" collapsed="false">
      <c r="A132" s="16" t="s">
        <v>258</v>
      </c>
      <c r="B132" s="16" t="s">
        <v>158</v>
      </c>
      <c r="C132" s="16" t="s">
        <v>276</v>
      </c>
      <c r="D132" s="16" t="s">
        <v>278</v>
      </c>
      <c r="E132" s="156" t="s">
        <v>87</v>
      </c>
      <c r="F132" s="16" t="s">
        <v>116</v>
      </c>
      <c r="G132" s="157"/>
      <c r="H132" s="150"/>
      <c r="I132" s="150"/>
      <c r="J132" s="150"/>
      <c r="K132" s="39" t="n">
        <v>7000</v>
      </c>
      <c r="L132" s="18"/>
      <c r="M132" s="18" t="n">
        <f aca="false">IF(AD132,1,0)+IF(AK132,1,0)+AN132+AU132+BB132+BI132+BP132+BW132+CD132+CK132+CR132+CY132+DF132+DM132+DT132+EA132+EH132+EO132+EV132+FC132+FJ132+FQ132+FX132+GE132+GL132+GS132+GZ132+HG132+HN132+HU132</f>
        <v>0</v>
      </c>
      <c r="N132" s="131"/>
      <c r="O132" s="147"/>
      <c r="P132" s="147"/>
      <c r="Q132" s="147"/>
      <c r="R132" s="12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31"/>
      <c r="AD132" s="128"/>
      <c r="AE132" s="128"/>
      <c r="AF132" s="128"/>
      <c r="AG132" s="128"/>
      <c r="AH132" s="128"/>
      <c r="AI132" s="147"/>
      <c r="AJ132" s="128"/>
      <c r="AK132" s="128"/>
      <c r="AL132" s="147"/>
      <c r="AM132" s="131"/>
      <c r="AN132" s="128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16"/>
      <c r="CK132" s="16"/>
      <c r="CL132" s="16"/>
      <c r="CM132" s="16"/>
      <c r="CN132" s="16"/>
      <c r="CO132" s="16"/>
      <c r="CP132" s="16"/>
      <c r="CQ132" s="52"/>
      <c r="CR132" s="52"/>
      <c r="CS132" s="52"/>
      <c r="CT132" s="52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  <c r="DK132" s="52"/>
      <c r="DL132" s="52"/>
      <c r="DM132" s="52"/>
      <c r="DN132" s="52"/>
      <c r="DO132" s="52"/>
      <c r="DP132" s="52"/>
      <c r="DQ132" s="52"/>
      <c r="DR132" s="52"/>
      <c r="DS132" s="52"/>
      <c r="DT132" s="52"/>
      <c r="DU132" s="52"/>
      <c r="DV132" s="52"/>
      <c r="DW132" s="52"/>
      <c r="DX132" s="52"/>
      <c r="DY132" s="52"/>
      <c r="DZ132" s="52"/>
      <c r="EA132" s="52"/>
      <c r="EB132" s="52"/>
      <c r="EC132" s="52"/>
      <c r="ED132" s="52"/>
      <c r="EE132" s="52"/>
      <c r="EF132" s="52"/>
      <c r="EG132" s="52"/>
      <c r="EH132" s="52"/>
      <c r="EI132" s="52"/>
      <c r="EJ132" s="52"/>
      <c r="EK132" s="52"/>
      <c r="EL132" s="52"/>
      <c r="EM132" s="52"/>
      <c r="EN132" s="52"/>
      <c r="EO132" s="52"/>
      <c r="EP132" s="52"/>
      <c r="EQ132" s="52"/>
      <c r="ER132" s="52"/>
      <c r="ES132" s="52"/>
      <c r="ET132" s="52"/>
      <c r="EU132" s="52"/>
      <c r="EV132" s="52"/>
      <c r="EW132" s="52"/>
      <c r="EX132" s="52"/>
      <c r="EY132" s="52"/>
      <c r="EZ132" s="52"/>
      <c r="FA132" s="52"/>
      <c r="FB132" s="52"/>
      <c r="FC132" s="52"/>
      <c r="FD132" s="52"/>
      <c r="FE132" s="52"/>
      <c r="FF132" s="52"/>
      <c r="FG132" s="52"/>
      <c r="FH132" s="52"/>
      <c r="FI132" s="52"/>
      <c r="FJ132" s="52"/>
      <c r="FK132" s="52"/>
      <c r="FL132" s="52"/>
      <c r="FM132" s="52"/>
      <c r="FN132" s="52"/>
      <c r="FO132" s="52"/>
      <c r="FP132" s="52"/>
      <c r="FQ132" s="52"/>
      <c r="FR132" s="52"/>
      <c r="FS132" s="52"/>
      <c r="FT132" s="52"/>
      <c r="FU132" s="52"/>
      <c r="FV132" s="52"/>
      <c r="FW132" s="52"/>
      <c r="FX132" s="52"/>
      <c r="FY132" s="52"/>
      <c r="FZ132" s="52"/>
      <c r="GA132" s="52"/>
      <c r="GB132" s="52"/>
      <c r="GC132" s="52"/>
      <c r="GD132" s="52"/>
      <c r="GE132" s="52"/>
      <c r="GF132" s="52"/>
      <c r="GG132" s="52"/>
      <c r="GH132" s="52"/>
      <c r="GI132" s="52"/>
      <c r="GJ132" s="52"/>
      <c r="GK132" s="52"/>
      <c r="GL132" s="52"/>
      <c r="GM132" s="52"/>
      <c r="GN132" s="52"/>
      <c r="GO132" s="52"/>
      <c r="GP132" s="52"/>
      <c r="GQ132" s="52"/>
      <c r="GR132" s="52"/>
      <c r="GS132" s="52"/>
      <c r="GT132" s="52"/>
      <c r="GU132" s="52"/>
      <c r="GV132" s="52"/>
      <c r="GW132" s="52"/>
      <c r="GX132" s="52"/>
      <c r="GY132" s="52"/>
      <c r="GZ132" s="52"/>
      <c r="HA132" s="52"/>
      <c r="HB132" s="52"/>
      <c r="HC132" s="52"/>
      <c r="HD132" s="52"/>
      <c r="HE132" s="52"/>
      <c r="HF132" s="52"/>
      <c r="HG132" s="52"/>
      <c r="HH132" s="52"/>
      <c r="HI132" s="52"/>
      <c r="HJ132" s="52"/>
      <c r="HK132" s="52"/>
      <c r="HL132" s="52"/>
      <c r="HM132" s="52"/>
      <c r="HN132" s="52"/>
      <c r="HO132" s="52"/>
      <c r="HP132" s="52"/>
      <c r="HQ132" s="52"/>
      <c r="HR132" s="52"/>
      <c r="HS132" s="52"/>
      <c r="HT132" s="131"/>
      <c r="HU132" s="128"/>
      <c r="HV132" s="131"/>
      <c r="HW132" s="131"/>
      <c r="HX132" s="131"/>
      <c r="HY132" s="131"/>
      <c r="HZ132" s="131"/>
    </row>
    <row r="133" customFormat="false" ht="12.8" hidden="false" customHeight="false" outlineLevel="0" collapsed="false">
      <c r="A133" s="16" t="s">
        <v>258</v>
      </c>
      <c r="B133" s="16" t="s">
        <v>158</v>
      </c>
      <c r="C133" s="16" t="s">
        <v>276</v>
      </c>
      <c r="D133" s="16" t="s">
        <v>279</v>
      </c>
      <c r="E133" s="156" t="s">
        <v>88</v>
      </c>
      <c r="F133" s="16" t="s">
        <v>153</v>
      </c>
      <c r="G133" s="157"/>
      <c r="H133" s="150"/>
      <c r="I133" s="150"/>
      <c r="J133" s="150"/>
      <c r="K133" s="39" t="n">
        <v>7000</v>
      </c>
      <c r="L133" s="18"/>
      <c r="M133" s="18" t="n">
        <f aca="false">IF(AD133,1,0)+IF(AK133,1,0)+AN133+AU133+BB133+BI133+BP133+BW133+CD133+CK133+CR133+CY133+DF133+DM133+DT133+EA133+EH133+EO133+EV133+FC133+FJ133+FQ133+FX133+GE133+GL133+GS133+GZ133+HG133+HN133+HU133</f>
        <v>0</v>
      </c>
      <c r="N133" s="131"/>
      <c r="O133" s="147"/>
      <c r="P133" s="147"/>
      <c r="Q133" s="147"/>
      <c r="R133" s="12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31"/>
      <c r="AD133" s="128"/>
      <c r="AE133" s="128"/>
      <c r="AF133" s="128"/>
      <c r="AG133" s="128"/>
      <c r="AH133" s="128"/>
      <c r="AI133" s="147"/>
      <c r="AJ133" s="128"/>
      <c r="AK133" s="128"/>
      <c r="AL133" s="147"/>
      <c r="AM133" s="131"/>
      <c r="AN133" s="128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  <c r="AZ133" s="131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16"/>
      <c r="CK133" s="16"/>
      <c r="CL133" s="16"/>
      <c r="CM133" s="16"/>
      <c r="CN133" s="16"/>
      <c r="CO133" s="16"/>
      <c r="CP133" s="16"/>
      <c r="CQ133" s="52"/>
      <c r="CR133" s="52"/>
      <c r="CS133" s="52"/>
      <c r="CT133" s="52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  <c r="DK133" s="52"/>
      <c r="DL133" s="52"/>
      <c r="DM133" s="52"/>
      <c r="DN133" s="52"/>
      <c r="DO133" s="52"/>
      <c r="DP133" s="52"/>
      <c r="DQ133" s="52"/>
      <c r="DR133" s="52"/>
      <c r="DS133" s="52"/>
      <c r="DT133" s="52"/>
      <c r="DU133" s="52"/>
      <c r="DV133" s="52"/>
      <c r="DW133" s="52"/>
      <c r="DX133" s="52"/>
      <c r="DY133" s="52"/>
      <c r="DZ133" s="52"/>
      <c r="EA133" s="52"/>
      <c r="EB133" s="52"/>
      <c r="EC133" s="52"/>
      <c r="ED133" s="52"/>
      <c r="EE133" s="52"/>
      <c r="EF133" s="52"/>
      <c r="EG133" s="52"/>
      <c r="EH133" s="52"/>
      <c r="EI133" s="52"/>
      <c r="EJ133" s="52"/>
      <c r="EK133" s="52"/>
      <c r="EL133" s="52"/>
      <c r="EM133" s="52"/>
      <c r="EN133" s="52"/>
      <c r="EO133" s="52"/>
      <c r="EP133" s="52"/>
      <c r="EQ133" s="52"/>
      <c r="ER133" s="52"/>
      <c r="ES133" s="52"/>
      <c r="ET133" s="52"/>
      <c r="EU133" s="52"/>
      <c r="EV133" s="52"/>
      <c r="EW133" s="52"/>
      <c r="EX133" s="52"/>
      <c r="EY133" s="52"/>
      <c r="EZ133" s="52"/>
      <c r="FA133" s="52"/>
      <c r="FB133" s="52"/>
      <c r="FC133" s="52"/>
      <c r="FD133" s="52"/>
      <c r="FE133" s="52"/>
      <c r="FF133" s="52"/>
      <c r="FG133" s="52"/>
      <c r="FH133" s="52"/>
      <c r="FI133" s="52"/>
      <c r="FJ133" s="52"/>
      <c r="FK133" s="52"/>
      <c r="FL133" s="52"/>
      <c r="FM133" s="52"/>
      <c r="FN133" s="52"/>
      <c r="FO133" s="52"/>
      <c r="FP133" s="52"/>
      <c r="FQ133" s="52"/>
      <c r="FR133" s="52"/>
      <c r="FS133" s="52"/>
      <c r="FT133" s="52"/>
      <c r="FU133" s="52"/>
      <c r="FV133" s="52"/>
      <c r="FW133" s="52"/>
      <c r="FX133" s="52"/>
      <c r="FY133" s="52"/>
      <c r="FZ133" s="52"/>
      <c r="GA133" s="52"/>
      <c r="GB133" s="52"/>
      <c r="GC133" s="52"/>
      <c r="GD133" s="52"/>
      <c r="GE133" s="52"/>
      <c r="GF133" s="52"/>
      <c r="GG133" s="52"/>
      <c r="GH133" s="52"/>
      <c r="GI133" s="52"/>
      <c r="GJ133" s="52"/>
      <c r="GK133" s="52"/>
      <c r="GL133" s="52"/>
      <c r="GM133" s="52"/>
      <c r="GN133" s="52"/>
      <c r="GO133" s="52"/>
      <c r="GP133" s="52"/>
      <c r="GQ133" s="52"/>
      <c r="GR133" s="52"/>
      <c r="GS133" s="52"/>
      <c r="GT133" s="52"/>
      <c r="GU133" s="52"/>
      <c r="GV133" s="52"/>
      <c r="GW133" s="52"/>
      <c r="GX133" s="52"/>
      <c r="GY133" s="52"/>
      <c r="GZ133" s="52"/>
      <c r="HA133" s="52"/>
      <c r="HB133" s="52"/>
      <c r="HC133" s="52"/>
      <c r="HD133" s="52"/>
      <c r="HE133" s="52"/>
      <c r="HF133" s="52"/>
      <c r="HG133" s="52"/>
      <c r="HH133" s="52"/>
      <c r="HI133" s="52"/>
      <c r="HJ133" s="52"/>
      <c r="HK133" s="52"/>
      <c r="HL133" s="52"/>
      <c r="HM133" s="52"/>
      <c r="HN133" s="52"/>
      <c r="HO133" s="52"/>
      <c r="HP133" s="52"/>
      <c r="HQ133" s="52"/>
      <c r="HR133" s="52"/>
      <c r="HS133" s="52"/>
      <c r="HT133" s="131"/>
      <c r="HU133" s="128"/>
      <c r="HV133" s="131"/>
      <c r="HW133" s="131"/>
      <c r="HX133" s="131"/>
      <c r="HY133" s="131"/>
      <c r="HZ133" s="131"/>
    </row>
    <row r="134" customFormat="false" ht="12.8" hidden="false" customHeight="false" outlineLevel="0" collapsed="false">
      <c r="A134" s="16" t="s">
        <v>258</v>
      </c>
      <c r="B134" s="16" t="s">
        <v>158</v>
      </c>
      <c r="C134" s="16" t="s">
        <v>280</v>
      </c>
      <c r="D134" s="16" t="s">
        <v>281</v>
      </c>
      <c r="E134" s="156" t="s">
        <v>89</v>
      </c>
      <c r="F134" s="16" t="s">
        <v>143</v>
      </c>
      <c r="G134" s="154" t="s">
        <v>742</v>
      </c>
      <c r="H134" s="148" t="s">
        <v>92</v>
      </c>
      <c r="I134" s="150"/>
      <c r="J134" s="150"/>
      <c r="K134" s="39" t="n">
        <v>5000</v>
      </c>
      <c r="L134" s="18" t="n">
        <v>7</v>
      </c>
      <c r="M134" s="18" t="n">
        <f aca="false">IF(AD134,1,0)+IF(AK134,1,0)+AN134+AU134+BB134+BI134+BP134+BW134+CD134+CK134+CR134+CY134+DF134+DM134+DT134+EA134+EH134+EO134+EV134+FC134+FJ134+FQ134+FX134+GE134+GL134+GS134+GZ134+HG134+HN134+HU134</f>
        <v>0</v>
      </c>
      <c r="N134" s="131"/>
      <c r="O134" s="147" t="n">
        <v>14000</v>
      </c>
      <c r="P134" s="147" t="n">
        <v>560</v>
      </c>
      <c r="Q134" s="147" t="n">
        <v>3920</v>
      </c>
      <c r="R134" s="21" t="s">
        <v>46</v>
      </c>
      <c r="S134" s="18"/>
      <c r="T134" s="18"/>
      <c r="U134" s="18"/>
      <c r="V134" s="18"/>
      <c r="W134" s="18"/>
      <c r="X134" s="18"/>
      <c r="Y134" s="18"/>
      <c r="Z134" s="18"/>
      <c r="AA134" s="21" t="s">
        <v>541</v>
      </c>
      <c r="AB134" s="18"/>
      <c r="AC134" s="23" t="s">
        <v>612</v>
      </c>
      <c r="AD134" s="128" t="n">
        <v>20</v>
      </c>
      <c r="AE134" s="21" t="s">
        <v>613</v>
      </c>
      <c r="AF134" s="128"/>
      <c r="AG134" s="128"/>
      <c r="AH134" s="128"/>
      <c r="AI134" s="147" t="s">
        <v>743</v>
      </c>
      <c r="AJ134" s="128"/>
      <c r="AK134" s="128"/>
      <c r="AL134" s="147"/>
      <c r="AM134" s="131"/>
      <c r="AN134" s="128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  <c r="AZ134" s="131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128" t="n">
        <v>10</v>
      </c>
      <c r="BP134" s="128" t="n">
        <v>2</v>
      </c>
      <c r="BQ134" s="131" t="s">
        <v>383</v>
      </c>
      <c r="BR134" s="131" t="s">
        <v>574</v>
      </c>
      <c r="BS134" s="131" t="s">
        <v>467</v>
      </c>
      <c r="BT134" s="131" t="s">
        <v>468</v>
      </c>
      <c r="BU134" s="131" t="s">
        <v>380</v>
      </c>
      <c r="BV134" s="52"/>
      <c r="BW134" s="52"/>
      <c r="BX134" s="52"/>
      <c r="BY134" s="52"/>
      <c r="BZ134" s="52"/>
      <c r="CA134" s="52"/>
      <c r="CB134" s="52"/>
      <c r="CC134" s="128" t="n">
        <v>10</v>
      </c>
      <c r="CD134" s="128" t="n">
        <v>2</v>
      </c>
      <c r="CE134" s="131" t="s">
        <v>384</v>
      </c>
      <c r="CF134" s="131" t="s">
        <v>616</v>
      </c>
      <c r="CG134" s="131" t="s">
        <v>468</v>
      </c>
      <c r="CH134" s="131" t="s">
        <v>617</v>
      </c>
      <c r="CI134" s="131" t="s">
        <v>596</v>
      </c>
      <c r="CJ134" s="16"/>
      <c r="CK134" s="16"/>
      <c r="CL134" s="16"/>
      <c r="CM134" s="16"/>
      <c r="CN134" s="16"/>
      <c r="CO134" s="16"/>
      <c r="CP134" s="16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128" t="n">
        <v>10</v>
      </c>
      <c r="DF134" s="128" t="n">
        <v>2</v>
      </c>
      <c r="DG134" s="131" t="s">
        <v>381</v>
      </c>
      <c r="DH134" s="131" t="s">
        <v>382</v>
      </c>
      <c r="DI134" s="131" t="s">
        <v>383</v>
      </c>
      <c r="DJ134" s="131" t="s">
        <v>384</v>
      </c>
      <c r="DK134" s="131" t="s">
        <v>399</v>
      </c>
      <c r="DL134" s="52"/>
      <c r="DM134" s="52"/>
      <c r="DN134" s="52"/>
      <c r="DO134" s="52"/>
      <c r="DP134" s="52"/>
      <c r="DQ134" s="52"/>
      <c r="DR134" s="52"/>
      <c r="DS134" s="52"/>
      <c r="DT134" s="52"/>
      <c r="DU134" s="52"/>
      <c r="DV134" s="52"/>
      <c r="DW134" s="52"/>
      <c r="DX134" s="52"/>
      <c r="DY134" s="52"/>
      <c r="DZ134" s="52"/>
      <c r="EA134" s="52"/>
      <c r="EB134" s="52"/>
      <c r="EC134" s="52"/>
      <c r="ED134" s="52"/>
      <c r="EE134" s="52"/>
      <c r="EF134" s="52"/>
      <c r="EG134" s="52"/>
      <c r="EH134" s="52"/>
      <c r="EI134" s="52"/>
      <c r="EJ134" s="52"/>
      <c r="EK134" s="52"/>
      <c r="EL134" s="52"/>
      <c r="EM134" s="52"/>
      <c r="EN134" s="52"/>
      <c r="EO134" s="52"/>
      <c r="EP134" s="52"/>
      <c r="EQ134" s="52"/>
      <c r="ER134" s="52"/>
      <c r="ES134" s="52"/>
      <c r="ET134" s="52"/>
      <c r="EU134" s="52"/>
      <c r="EV134" s="52"/>
      <c r="EW134" s="52"/>
      <c r="EX134" s="52"/>
      <c r="EY134" s="52"/>
      <c r="EZ134" s="52"/>
      <c r="FA134" s="52"/>
      <c r="FB134" s="128" t="n">
        <v>10</v>
      </c>
      <c r="FC134" s="128" t="n">
        <v>1</v>
      </c>
      <c r="FD134" s="131" t="s">
        <v>572</v>
      </c>
      <c r="FE134" s="131" t="s">
        <v>383</v>
      </c>
      <c r="FF134" s="131" t="s">
        <v>573</v>
      </c>
      <c r="FG134" s="131" t="s">
        <v>574</v>
      </c>
      <c r="FH134" s="131" t="s">
        <v>378</v>
      </c>
      <c r="FI134" s="52"/>
      <c r="FJ134" s="52"/>
      <c r="FK134" s="52"/>
      <c r="FL134" s="52"/>
      <c r="FM134" s="52"/>
      <c r="FN134" s="52"/>
      <c r="FO134" s="52"/>
      <c r="FP134" s="52"/>
      <c r="FQ134" s="52"/>
      <c r="FR134" s="52"/>
      <c r="FS134" s="52"/>
      <c r="FT134" s="52"/>
      <c r="FU134" s="52"/>
      <c r="FV134" s="52"/>
      <c r="FW134" s="52"/>
      <c r="FX134" s="52"/>
      <c r="FY134" s="52"/>
      <c r="FZ134" s="52"/>
      <c r="GA134" s="52"/>
      <c r="GB134" s="52"/>
      <c r="GC134" s="52"/>
      <c r="GD134" s="52"/>
      <c r="GE134" s="52"/>
      <c r="GF134" s="52"/>
      <c r="GG134" s="52"/>
      <c r="GH134" s="52"/>
      <c r="GI134" s="52"/>
      <c r="GJ134" s="52"/>
      <c r="GK134" s="52"/>
      <c r="GL134" s="52"/>
      <c r="GM134" s="52"/>
      <c r="GN134" s="52"/>
      <c r="GO134" s="52"/>
      <c r="GP134" s="52"/>
      <c r="GQ134" s="52"/>
      <c r="GR134" s="52"/>
      <c r="GS134" s="52"/>
      <c r="GT134" s="52"/>
      <c r="GU134" s="52"/>
      <c r="GV134" s="52"/>
      <c r="GW134" s="52"/>
      <c r="GX134" s="52"/>
      <c r="GY134" s="52"/>
      <c r="GZ134" s="52"/>
      <c r="HA134" s="52"/>
      <c r="HB134" s="52"/>
      <c r="HC134" s="52"/>
      <c r="HD134" s="52"/>
      <c r="HE134" s="52"/>
      <c r="HF134" s="52"/>
      <c r="HG134" s="52"/>
      <c r="HH134" s="52"/>
      <c r="HI134" s="52"/>
      <c r="HJ134" s="52"/>
      <c r="HK134" s="52"/>
      <c r="HL134" s="52"/>
      <c r="HM134" s="52"/>
      <c r="HN134" s="52"/>
      <c r="HO134" s="52"/>
      <c r="HP134" s="52"/>
      <c r="HQ134" s="52"/>
      <c r="HR134" s="52"/>
      <c r="HS134" s="52"/>
      <c r="HT134" s="39" t="n">
        <v>10</v>
      </c>
      <c r="HU134" s="128" t="n">
        <v>2</v>
      </c>
      <c r="HV134" s="131" t="s">
        <v>572</v>
      </c>
      <c r="HW134" s="131" t="s">
        <v>383</v>
      </c>
      <c r="HX134" s="131" t="s">
        <v>573</v>
      </c>
      <c r="HY134" s="131" t="s">
        <v>574</v>
      </c>
      <c r="HZ134" s="131" t="s">
        <v>378</v>
      </c>
    </row>
    <row r="135" customFormat="false" ht="12.8" hidden="false" customHeight="false" outlineLevel="0" collapsed="false">
      <c r="A135" s="16" t="s">
        <v>258</v>
      </c>
      <c r="B135" s="16" t="s">
        <v>158</v>
      </c>
      <c r="C135" s="16" t="s">
        <v>280</v>
      </c>
      <c r="D135" s="16" t="s">
        <v>281</v>
      </c>
      <c r="E135" s="156" t="s">
        <v>89</v>
      </c>
      <c r="F135" s="16" t="s">
        <v>143</v>
      </c>
      <c r="G135" s="154" t="s">
        <v>645</v>
      </c>
      <c r="H135" s="150"/>
      <c r="I135" s="150"/>
      <c r="J135" s="150"/>
      <c r="K135" s="39" t="n">
        <v>7000</v>
      </c>
      <c r="L135" s="18" t="n">
        <v>4</v>
      </c>
      <c r="M135" s="18" t="n">
        <f aca="false">IF(AD135,1,0)+IF(AK135,1,0)+AN135+AU135+BB135+BI135+BP135+BW135+CD135+CK135+CR135+CY135+DF135+DM135+DT135+EA135+EH135+EO135+EV135+FC135+FJ135+FQ135+FX135+GE135+GL135+GS135+GZ135+HG135+HN135+HU135</f>
        <v>0</v>
      </c>
      <c r="N135" s="131"/>
      <c r="O135" s="147" t="n">
        <v>1050</v>
      </c>
      <c r="P135" s="147" t="n">
        <v>840</v>
      </c>
      <c r="Q135" s="147" t="n">
        <v>63</v>
      </c>
      <c r="R135" s="21" t="s">
        <v>44</v>
      </c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31"/>
      <c r="AD135" s="128"/>
      <c r="AE135" s="128"/>
      <c r="AF135" s="128"/>
      <c r="AG135" s="128"/>
      <c r="AH135" s="128"/>
      <c r="AI135" s="147"/>
      <c r="AJ135" s="128"/>
      <c r="AK135" s="128"/>
      <c r="AL135" s="147"/>
      <c r="AM135" s="131"/>
      <c r="AN135" s="128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16"/>
      <c r="CK135" s="16"/>
      <c r="CL135" s="16"/>
      <c r="CM135" s="16"/>
      <c r="CN135" s="16"/>
      <c r="CO135" s="16"/>
      <c r="CP135" s="16"/>
      <c r="CQ135" s="128" t="n">
        <v>3</v>
      </c>
      <c r="CR135" s="128" t="n">
        <v>2</v>
      </c>
      <c r="CS135" s="131" t="s">
        <v>473</v>
      </c>
      <c r="CT135" s="52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  <c r="DK135" s="52"/>
      <c r="DL135" s="52"/>
      <c r="DM135" s="52"/>
      <c r="DN135" s="52"/>
      <c r="DO135" s="52"/>
      <c r="DP135" s="52"/>
      <c r="DQ135" s="52"/>
      <c r="DR135" s="52"/>
      <c r="DS135" s="52"/>
      <c r="DT135" s="52"/>
      <c r="DU135" s="52"/>
      <c r="DV135" s="52"/>
      <c r="DW135" s="52"/>
      <c r="DX135" s="52"/>
      <c r="DY135" s="52"/>
      <c r="DZ135" s="52"/>
      <c r="EA135" s="52"/>
      <c r="EB135" s="52"/>
      <c r="EC135" s="52"/>
      <c r="ED135" s="52"/>
      <c r="EE135" s="52"/>
      <c r="EF135" s="52"/>
      <c r="EG135" s="52"/>
      <c r="EH135" s="52"/>
      <c r="EI135" s="52"/>
      <c r="EJ135" s="52"/>
      <c r="EK135" s="52"/>
      <c r="EL135" s="52"/>
      <c r="EM135" s="52"/>
      <c r="EN135" s="52"/>
      <c r="EO135" s="52"/>
      <c r="EP135" s="52"/>
      <c r="EQ135" s="52"/>
      <c r="ER135" s="52"/>
      <c r="ES135" s="52"/>
      <c r="ET135" s="52"/>
      <c r="EU135" s="52"/>
      <c r="EV135" s="52"/>
      <c r="EW135" s="52"/>
      <c r="EX135" s="52"/>
      <c r="EY135" s="52"/>
      <c r="EZ135" s="52"/>
      <c r="FA135" s="52"/>
      <c r="FB135" s="128" t="n">
        <v>3</v>
      </c>
      <c r="FC135" s="128" t="n">
        <v>2</v>
      </c>
      <c r="FD135" s="131" t="s">
        <v>607</v>
      </c>
      <c r="FE135" s="52"/>
      <c r="FF135" s="52"/>
      <c r="FG135" s="52"/>
      <c r="FH135" s="52"/>
      <c r="FI135" s="52"/>
      <c r="FJ135" s="52"/>
      <c r="FK135" s="52"/>
      <c r="FL135" s="52"/>
      <c r="FM135" s="52"/>
      <c r="FN135" s="52"/>
      <c r="FO135" s="52"/>
      <c r="FP135" s="52"/>
      <c r="FQ135" s="52"/>
      <c r="FR135" s="52"/>
      <c r="FS135" s="52"/>
      <c r="FT135" s="52"/>
      <c r="FU135" s="52"/>
      <c r="FV135" s="52"/>
      <c r="FW135" s="52"/>
      <c r="FX135" s="52"/>
      <c r="FY135" s="52"/>
      <c r="FZ135" s="52"/>
      <c r="GA135" s="52"/>
      <c r="GB135" s="52"/>
      <c r="GC135" s="52"/>
      <c r="GD135" s="52"/>
      <c r="GE135" s="52"/>
      <c r="GF135" s="52"/>
      <c r="GG135" s="52"/>
      <c r="GH135" s="52"/>
      <c r="GI135" s="52"/>
      <c r="GJ135" s="52"/>
      <c r="GK135" s="52"/>
      <c r="GL135" s="52"/>
      <c r="GM135" s="52"/>
      <c r="GN135" s="52"/>
      <c r="GO135" s="52"/>
      <c r="GP135" s="52"/>
      <c r="GQ135" s="52"/>
      <c r="GR135" s="52"/>
      <c r="GS135" s="52"/>
      <c r="GT135" s="52"/>
      <c r="GU135" s="52"/>
      <c r="GV135" s="52"/>
      <c r="GW135" s="52"/>
      <c r="GX135" s="52"/>
      <c r="GY135" s="52"/>
      <c r="GZ135" s="52"/>
      <c r="HA135" s="52"/>
      <c r="HB135" s="52"/>
      <c r="HC135" s="52"/>
      <c r="HD135" s="52"/>
      <c r="HE135" s="52"/>
      <c r="HF135" s="128" t="n">
        <v>3</v>
      </c>
      <c r="HG135" s="128" t="n">
        <v>1</v>
      </c>
      <c r="HH135" s="131" t="s">
        <v>607</v>
      </c>
      <c r="HI135" s="52"/>
      <c r="HJ135" s="52"/>
      <c r="HK135" s="52"/>
      <c r="HL135" s="52"/>
      <c r="HM135" s="52"/>
      <c r="HN135" s="52"/>
      <c r="HO135" s="52"/>
      <c r="HP135" s="52"/>
      <c r="HQ135" s="52"/>
      <c r="HR135" s="52"/>
      <c r="HS135" s="52"/>
      <c r="HT135" s="131"/>
      <c r="HU135" s="128"/>
      <c r="HV135" s="131"/>
      <c r="HW135" s="131"/>
      <c r="HX135" s="131"/>
      <c r="HY135" s="131"/>
      <c r="HZ135" s="131"/>
    </row>
    <row r="136" customFormat="false" ht="12.8" hidden="false" customHeight="false" outlineLevel="0" collapsed="false">
      <c r="A136" s="16" t="s">
        <v>258</v>
      </c>
      <c r="B136" s="16" t="s">
        <v>158</v>
      </c>
      <c r="C136" s="16" t="s">
        <v>280</v>
      </c>
      <c r="D136" s="16" t="s">
        <v>282</v>
      </c>
      <c r="E136" s="156" t="s">
        <v>87</v>
      </c>
      <c r="F136" s="16" t="s">
        <v>116</v>
      </c>
      <c r="G136" s="157"/>
      <c r="H136" s="150"/>
      <c r="I136" s="150"/>
      <c r="J136" s="150"/>
      <c r="K136" s="39" t="n">
        <v>5000</v>
      </c>
      <c r="L136" s="18"/>
      <c r="M136" s="18" t="n">
        <f aca="false">IF(AD136,1,0)+IF(AK136,1,0)+AN136+AU136+BB136+BI136+BP136+BW136+CD136+CK136+CR136+CY136+DF136+DM136+DT136+EA136+EH136+EO136+EV136+FC136+FJ136+FQ136+FX136+GE136+GL136+GS136+GZ136+HG136+HN136+HU136</f>
        <v>0</v>
      </c>
      <c r="N136" s="131"/>
      <c r="O136" s="147"/>
      <c r="P136" s="147"/>
      <c r="Q136" s="147"/>
      <c r="R136" s="12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31"/>
      <c r="AD136" s="128"/>
      <c r="AE136" s="128"/>
      <c r="AF136" s="128"/>
      <c r="AG136" s="128"/>
      <c r="AH136" s="128"/>
      <c r="AI136" s="147"/>
      <c r="AJ136" s="128"/>
      <c r="AK136" s="128"/>
      <c r="AL136" s="147"/>
      <c r="AM136" s="131"/>
      <c r="AN136" s="128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16"/>
      <c r="CK136" s="16"/>
      <c r="CL136" s="16"/>
      <c r="CM136" s="16"/>
      <c r="CN136" s="16"/>
      <c r="CO136" s="16"/>
      <c r="CP136" s="16"/>
      <c r="CQ136" s="52"/>
      <c r="CR136" s="52"/>
      <c r="CS136" s="52"/>
      <c r="CT136" s="52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  <c r="DK136" s="52"/>
      <c r="DL136" s="52"/>
      <c r="DM136" s="52"/>
      <c r="DN136" s="52"/>
      <c r="DO136" s="52"/>
      <c r="DP136" s="52"/>
      <c r="DQ136" s="52"/>
      <c r="DR136" s="52"/>
      <c r="DS136" s="52"/>
      <c r="DT136" s="52"/>
      <c r="DU136" s="52"/>
      <c r="DV136" s="52"/>
      <c r="DW136" s="52"/>
      <c r="DX136" s="52"/>
      <c r="DY136" s="52"/>
      <c r="DZ136" s="52"/>
      <c r="EA136" s="52"/>
      <c r="EB136" s="52"/>
      <c r="EC136" s="52"/>
      <c r="ED136" s="52"/>
      <c r="EE136" s="52"/>
      <c r="EF136" s="52"/>
      <c r="EG136" s="52"/>
      <c r="EH136" s="52"/>
      <c r="EI136" s="52"/>
      <c r="EJ136" s="52"/>
      <c r="EK136" s="52"/>
      <c r="EL136" s="52"/>
      <c r="EM136" s="52"/>
      <c r="EN136" s="52"/>
      <c r="EO136" s="52"/>
      <c r="EP136" s="52"/>
      <c r="EQ136" s="52"/>
      <c r="ER136" s="52"/>
      <c r="ES136" s="52"/>
      <c r="ET136" s="52"/>
      <c r="EU136" s="52"/>
      <c r="EV136" s="52"/>
      <c r="EW136" s="52"/>
      <c r="EX136" s="52"/>
      <c r="EY136" s="52"/>
      <c r="EZ136" s="52"/>
      <c r="FA136" s="52"/>
      <c r="FB136" s="52"/>
      <c r="FC136" s="52"/>
      <c r="FD136" s="52"/>
      <c r="FE136" s="52"/>
      <c r="FF136" s="52"/>
      <c r="FG136" s="52"/>
      <c r="FH136" s="52"/>
      <c r="FI136" s="52"/>
      <c r="FJ136" s="52"/>
      <c r="FK136" s="52"/>
      <c r="FL136" s="52"/>
      <c r="FM136" s="52"/>
      <c r="FN136" s="52"/>
      <c r="FO136" s="52"/>
      <c r="FP136" s="52"/>
      <c r="FQ136" s="52"/>
      <c r="FR136" s="52"/>
      <c r="FS136" s="52"/>
      <c r="FT136" s="52"/>
      <c r="FU136" s="52"/>
      <c r="FV136" s="52"/>
      <c r="FW136" s="52"/>
      <c r="FX136" s="52"/>
      <c r="FY136" s="52"/>
      <c r="FZ136" s="52"/>
      <c r="GA136" s="52"/>
      <c r="GB136" s="52"/>
      <c r="GC136" s="52"/>
      <c r="GD136" s="52"/>
      <c r="GE136" s="52"/>
      <c r="GF136" s="52"/>
      <c r="GG136" s="52"/>
      <c r="GH136" s="52"/>
      <c r="GI136" s="52"/>
      <c r="GJ136" s="52"/>
      <c r="GK136" s="52"/>
      <c r="GL136" s="52"/>
      <c r="GM136" s="52"/>
      <c r="GN136" s="52"/>
      <c r="GO136" s="52"/>
      <c r="GP136" s="52"/>
      <c r="GQ136" s="52"/>
      <c r="GR136" s="52"/>
      <c r="GS136" s="52"/>
      <c r="GT136" s="52"/>
      <c r="GU136" s="52"/>
      <c r="GV136" s="52"/>
      <c r="GW136" s="52"/>
      <c r="GX136" s="52"/>
      <c r="GY136" s="52"/>
      <c r="GZ136" s="52"/>
      <c r="HA136" s="52"/>
      <c r="HB136" s="52"/>
      <c r="HC136" s="52"/>
      <c r="HD136" s="52"/>
      <c r="HE136" s="52"/>
      <c r="HF136" s="52"/>
      <c r="HG136" s="52"/>
      <c r="HH136" s="52"/>
      <c r="HI136" s="52"/>
      <c r="HJ136" s="52"/>
      <c r="HK136" s="52"/>
      <c r="HL136" s="52"/>
      <c r="HM136" s="52"/>
      <c r="HN136" s="52"/>
      <c r="HO136" s="52"/>
      <c r="HP136" s="52"/>
      <c r="HQ136" s="52"/>
      <c r="HR136" s="52"/>
      <c r="HS136" s="52"/>
      <c r="HT136" s="131"/>
      <c r="HU136" s="128"/>
      <c r="HV136" s="131"/>
      <c r="HW136" s="131"/>
      <c r="HX136" s="131"/>
      <c r="HY136" s="131"/>
      <c r="HZ136" s="131"/>
    </row>
    <row r="137" customFormat="false" ht="12.8" hidden="false" customHeight="false" outlineLevel="0" collapsed="false">
      <c r="A137" s="16" t="s">
        <v>258</v>
      </c>
      <c r="B137" s="16" t="s">
        <v>158</v>
      </c>
      <c r="C137" s="16" t="s">
        <v>280</v>
      </c>
      <c r="D137" s="17" t="s">
        <v>283</v>
      </c>
      <c r="E137" s="130" t="s">
        <v>88</v>
      </c>
      <c r="F137" s="16" t="s">
        <v>188</v>
      </c>
      <c r="G137" s="157"/>
      <c r="H137" s="150"/>
      <c r="I137" s="150"/>
      <c r="J137" s="150"/>
      <c r="K137" s="39" t="n">
        <v>7000</v>
      </c>
      <c r="L137" s="18"/>
      <c r="M137" s="18" t="n">
        <f aca="false">IF(AD137,1,0)+IF(AK137,1,0)+AN137+AU137+BB137+BI137+BP137+BW137+CD137+CK137+CR137+CY137+DF137+DM137+DT137+EA137+EH137+EO137+EV137+FC137+FJ137+FQ137+FX137+GE137+GL137+GS137+GZ137+HG137+HN137+HU137</f>
        <v>0</v>
      </c>
      <c r="N137" s="131"/>
      <c r="O137" s="147"/>
      <c r="P137" s="147"/>
      <c r="Q137" s="147"/>
      <c r="R137" s="12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23" t="s">
        <v>612</v>
      </c>
      <c r="AD137" s="128"/>
      <c r="AE137" s="21" t="s">
        <v>613</v>
      </c>
      <c r="AF137" s="128"/>
      <c r="AG137" s="128" t="n">
        <v>30</v>
      </c>
      <c r="AH137" s="128" t="n">
        <v>30</v>
      </c>
      <c r="AI137" s="147" t="s">
        <v>743</v>
      </c>
      <c r="AJ137" s="128"/>
      <c r="AK137" s="128"/>
      <c r="AL137" s="147"/>
      <c r="AM137" s="131"/>
      <c r="AN137" s="128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16"/>
      <c r="CK137" s="16"/>
      <c r="CL137" s="16"/>
      <c r="CM137" s="16"/>
      <c r="CN137" s="16"/>
      <c r="CO137" s="16"/>
      <c r="CP137" s="16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  <c r="DK137" s="52"/>
      <c r="DL137" s="52"/>
      <c r="DM137" s="52"/>
      <c r="DN137" s="52"/>
      <c r="DO137" s="52"/>
      <c r="DP137" s="52"/>
      <c r="DQ137" s="52"/>
      <c r="DR137" s="52"/>
      <c r="DS137" s="52"/>
      <c r="DT137" s="52"/>
      <c r="DU137" s="52"/>
      <c r="DV137" s="52"/>
      <c r="DW137" s="52"/>
      <c r="DX137" s="52"/>
      <c r="DY137" s="52"/>
      <c r="DZ137" s="52"/>
      <c r="EA137" s="52"/>
      <c r="EB137" s="52"/>
      <c r="EC137" s="52"/>
      <c r="ED137" s="52"/>
      <c r="EE137" s="52"/>
      <c r="EF137" s="52"/>
      <c r="EG137" s="52"/>
      <c r="EH137" s="52"/>
      <c r="EI137" s="52"/>
      <c r="EJ137" s="52"/>
      <c r="EK137" s="52"/>
      <c r="EL137" s="52"/>
      <c r="EM137" s="52"/>
      <c r="EN137" s="52"/>
      <c r="EO137" s="52"/>
      <c r="EP137" s="52"/>
      <c r="EQ137" s="52"/>
      <c r="ER137" s="52"/>
      <c r="ES137" s="52"/>
      <c r="ET137" s="52"/>
      <c r="EU137" s="52"/>
      <c r="EV137" s="52"/>
      <c r="EW137" s="52"/>
      <c r="EX137" s="52"/>
      <c r="EY137" s="52"/>
      <c r="EZ137" s="52"/>
      <c r="FA137" s="52"/>
      <c r="FB137" s="52"/>
      <c r="FC137" s="52"/>
      <c r="FD137" s="52"/>
      <c r="FE137" s="52"/>
      <c r="FF137" s="52"/>
      <c r="FG137" s="52"/>
      <c r="FH137" s="52"/>
      <c r="FI137" s="52"/>
      <c r="FJ137" s="52"/>
      <c r="FK137" s="52"/>
      <c r="FL137" s="52"/>
      <c r="FM137" s="52"/>
      <c r="FN137" s="52"/>
      <c r="FO137" s="52"/>
      <c r="FP137" s="52"/>
      <c r="FQ137" s="52"/>
      <c r="FR137" s="52"/>
      <c r="FS137" s="52"/>
      <c r="FT137" s="52"/>
      <c r="FU137" s="52"/>
      <c r="FV137" s="52"/>
      <c r="FW137" s="52"/>
      <c r="FX137" s="52"/>
      <c r="FY137" s="52"/>
      <c r="FZ137" s="52"/>
      <c r="GA137" s="52"/>
      <c r="GB137" s="52"/>
      <c r="GC137" s="52"/>
      <c r="GD137" s="52"/>
      <c r="GE137" s="52"/>
      <c r="GF137" s="52"/>
      <c r="GG137" s="52"/>
      <c r="GH137" s="52"/>
      <c r="GI137" s="52"/>
      <c r="GJ137" s="52"/>
      <c r="GK137" s="52"/>
      <c r="GL137" s="52"/>
      <c r="GM137" s="52"/>
      <c r="GN137" s="52"/>
      <c r="GO137" s="52"/>
      <c r="GP137" s="52"/>
      <c r="GQ137" s="52"/>
      <c r="GR137" s="52"/>
      <c r="GS137" s="52"/>
      <c r="GT137" s="52"/>
      <c r="GU137" s="52"/>
      <c r="GV137" s="52"/>
      <c r="GW137" s="52"/>
      <c r="GX137" s="52"/>
      <c r="GY137" s="52"/>
      <c r="GZ137" s="52"/>
      <c r="HA137" s="52"/>
      <c r="HB137" s="52"/>
      <c r="HC137" s="52"/>
      <c r="HD137" s="52"/>
      <c r="HE137" s="52"/>
      <c r="HF137" s="52"/>
      <c r="HG137" s="52"/>
      <c r="HH137" s="52"/>
      <c r="HI137" s="52"/>
      <c r="HJ137" s="52"/>
      <c r="HK137" s="52"/>
      <c r="HL137" s="52"/>
      <c r="HM137" s="52"/>
      <c r="HN137" s="52"/>
      <c r="HO137" s="52"/>
      <c r="HP137" s="52"/>
      <c r="HQ137" s="52"/>
      <c r="HR137" s="52"/>
      <c r="HS137" s="52"/>
      <c r="HT137" s="131"/>
      <c r="HU137" s="128"/>
      <c r="HV137" s="131"/>
      <c r="HW137" s="131"/>
      <c r="HX137" s="131"/>
      <c r="HY137" s="131"/>
      <c r="HZ137" s="131"/>
    </row>
    <row r="138" customFormat="false" ht="12.8" hidden="false" customHeight="false" outlineLevel="0" collapsed="false">
      <c r="A138" s="36" t="s">
        <v>258</v>
      </c>
      <c r="B138" s="36" t="s">
        <v>158</v>
      </c>
      <c r="C138" s="35" t="s">
        <v>284</v>
      </c>
      <c r="D138" s="35" t="s">
        <v>285</v>
      </c>
      <c r="E138" s="34" t="s">
        <v>89</v>
      </c>
      <c r="F138" s="35" t="s">
        <v>176</v>
      </c>
      <c r="G138" s="154" t="s">
        <v>651</v>
      </c>
      <c r="H138" s="148" t="s">
        <v>92</v>
      </c>
      <c r="I138" s="150"/>
      <c r="J138" s="150"/>
      <c r="K138" s="39" t="n">
        <v>7000</v>
      </c>
      <c r="L138" s="18" t="n">
        <v>6</v>
      </c>
      <c r="M138" s="18" t="n">
        <f aca="false">IF(AD138,1,0)+IF(AK138,1,0)+AN138+AU138+BB138+BI138+BP138+BW138+CD138+CK138+CR138+CY138+DF138+DM138+DT138+EA138+EH138+EO138+EV138+FC138+FJ138+FQ138+FX138+GE138+GL138+GS138+GZ138+HG138+HN138+HU138</f>
        <v>0</v>
      </c>
      <c r="N138" s="131"/>
      <c r="O138" s="147" t="n">
        <v>12000</v>
      </c>
      <c r="P138" s="147" t="n">
        <v>0</v>
      </c>
      <c r="Q138" s="147" t="n">
        <v>1320</v>
      </c>
      <c r="R138" s="21" t="s">
        <v>652</v>
      </c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23" t="s">
        <v>654</v>
      </c>
      <c r="AD138" s="128" t="n">
        <v>15</v>
      </c>
      <c r="AE138" s="128"/>
      <c r="AF138" s="128" t="n">
        <v>90</v>
      </c>
      <c r="AG138" s="128" t="n">
        <v>8</v>
      </c>
      <c r="AH138" s="128"/>
      <c r="AI138" s="147" t="s">
        <v>655</v>
      </c>
      <c r="AJ138" s="128"/>
      <c r="AK138" s="128"/>
      <c r="AL138" s="147"/>
      <c r="AM138" s="128" t="n">
        <v>10</v>
      </c>
      <c r="AN138" s="128" t="n">
        <v>1</v>
      </c>
      <c r="AO138" s="131" t="s">
        <v>633</v>
      </c>
      <c r="AP138" s="131" t="s">
        <v>634</v>
      </c>
      <c r="AQ138" s="131" t="s">
        <v>635</v>
      </c>
      <c r="AR138" s="131" t="s">
        <v>636</v>
      </c>
      <c r="AS138" s="131" t="s">
        <v>563</v>
      </c>
      <c r="AT138" s="131"/>
      <c r="AU138" s="131"/>
      <c r="AV138" s="131"/>
      <c r="AW138" s="131"/>
      <c r="AX138" s="131"/>
      <c r="AY138" s="131"/>
      <c r="AZ138" s="131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16"/>
      <c r="CK138" s="16"/>
      <c r="CL138" s="16"/>
      <c r="CM138" s="16"/>
      <c r="CN138" s="16"/>
      <c r="CO138" s="16"/>
      <c r="CP138" s="16"/>
      <c r="CQ138" s="52"/>
      <c r="CR138" s="52"/>
      <c r="CS138" s="52"/>
      <c r="CT138" s="52"/>
      <c r="CU138" s="52"/>
      <c r="CV138" s="52"/>
      <c r="CW138" s="52"/>
      <c r="CX138" s="128" t="n">
        <v>10</v>
      </c>
      <c r="CY138" s="128" t="n">
        <v>2</v>
      </c>
      <c r="CZ138" s="131" t="s">
        <v>381</v>
      </c>
      <c r="DA138" s="131" t="s">
        <v>382</v>
      </c>
      <c r="DB138" s="131" t="s">
        <v>383</v>
      </c>
      <c r="DC138" s="131" t="s">
        <v>384</v>
      </c>
      <c r="DD138" s="131" t="s">
        <v>399</v>
      </c>
      <c r="DE138" s="52"/>
      <c r="DF138" s="52"/>
      <c r="DG138" s="52"/>
      <c r="DH138" s="52"/>
      <c r="DI138" s="52"/>
      <c r="DJ138" s="52"/>
      <c r="DK138" s="52"/>
      <c r="DL138" s="52"/>
      <c r="DM138" s="52"/>
      <c r="DN138" s="52"/>
      <c r="DO138" s="52"/>
      <c r="DP138" s="52"/>
      <c r="DQ138" s="52"/>
      <c r="DR138" s="52"/>
      <c r="DS138" s="52"/>
      <c r="DT138" s="52"/>
      <c r="DU138" s="52"/>
      <c r="DV138" s="52"/>
      <c r="DW138" s="52"/>
      <c r="DX138" s="52"/>
      <c r="DY138" s="52"/>
      <c r="DZ138" s="52"/>
      <c r="EA138" s="52"/>
      <c r="EB138" s="52"/>
      <c r="EC138" s="52"/>
      <c r="ED138" s="52"/>
      <c r="EE138" s="52"/>
      <c r="EF138" s="52"/>
      <c r="EG138" s="52"/>
      <c r="EH138" s="52"/>
      <c r="EI138" s="52"/>
      <c r="EJ138" s="52"/>
      <c r="EK138" s="52"/>
      <c r="EL138" s="52"/>
      <c r="EM138" s="52"/>
      <c r="EN138" s="128" t="n">
        <v>10</v>
      </c>
      <c r="EO138" s="128" t="n">
        <v>1</v>
      </c>
      <c r="EP138" s="131" t="s">
        <v>383</v>
      </c>
      <c r="EQ138" s="131" t="s">
        <v>574</v>
      </c>
      <c r="ER138" s="131" t="s">
        <v>467</v>
      </c>
      <c r="ES138" s="131" t="s">
        <v>468</v>
      </c>
      <c r="ET138" s="131" t="s">
        <v>380</v>
      </c>
      <c r="EU138" s="52"/>
      <c r="EV138" s="52"/>
      <c r="EW138" s="52"/>
      <c r="EX138" s="52"/>
      <c r="EY138" s="52"/>
      <c r="EZ138" s="52"/>
      <c r="FA138" s="52"/>
      <c r="FB138" s="128" t="n">
        <v>10</v>
      </c>
      <c r="FC138" s="128" t="n">
        <v>2</v>
      </c>
      <c r="FD138" s="131" t="s">
        <v>572</v>
      </c>
      <c r="FE138" s="131" t="s">
        <v>383</v>
      </c>
      <c r="FF138" s="131" t="s">
        <v>573</v>
      </c>
      <c r="FG138" s="131" t="s">
        <v>574</v>
      </c>
      <c r="FH138" s="131" t="s">
        <v>378</v>
      </c>
      <c r="FI138" s="52"/>
      <c r="FJ138" s="52"/>
      <c r="FK138" s="52"/>
      <c r="FL138" s="52"/>
      <c r="FM138" s="52"/>
      <c r="FN138" s="52"/>
      <c r="FO138" s="52"/>
      <c r="FP138" s="52"/>
      <c r="FQ138" s="52"/>
      <c r="FR138" s="52"/>
      <c r="FS138" s="52"/>
      <c r="FT138" s="52"/>
      <c r="FU138" s="52"/>
      <c r="FV138" s="52"/>
      <c r="FW138" s="128" t="n">
        <v>10</v>
      </c>
      <c r="FX138" s="128" t="n">
        <v>1</v>
      </c>
      <c r="FY138" s="131" t="s">
        <v>381</v>
      </c>
      <c r="FZ138" s="131" t="s">
        <v>382</v>
      </c>
      <c r="GA138" s="131" t="s">
        <v>383</v>
      </c>
      <c r="GB138" s="131" t="s">
        <v>384</v>
      </c>
      <c r="GC138" s="131" t="s">
        <v>399</v>
      </c>
      <c r="GD138" s="52"/>
      <c r="GE138" s="52"/>
      <c r="GF138" s="52"/>
      <c r="GG138" s="52"/>
      <c r="GH138" s="52"/>
      <c r="GI138" s="52"/>
      <c r="GJ138" s="52"/>
      <c r="GK138" s="52"/>
      <c r="GL138" s="52"/>
      <c r="GM138" s="52"/>
      <c r="GN138" s="52"/>
      <c r="GO138" s="52"/>
      <c r="GP138" s="52"/>
      <c r="GQ138" s="52"/>
      <c r="GR138" s="52"/>
      <c r="GS138" s="52"/>
      <c r="GT138" s="52"/>
      <c r="GU138" s="52"/>
      <c r="GV138" s="52"/>
      <c r="GW138" s="52"/>
      <c r="GX138" s="52"/>
      <c r="GY138" s="52"/>
      <c r="GZ138" s="52"/>
      <c r="HA138" s="52"/>
      <c r="HB138" s="52"/>
      <c r="HC138" s="52"/>
      <c r="HD138" s="52"/>
      <c r="HE138" s="52"/>
      <c r="HF138" s="52"/>
      <c r="HG138" s="52"/>
      <c r="HH138" s="52"/>
      <c r="HI138" s="52"/>
      <c r="HJ138" s="52"/>
      <c r="HK138" s="52"/>
      <c r="HL138" s="52"/>
      <c r="HM138" s="52"/>
      <c r="HN138" s="52"/>
      <c r="HO138" s="52"/>
      <c r="HP138" s="52"/>
      <c r="HQ138" s="52"/>
      <c r="HR138" s="52"/>
      <c r="HS138" s="52"/>
      <c r="HT138" s="128" t="n">
        <v>10</v>
      </c>
      <c r="HU138" s="128" t="n">
        <v>1</v>
      </c>
      <c r="HV138" s="131" t="s">
        <v>572</v>
      </c>
      <c r="HW138" s="131" t="s">
        <v>383</v>
      </c>
      <c r="HX138" s="131" t="s">
        <v>573</v>
      </c>
      <c r="HY138" s="131" t="s">
        <v>574</v>
      </c>
      <c r="HZ138" s="131" t="s">
        <v>378</v>
      </c>
    </row>
    <row r="139" customFormat="false" ht="12.8" hidden="false" customHeight="false" outlineLevel="0" collapsed="false">
      <c r="A139" s="36" t="s">
        <v>258</v>
      </c>
      <c r="B139" s="36" t="s">
        <v>158</v>
      </c>
      <c r="C139" s="35" t="s">
        <v>284</v>
      </c>
      <c r="D139" s="35" t="s">
        <v>285</v>
      </c>
      <c r="E139" s="34" t="s">
        <v>89</v>
      </c>
      <c r="F139" s="35" t="s">
        <v>176</v>
      </c>
      <c r="G139" s="154" t="s">
        <v>737</v>
      </c>
      <c r="H139" s="150"/>
      <c r="I139" s="150"/>
      <c r="J139" s="150"/>
      <c r="K139" s="39" t="n">
        <v>7000</v>
      </c>
      <c r="L139" s="18" t="n">
        <v>4</v>
      </c>
      <c r="M139" s="18" t="n">
        <f aca="false">IF(AD139,1,0)+IF(AK139,1,0)+AN139+AU139+BB139+BI139+BP139+BW139+CD139+CK139+CR139+CY139+DF139+DM139+DT139+EA139+EH139+EO139+EV139+FC139+FJ139+FQ139+FX139+GE139+GL139+GS139+GZ139+HG139+HN139+HU139</f>
        <v>0</v>
      </c>
      <c r="N139" s="131"/>
      <c r="O139" s="147" t="n">
        <v>960</v>
      </c>
      <c r="P139" s="147" t="n">
        <v>3072</v>
      </c>
      <c r="Q139" s="147" t="n">
        <v>0</v>
      </c>
      <c r="R139" s="21" t="s">
        <v>45</v>
      </c>
      <c r="S139" s="18"/>
      <c r="T139" s="18"/>
      <c r="U139" s="18"/>
      <c r="V139" s="18"/>
      <c r="W139" s="18"/>
      <c r="X139" s="18"/>
      <c r="Y139" s="21" t="s">
        <v>541</v>
      </c>
      <c r="Z139" s="18"/>
      <c r="AA139" s="18"/>
      <c r="AB139" s="18"/>
      <c r="AC139" s="131"/>
      <c r="AD139" s="128"/>
      <c r="AE139" s="128"/>
      <c r="AF139" s="128"/>
      <c r="AG139" s="128"/>
      <c r="AH139" s="128"/>
      <c r="AI139" s="147"/>
      <c r="AJ139" s="128"/>
      <c r="AK139" s="128"/>
      <c r="AL139" s="147"/>
      <c r="AM139" s="131"/>
      <c r="AN139" s="128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16"/>
      <c r="CK139" s="16"/>
      <c r="CL139" s="16"/>
      <c r="CM139" s="16"/>
      <c r="CN139" s="16"/>
      <c r="CO139" s="16"/>
      <c r="CP139" s="16"/>
      <c r="CQ139" s="52"/>
      <c r="CR139" s="52"/>
      <c r="CS139" s="52"/>
      <c r="CT139" s="52"/>
      <c r="CU139" s="52"/>
      <c r="CV139" s="52"/>
      <c r="CW139" s="52"/>
      <c r="CX139" s="52"/>
      <c r="CY139" s="52"/>
      <c r="CZ139" s="52"/>
      <c r="DA139" s="52"/>
      <c r="DB139" s="52"/>
      <c r="DC139" s="52"/>
      <c r="DD139" s="52"/>
      <c r="DE139" s="128" t="n">
        <v>6</v>
      </c>
      <c r="DF139" s="128" t="n">
        <v>2</v>
      </c>
      <c r="DG139" s="131" t="s">
        <v>390</v>
      </c>
      <c r="DH139" s="131" t="s">
        <v>391</v>
      </c>
      <c r="DI139" s="131" t="s">
        <v>410</v>
      </c>
      <c r="DJ139" s="131" t="s">
        <v>411</v>
      </c>
      <c r="DK139" s="131" t="s">
        <v>399</v>
      </c>
      <c r="DL139" s="52"/>
      <c r="DM139" s="52"/>
      <c r="DN139" s="52"/>
      <c r="DO139" s="52"/>
      <c r="DP139" s="52"/>
      <c r="DQ139" s="52"/>
      <c r="DR139" s="52"/>
      <c r="DS139" s="52"/>
      <c r="DT139" s="52"/>
      <c r="DU139" s="52"/>
      <c r="DV139" s="52"/>
      <c r="DW139" s="52"/>
      <c r="DX139" s="52"/>
      <c r="DY139" s="52"/>
      <c r="DZ139" s="52"/>
      <c r="EA139" s="52"/>
      <c r="EB139" s="52"/>
      <c r="EC139" s="52"/>
      <c r="ED139" s="52"/>
      <c r="EE139" s="52"/>
      <c r="EF139" s="52"/>
      <c r="EG139" s="52"/>
      <c r="EH139" s="52"/>
      <c r="EI139" s="52"/>
      <c r="EJ139" s="52"/>
      <c r="EK139" s="52"/>
      <c r="EL139" s="52"/>
      <c r="EM139" s="52"/>
      <c r="EN139" s="52"/>
      <c r="EO139" s="52"/>
      <c r="EP139" s="52"/>
      <c r="EQ139" s="52"/>
      <c r="ER139" s="52"/>
      <c r="ES139" s="52"/>
      <c r="ET139" s="52"/>
      <c r="EU139" s="52"/>
      <c r="EV139" s="52"/>
      <c r="EW139" s="52"/>
      <c r="EX139" s="52"/>
      <c r="EY139" s="52"/>
      <c r="EZ139" s="52"/>
      <c r="FA139" s="52"/>
      <c r="FB139" s="128" t="n">
        <v>6</v>
      </c>
      <c r="FC139" s="128" t="n">
        <v>2</v>
      </c>
      <c r="FD139" s="131" t="s">
        <v>451</v>
      </c>
      <c r="FE139" s="131" t="s">
        <v>410</v>
      </c>
      <c r="FF139" s="131" t="s">
        <v>452</v>
      </c>
      <c r="FG139" s="131" t="s">
        <v>453</v>
      </c>
      <c r="FH139" s="131" t="s">
        <v>378</v>
      </c>
      <c r="FI139" s="52"/>
      <c r="FJ139" s="52"/>
      <c r="FK139" s="52"/>
      <c r="FL139" s="52"/>
      <c r="FM139" s="52"/>
      <c r="FN139" s="52"/>
      <c r="FO139" s="52"/>
      <c r="FP139" s="52"/>
      <c r="FQ139" s="52"/>
      <c r="FR139" s="52"/>
      <c r="FS139" s="52"/>
      <c r="FT139" s="52"/>
      <c r="FU139" s="52"/>
      <c r="FV139" s="52"/>
      <c r="FW139" s="52"/>
      <c r="FX139" s="52"/>
      <c r="FY139" s="52"/>
      <c r="FZ139" s="52"/>
      <c r="GA139" s="52"/>
      <c r="GB139" s="52"/>
      <c r="GC139" s="52"/>
      <c r="GD139" s="52"/>
      <c r="GE139" s="52"/>
      <c r="GF139" s="52"/>
      <c r="GG139" s="52"/>
      <c r="GH139" s="52"/>
      <c r="GI139" s="52"/>
      <c r="GJ139" s="52"/>
      <c r="GK139" s="128" t="n">
        <v>6</v>
      </c>
      <c r="GL139" s="128" t="n">
        <v>1</v>
      </c>
      <c r="GM139" s="131" t="s">
        <v>695</v>
      </c>
      <c r="GN139" s="131" t="s">
        <v>697</v>
      </c>
      <c r="GO139" s="131" t="s">
        <v>566</v>
      </c>
      <c r="GP139" s="131" t="s">
        <v>567</v>
      </c>
      <c r="GQ139" s="52"/>
      <c r="GR139" s="52"/>
      <c r="GS139" s="52"/>
      <c r="GT139" s="52"/>
      <c r="GU139" s="52"/>
      <c r="GV139" s="52"/>
      <c r="GW139" s="52"/>
      <c r="GX139" s="52"/>
      <c r="GY139" s="52"/>
      <c r="GZ139" s="52"/>
      <c r="HA139" s="52"/>
      <c r="HB139" s="52"/>
      <c r="HC139" s="52"/>
      <c r="HD139" s="52"/>
      <c r="HE139" s="52"/>
      <c r="HF139" s="128" t="n">
        <v>6</v>
      </c>
      <c r="HG139" s="128" t="n">
        <v>1</v>
      </c>
      <c r="HH139" s="131" t="s">
        <v>451</v>
      </c>
      <c r="HI139" s="131" t="s">
        <v>410</v>
      </c>
      <c r="HJ139" s="131" t="s">
        <v>452</v>
      </c>
      <c r="HK139" s="131" t="s">
        <v>453</v>
      </c>
      <c r="HL139" s="131" t="s">
        <v>378</v>
      </c>
      <c r="HM139" s="52"/>
      <c r="HN139" s="52"/>
      <c r="HO139" s="52"/>
      <c r="HP139" s="52"/>
      <c r="HQ139" s="52"/>
      <c r="HR139" s="52"/>
      <c r="HS139" s="52"/>
      <c r="HT139" s="131"/>
      <c r="HU139" s="128"/>
      <c r="HV139" s="131"/>
      <c r="HW139" s="131"/>
      <c r="HX139" s="131"/>
      <c r="HY139" s="131"/>
      <c r="HZ139" s="131"/>
    </row>
    <row r="140" customFormat="false" ht="12.8" hidden="false" customHeight="false" outlineLevel="0" collapsed="false">
      <c r="A140" s="16" t="s">
        <v>258</v>
      </c>
      <c r="B140" s="17" t="s">
        <v>81</v>
      </c>
      <c r="C140" s="16" t="s">
        <v>288</v>
      </c>
      <c r="D140" s="16" t="s">
        <v>289</v>
      </c>
      <c r="E140" s="156" t="s">
        <v>89</v>
      </c>
      <c r="F140" s="16" t="s">
        <v>148</v>
      </c>
      <c r="G140" s="154" t="s">
        <v>744</v>
      </c>
      <c r="H140" s="148" t="s">
        <v>92</v>
      </c>
      <c r="I140" s="150"/>
      <c r="J140" s="150"/>
      <c r="K140" s="39" t="n">
        <v>7000</v>
      </c>
      <c r="L140" s="18" t="n">
        <v>6</v>
      </c>
      <c r="M140" s="18" t="n">
        <f aca="false">IF(AD140,1,0)+IF(AK140,1,0)+AN140+AU140+BB140+BI140+BP140+BW140+CD140+CK140+CR140+CY140+DF140+DM140+DT140+EA140+EH140+EO140+EV140+FC140+FJ140+FQ140+FX140+GE140+GL140+GS140+GZ140+HG140+HN140+HU140</f>
        <v>0</v>
      </c>
      <c r="N140" s="131"/>
      <c r="O140" s="147" t="n">
        <v>11142</v>
      </c>
      <c r="P140" s="147" t="n">
        <v>460</v>
      </c>
      <c r="Q140" s="147" t="n">
        <v>922</v>
      </c>
      <c r="R140" s="21" t="s">
        <v>45</v>
      </c>
      <c r="S140" s="21" t="s">
        <v>45</v>
      </c>
      <c r="T140" s="128"/>
      <c r="U140" s="18"/>
      <c r="V140" s="18"/>
      <c r="W140" s="18"/>
      <c r="X140" s="21" t="s">
        <v>542</v>
      </c>
      <c r="Y140" s="128"/>
      <c r="Z140" s="18"/>
      <c r="AA140" s="18"/>
      <c r="AB140" s="18"/>
      <c r="AC140" s="131"/>
      <c r="AD140" s="128"/>
      <c r="AE140" s="128"/>
      <c r="AF140" s="128"/>
      <c r="AG140" s="128"/>
      <c r="AH140" s="128"/>
      <c r="AI140" s="147"/>
      <c r="AJ140" s="128"/>
      <c r="AK140" s="128"/>
      <c r="AL140" s="147"/>
      <c r="AM140" s="128" t="n">
        <v>7</v>
      </c>
      <c r="AN140" s="128" t="n">
        <v>1</v>
      </c>
      <c r="AO140" s="131" t="s">
        <v>745</v>
      </c>
      <c r="AP140" s="131" t="s">
        <v>746</v>
      </c>
      <c r="AQ140" s="131" t="s">
        <v>747</v>
      </c>
      <c r="AR140" s="131" t="s">
        <v>636</v>
      </c>
      <c r="AS140" s="131" t="s">
        <v>563</v>
      </c>
      <c r="AT140" s="128" t="n">
        <v>7</v>
      </c>
      <c r="AU140" s="128" t="n">
        <v>1</v>
      </c>
      <c r="AV140" s="131" t="s">
        <v>410</v>
      </c>
      <c r="AW140" s="131" t="s">
        <v>453</v>
      </c>
      <c r="AX140" s="131" t="s">
        <v>489</v>
      </c>
      <c r="AY140" s="131" t="s">
        <v>468</v>
      </c>
      <c r="AZ140" s="131" t="s">
        <v>380</v>
      </c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16"/>
      <c r="CK140" s="16"/>
      <c r="CL140" s="16"/>
      <c r="CM140" s="16"/>
      <c r="CN140" s="16"/>
      <c r="CO140" s="16"/>
      <c r="CP140" s="16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  <c r="DA140" s="52"/>
      <c r="DB140" s="52"/>
      <c r="DC140" s="52"/>
      <c r="DD140" s="52"/>
      <c r="DE140" s="128" t="n">
        <v>7</v>
      </c>
      <c r="DF140" s="128" t="n">
        <v>2</v>
      </c>
      <c r="DG140" s="131" t="s">
        <v>390</v>
      </c>
      <c r="DH140" s="131" t="s">
        <v>391</v>
      </c>
      <c r="DI140" s="131" t="s">
        <v>410</v>
      </c>
      <c r="DJ140" s="131" t="s">
        <v>384</v>
      </c>
      <c r="DK140" s="131" t="s">
        <v>399</v>
      </c>
      <c r="DL140" s="52"/>
      <c r="DM140" s="52"/>
      <c r="DN140" s="52"/>
      <c r="DO140" s="52"/>
      <c r="DP140" s="52"/>
      <c r="DQ140" s="52"/>
      <c r="DR140" s="52"/>
      <c r="DS140" s="52"/>
      <c r="DT140" s="52"/>
      <c r="DU140" s="52"/>
      <c r="DV140" s="52"/>
      <c r="DW140" s="52"/>
      <c r="DX140" s="52"/>
      <c r="DY140" s="52"/>
      <c r="DZ140" s="52"/>
      <c r="EA140" s="52"/>
      <c r="EB140" s="52"/>
      <c r="EC140" s="52"/>
      <c r="ED140" s="52"/>
      <c r="EE140" s="52"/>
      <c r="EF140" s="52"/>
      <c r="EG140" s="52"/>
      <c r="EH140" s="52"/>
      <c r="EI140" s="52"/>
      <c r="EJ140" s="52"/>
      <c r="EK140" s="52"/>
      <c r="EL140" s="52"/>
      <c r="EM140" s="52"/>
      <c r="EN140" s="128" t="n">
        <v>7</v>
      </c>
      <c r="EO140" s="128" t="n">
        <v>1</v>
      </c>
      <c r="EP140" s="131" t="s">
        <v>410</v>
      </c>
      <c r="EQ140" s="131" t="s">
        <v>453</v>
      </c>
      <c r="ER140" s="131" t="s">
        <v>489</v>
      </c>
      <c r="ES140" s="131" t="s">
        <v>468</v>
      </c>
      <c r="ET140" s="131" t="s">
        <v>380</v>
      </c>
      <c r="EU140" s="52"/>
      <c r="EV140" s="52"/>
      <c r="EW140" s="52"/>
      <c r="EX140" s="52"/>
      <c r="EY140" s="52"/>
      <c r="EZ140" s="52"/>
      <c r="FA140" s="52"/>
      <c r="FB140" s="128" t="n">
        <v>7</v>
      </c>
      <c r="FC140" s="128" t="n">
        <v>2</v>
      </c>
      <c r="FD140" s="131" t="s">
        <v>451</v>
      </c>
      <c r="FE140" s="131" t="s">
        <v>410</v>
      </c>
      <c r="FF140" s="131" t="s">
        <v>452</v>
      </c>
      <c r="FG140" s="131" t="s">
        <v>574</v>
      </c>
      <c r="FH140" s="131" t="s">
        <v>378</v>
      </c>
      <c r="FI140" s="52"/>
      <c r="FJ140" s="52"/>
      <c r="FK140" s="52"/>
      <c r="FL140" s="52"/>
      <c r="FM140" s="52"/>
      <c r="FN140" s="52"/>
      <c r="FO140" s="52"/>
      <c r="FP140" s="52"/>
      <c r="FQ140" s="52"/>
      <c r="FR140" s="52"/>
      <c r="FS140" s="52"/>
      <c r="FT140" s="52"/>
      <c r="FU140" s="52"/>
      <c r="FV140" s="52"/>
      <c r="FW140" s="52"/>
      <c r="FX140" s="52"/>
      <c r="FY140" s="52"/>
      <c r="FZ140" s="52"/>
      <c r="GA140" s="52"/>
      <c r="GB140" s="52"/>
      <c r="GC140" s="52"/>
      <c r="GD140" s="52"/>
      <c r="GE140" s="52"/>
      <c r="GF140" s="52"/>
      <c r="GG140" s="52"/>
      <c r="GH140" s="52"/>
      <c r="GI140" s="52"/>
      <c r="GJ140" s="52"/>
      <c r="GK140" s="128" t="n">
        <v>7</v>
      </c>
      <c r="GL140" s="128" t="n">
        <v>1</v>
      </c>
      <c r="GM140" s="131" t="s">
        <v>695</v>
      </c>
      <c r="GN140" s="131" t="s">
        <v>565</v>
      </c>
      <c r="GO140" s="131" t="s">
        <v>566</v>
      </c>
      <c r="GP140" s="131" t="s">
        <v>567</v>
      </c>
      <c r="GQ140" s="52"/>
      <c r="GR140" s="52"/>
      <c r="GS140" s="52"/>
      <c r="GT140" s="52"/>
      <c r="GU140" s="52"/>
      <c r="GV140" s="52"/>
      <c r="GW140" s="52"/>
      <c r="GX140" s="52"/>
      <c r="GY140" s="52"/>
      <c r="GZ140" s="52"/>
      <c r="HA140" s="52"/>
      <c r="HB140" s="52"/>
      <c r="HC140" s="52"/>
      <c r="HD140" s="52"/>
      <c r="HE140" s="52"/>
      <c r="HF140" s="52"/>
      <c r="HG140" s="52"/>
      <c r="HH140" s="52"/>
      <c r="HI140" s="52"/>
      <c r="HJ140" s="52"/>
      <c r="HK140" s="52"/>
      <c r="HL140" s="52"/>
      <c r="HM140" s="52"/>
      <c r="HN140" s="52"/>
      <c r="HO140" s="52"/>
      <c r="HP140" s="52"/>
      <c r="HQ140" s="52"/>
      <c r="HR140" s="52"/>
      <c r="HS140" s="52"/>
      <c r="HT140" s="39" t="n">
        <v>7</v>
      </c>
      <c r="HU140" s="128" t="n">
        <v>1</v>
      </c>
      <c r="HV140" s="131" t="s">
        <v>451</v>
      </c>
      <c r="HW140" s="131" t="s">
        <v>410</v>
      </c>
      <c r="HX140" s="131" t="s">
        <v>452</v>
      </c>
      <c r="HY140" s="131" t="s">
        <v>574</v>
      </c>
      <c r="HZ140" s="131" t="s">
        <v>378</v>
      </c>
    </row>
    <row r="141" customFormat="false" ht="12.8" hidden="false" customHeight="false" outlineLevel="0" collapsed="false">
      <c r="A141" s="16" t="s">
        <v>258</v>
      </c>
      <c r="B141" s="17" t="s">
        <v>81</v>
      </c>
      <c r="C141" s="16" t="s">
        <v>288</v>
      </c>
      <c r="D141" s="16" t="s">
        <v>289</v>
      </c>
      <c r="E141" s="156" t="s">
        <v>89</v>
      </c>
      <c r="F141" s="16" t="s">
        <v>148</v>
      </c>
      <c r="G141" s="154" t="s">
        <v>748</v>
      </c>
      <c r="H141" s="150"/>
      <c r="I141" s="150"/>
      <c r="J141" s="150"/>
      <c r="K141" s="39" t="n">
        <v>7000</v>
      </c>
      <c r="L141" s="18" t="n">
        <v>4</v>
      </c>
      <c r="M141" s="18" t="n">
        <f aca="false">IF(AD141,1,0)+IF(AK141,1,0)+AN141+AU141+BB141+BI141+BP141+BW141+CD141+CK141+CR141+CY141+DF141+DM141+DT141+EA141+EH141+EO141+EV141+FC141+FJ141+FQ141+FX141+GE141+GL141+GS141+GZ141+HG141+HN141+HU141</f>
        <v>0</v>
      </c>
      <c r="N141" s="131"/>
      <c r="O141" s="147" t="n">
        <v>3000</v>
      </c>
      <c r="P141" s="147" t="n">
        <v>720</v>
      </c>
      <c r="Q141" s="147" t="n">
        <v>150</v>
      </c>
      <c r="R141" s="21" t="s">
        <v>44</v>
      </c>
      <c r="S141" s="18"/>
      <c r="T141" s="18"/>
      <c r="U141" s="18"/>
      <c r="V141" s="18"/>
      <c r="W141" s="18"/>
      <c r="X141" s="21" t="s">
        <v>541</v>
      </c>
      <c r="Y141" s="128"/>
      <c r="Z141" s="18"/>
      <c r="AA141" s="18"/>
      <c r="AB141" s="18"/>
      <c r="AC141" s="131"/>
      <c r="AD141" s="128"/>
      <c r="AE141" s="128"/>
      <c r="AF141" s="128"/>
      <c r="AG141" s="128"/>
      <c r="AH141" s="128"/>
      <c r="AI141" s="147"/>
      <c r="AJ141" s="128"/>
      <c r="AK141" s="128"/>
      <c r="AL141" s="147"/>
      <c r="AM141" s="131"/>
      <c r="AN141" s="128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16"/>
      <c r="CK141" s="16"/>
      <c r="CL141" s="16"/>
      <c r="CM141" s="16"/>
      <c r="CN141" s="16"/>
      <c r="CO141" s="16"/>
      <c r="CP141" s="16"/>
      <c r="CQ141" s="128" t="n">
        <v>2</v>
      </c>
      <c r="CR141" s="128" t="n">
        <v>2</v>
      </c>
      <c r="CS141" s="131" t="s">
        <v>399</v>
      </c>
      <c r="CT141" s="52"/>
      <c r="CU141" s="52"/>
      <c r="CV141" s="52"/>
      <c r="CW141" s="52"/>
      <c r="CX141" s="52"/>
      <c r="CY141" s="52"/>
      <c r="CZ141" s="52"/>
      <c r="DA141" s="52"/>
      <c r="DB141" s="52"/>
      <c r="DC141" s="52"/>
      <c r="DD141" s="52"/>
      <c r="DE141" s="52"/>
      <c r="DF141" s="52"/>
      <c r="DG141" s="52"/>
      <c r="DH141" s="52"/>
      <c r="DI141" s="52"/>
      <c r="DJ141" s="52"/>
      <c r="DK141" s="52"/>
      <c r="DL141" s="52"/>
      <c r="DM141" s="52"/>
      <c r="DN141" s="52"/>
      <c r="DO141" s="52"/>
      <c r="DP141" s="52"/>
      <c r="DQ141" s="52"/>
      <c r="DR141" s="52"/>
      <c r="DS141" s="52"/>
      <c r="DT141" s="52"/>
      <c r="DU141" s="52"/>
      <c r="DV141" s="52"/>
      <c r="DW141" s="52"/>
      <c r="DX141" s="52"/>
      <c r="DY141" s="52"/>
      <c r="DZ141" s="52"/>
      <c r="EA141" s="52"/>
      <c r="EB141" s="52"/>
      <c r="EC141" s="52"/>
      <c r="ED141" s="52"/>
      <c r="EE141" s="52"/>
      <c r="EF141" s="52"/>
      <c r="EG141" s="52"/>
      <c r="EH141" s="52"/>
      <c r="EI141" s="52"/>
      <c r="EJ141" s="52"/>
      <c r="EK141" s="52"/>
      <c r="EL141" s="52"/>
      <c r="EM141" s="52"/>
      <c r="EN141" s="52"/>
      <c r="EO141" s="52"/>
      <c r="EP141" s="52"/>
      <c r="EQ141" s="52"/>
      <c r="ER141" s="52"/>
      <c r="ES141" s="52"/>
      <c r="ET141" s="52"/>
      <c r="EU141" s="52"/>
      <c r="EV141" s="52"/>
      <c r="EW141" s="52"/>
      <c r="EX141" s="52"/>
      <c r="EY141" s="52"/>
      <c r="EZ141" s="52"/>
      <c r="FA141" s="52"/>
      <c r="FB141" s="128" t="n">
        <v>2</v>
      </c>
      <c r="FC141" s="128" t="n">
        <v>2</v>
      </c>
      <c r="FD141" s="131" t="s">
        <v>378</v>
      </c>
      <c r="FE141" s="52"/>
      <c r="FF141" s="52"/>
      <c r="FG141" s="52"/>
      <c r="FH141" s="52"/>
      <c r="FI141" s="52"/>
      <c r="FJ141" s="52"/>
      <c r="FK141" s="52"/>
      <c r="FL141" s="52"/>
      <c r="FM141" s="52"/>
      <c r="FN141" s="52"/>
      <c r="FO141" s="52"/>
      <c r="FP141" s="52"/>
      <c r="FQ141" s="52"/>
      <c r="FR141" s="52"/>
      <c r="FS141" s="52"/>
      <c r="FT141" s="52"/>
      <c r="FU141" s="52"/>
      <c r="FV141" s="52"/>
      <c r="FW141" s="52"/>
      <c r="FX141" s="52"/>
      <c r="FY141" s="52"/>
      <c r="FZ141" s="52"/>
      <c r="GA141" s="52"/>
      <c r="GB141" s="52"/>
      <c r="GC141" s="52"/>
      <c r="GD141" s="52"/>
      <c r="GE141" s="52"/>
      <c r="GF141" s="52"/>
      <c r="GG141" s="52"/>
      <c r="GH141" s="52"/>
      <c r="GI141" s="52"/>
      <c r="GJ141" s="52"/>
      <c r="GK141" s="52"/>
      <c r="GL141" s="52"/>
      <c r="GM141" s="52"/>
      <c r="GN141" s="52"/>
      <c r="GO141" s="52"/>
      <c r="GP141" s="52"/>
      <c r="GQ141" s="52"/>
      <c r="GR141" s="52"/>
      <c r="GS141" s="52"/>
      <c r="GT141" s="52"/>
      <c r="GU141" s="52"/>
      <c r="GV141" s="52"/>
      <c r="GW141" s="52"/>
      <c r="GX141" s="52"/>
      <c r="GY141" s="52"/>
      <c r="GZ141" s="52"/>
      <c r="HA141" s="52"/>
      <c r="HB141" s="52"/>
      <c r="HC141" s="52"/>
      <c r="HD141" s="52"/>
      <c r="HE141" s="52"/>
      <c r="HF141" s="128" t="n">
        <v>2</v>
      </c>
      <c r="HG141" s="128" t="n">
        <v>1</v>
      </c>
      <c r="HH141" s="131" t="s">
        <v>378</v>
      </c>
      <c r="HI141" s="52"/>
      <c r="HJ141" s="52"/>
      <c r="HK141" s="52"/>
      <c r="HL141" s="52"/>
      <c r="HM141" s="128" t="n">
        <v>2</v>
      </c>
      <c r="HN141" s="128" t="n">
        <v>1</v>
      </c>
      <c r="HO141" s="131" t="s">
        <v>378</v>
      </c>
      <c r="HP141" s="52"/>
      <c r="HQ141" s="52"/>
      <c r="HR141" s="52"/>
      <c r="HS141" s="52"/>
      <c r="HT141" s="131"/>
      <c r="HU141" s="128"/>
      <c r="HV141" s="131"/>
      <c r="HW141" s="131"/>
      <c r="HX141" s="131"/>
      <c r="HY141" s="131"/>
      <c r="HZ141" s="131"/>
    </row>
    <row r="142" customFormat="false" ht="12.8" hidden="false" customHeight="false" outlineLevel="0" collapsed="false">
      <c r="A142" s="16" t="s">
        <v>258</v>
      </c>
      <c r="B142" s="17" t="s">
        <v>81</v>
      </c>
      <c r="C142" s="16" t="s">
        <v>288</v>
      </c>
      <c r="D142" s="16" t="s">
        <v>290</v>
      </c>
      <c r="E142" s="156" t="s">
        <v>87</v>
      </c>
      <c r="F142" s="16" t="s">
        <v>163</v>
      </c>
      <c r="G142" s="154" t="s">
        <v>744</v>
      </c>
      <c r="H142" s="150"/>
      <c r="I142" s="150"/>
      <c r="J142" s="150"/>
      <c r="K142" s="39" t="n">
        <v>7000</v>
      </c>
      <c r="L142" s="18"/>
      <c r="M142" s="18" t="n">
        <f aca="false">IF(AD142,1,0)+IF(AK142,1,0)+AN142+AU142+BB142+BI142+BP142+BW142+CD142+CK142+CR142+CY142+DF142+DM142+DT142+EA142+EH142+EO142+EV142+FC142+FJ142+FQ142+FX142+GE142+GL142+GS142+GZ142+HG142+HN142+HU142</f>
        <v>0</v>
      </c>
      <c r="N142" s="131"/>
      <c r="O142" s="147"/>
      <c r="P142" s="147"/>
      <c r="Q142" s="147"/>
      <c r="R142" s="12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31"/>
      <c r="AD142" s="128"/>
      <c r="AE142" s="128"/>
      <c r="AF142" s="128"/>
      <c r="AG142" s="128"/>
      <c r="AH142" s="128"/>
      <c r="AI142" s="147"/>
      <c r="AJ142" s="128"/>
      <c r="AK142" s="128"/>
      <c r="AL142" s="147"/>
      <c r="AM142" s="131"/>
      <c r="AN142" s="128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  <c r="BA142" s="52"/>
      <c r="BB142" s="52"/>
      <c r="BC142" s="52"/>
      <c r="BD142" s="52"/>
      <c r="BE142" s="52"/>
      <c r="BF142" s="52"/>
      <c r="BG142" s="52"/>
      <c r="BH142" s="128" t="n">
        <v>10</v>
      </c>
      <c r="BI142" s="128" t="n">
        <v>1</v>
      </c>
      <c r="BJ142" s="131" t="s">
        <v>719</v>
      </c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16"/>
      <c r="CK142" s="16"/>
      <c r="CL142" s="16"/>
      <c r="CM142" s="16"/>
      <c r="CN142" s="16"/>
      <c r="CO142" s="16"/>
      <c r="CP142" s="16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  <c r="DA142" s="52"/>
      <c r="DB142" s="52"/>
      <c r="DC142" s="52"/>
      <c r="DD142" s="52"/>
      <c r="DE142" s="52"/>
      <c r="DF142" s="52"/>
      <c r="DG142" s="52"/>
      <c r="DH142" s="52"/>
      <c r="DI142" s="52"/>
      <c r="DJ142" s="52"/>
      <c r="DK142" s="52"/>
      <c r="DL142" s="52"/>
      <c r="DM142" s="52"/>
      <c r="DN142" s="52"/>
      <c r="DO142" s="52"/>
      <c r="DP142" s="52"/>
      <c r="DQ142" s="52"/>
      <c r="DR142" s="52"/>
      <c r="DS142" s="52"/>
      <c r="DT142" s="52"/>
      <c r="DU142" s="52"/>
      <c r="DV142" s="52"/>
      <c r="DW142" s="52"/>
      <c r="DX142" s="52"/>
      <c r="DY142" s="52"/>
      <c r="DZ142" s="52"/>
      <c r="EA142" s="52"/>
      <c r="EB142" s="52"/>
      <c r="EC142" s="52"/>
      <c r="ED142" s="52"/>
      <c r="EE142" s="52"/>
      <c r="EF142" s="52"/>
      <c r="EG142" s="52"/>
      <c r="EH142" s="52"/>
      <c r="EI142" s="52"/>
      <c r="EJ142" s="52"/>
      <c r="EK142" s="52"/>
      <c r="EL142" s="52"/>
      <c r="EM142" s="52"/>
      <c r="EN142" s="52"/>
      <c r="EO142" s="52"/>
      <c r="EP142" s="52"/>
      <c r="EQ142" s="52"/>
      <c r="ER142" s="52"/>
      <c r="ES142" s="52"/>
      <c r="ET142" s="52"/>
      <c r="EU142" s="52"/>
      <c r="EV142" s="52"/>
      <c r="EW142" s="52"/>
      <c r="EX142" s="52"/>
      <c r="EY142" s="52"/>
      <c r="EZ142" s="52"/>
      <c r="FA142" s="52"/>
      <c r="FB142" s="52"/>
      <c r="FC142" s="52"/>
      <c r="FD142" s="52"/>
      <c r="FE142" s="52"/>
      <c r="FF142" s="52"/>
      <c r="FG142" s="52"/>
      <c r="FH142" s="52"/>
      <c r="FI142" s="52"/>
      <c r="FJ142" s="52"/>
      <c r="FK142" s="52"/>
      <c r="FL142" s="52"/>
      <c r="FM142" s="52"/>
      <c r="FN142" s="52"/>
      <c r="FO142" s="52"/>
      <c r="FP142" s="52"/>
      <c r="FQ142" s="52"/>
      <c r="FR142" s="52"/>
      <c r="FS142" s="52"/>
      <c r="FT142" s="52"/>
      <c r="FU142" s="52"/>
      <c r="FV142" s="52"/>
      <c r="FW142" s="52"/>
      <c r="FX142" s="52"/>
      <c r="FY142" s="52"/>
      <c r="FZ142" s="52"/>
      <c r="GA142" s="52"/>
      <c r="GB142" s="52"/>
      <c r="GC142" s="52"/>
      <c r="GD142" s="52"/>
      <c r="GE142" s="52"/>
      <c r="GF142" s="52"/>
      <c r="GG142" s="52"/>
      <c r="GH142" s="52"/>
      <c r="GI142" s="52"/>
      <c r="GJ142" s="52"/>
      <c r="GK142" s="52"/>
      <c r="GL142" s="52"/>
      <c r="GM142" s="52"/>
      <c r="GN142" s="52"/>
      <c r="GO142" s="52"/>
      <c r="GP142" s="52"/>
      <c r="GQ142" s="52"/>
      <c r="GR142" s="52"/>
      <c r="GS142" s="52"/>
      <c r="GT142" s="52"/>
      <c r="GU142" s="52"/>
      <c r="GV142" s="52"/>
      <c r="GW142" s="52"/>
      <c r="GX142" s="52"/>
      <c r="GY142" s="52"/>
      <c r="GZ142" s="52"/>
      <c r="HA142" s="52"/>
      <c r="HB142" s="52"/>
      <c r="HC142" s="52"/>
      <c r="HD142" s="52"/>
      <c r="HE142" s="52"/>
      <c r="HF142" s="52"/>
      <c r="HG142" s="52"/>
      <c r="HH142" s="52"/>
      <c r="HI142" s="52"/>
      <c r="HJ142" s="52"/>
      <c r="HK142" s="52"/>
      <c r="HL142" s="52"/>
      <c r="HM142" s="52"/>
      <c r="HN142" s="52"/>
      <c r="HO142" s="52"/>
      <c r="HP142" s="52"/>
      <c r="HQ142" s="52"/>
      <c r="HR142" s="52"/>
      <c r="HS142" s="52"/>
      <c r="HT142" s="131"/>
      <c r="HU142" s="128"/>
      <c r="HV142" s="131"/>
      <c r="HW142" s="131"/>
      <c r="HX142" s="131"/>
      <c r="HY142" s="131"/>
      <c r="HZ142" s="131"/>
    </row>
    <row r="143" customFormat="false" ht="12.8" hidden="false" customHeight="false" outlineLevel="0" collapsed="false">
      <c r="A143" s="16" t="s">
        <v>258</v>
      </c>
      <c r="B143" s="17" t="s">
        <v>81</v>
      </c>
      <c r="C143" s="16" t="s">
        <v>288</v>
      </c>
      <c r="D143" s="16" t="s">
        <v>291</v>
      </c>
      <c r="E143" s="156" t="s">
        <v>88</v>
      </c>
      <c r="F143" s="16" t="s">
        <v>170</v>
      </c>
      <c r="G143" s="157"/>
      <c r="H143" s="150"/>
      <c r="I143" s="150"/>
      <c r="J143" s="150"/>
      <c r="K143" s="39" t="n">
        <v>7000</v>
      </c>
      <c r="L143" s="18"/>
      <c r="M143" s="18" t="n">
        <f aca="false">IF(AD143,1,0)+IF(AK143,1,0)+AN143+AU143+BB143+BI143+BP143+BW143+CD143+CK143+CR143+CY143+DF143+DM143+DT143+EA143+EH143+EO143+EV143+FC143+FJ143+FQ143+FX143+GE143+GL143+GS143+GZ143+HG143+HN143+HU143</f>
        <v>0</v>
      </c>
      <c r="N143" s="131"/>
      <c r="O143" s="147"/>
      <c r="P143" s="147"/>
      <c r="Q143" s="147"/>
      <c r="R143" s="12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23" t="s">
        <v>612</v>
      </c>
      <c r="AD143" s="128"/>
      <c r="AE143" s="21" t="s">
        <v>613</v>
      </c>
      <c r="AF143" s="128"/>
      <c r="AG143" s="128" t="n">
        <v>30</v>
      </c>
      <c r="AH143" s="128" t="n">
        <v>30</v>
      </c>
      <c r="AI143" s="147" t="s">
        <v>743</v>
      </c>
      <c r="AJ143" s="128"/>
      <c r="AK143" s="128"/>
      <c r="AL143" s="147"/>
      <c r="AM143" s="131"/>
      <c r="AN143" s="128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16"/>
      <c r="CK143" s="16"/>
      <c r="CL143" s="16"/>
      <c r="CM143" s="16"/>
      <c r="CN143" s="16"/>
      <c r="CO143" s="16"/>
      <c r="CP143" s="16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  <c r="DA143" s="52"/>
      <c r="DB143" s="52"/>
      <c r="DC143" s="52"/>
      <c r="DD143" s="52"/>
      <c r="DE143" s="52"/>
      <c r="DF143" s="52"/>
      <c r="DG143" s="52"/>
      <c r="DH143" s="52"/>
      <c r="DI143" s="52"/>
      <c r="DJ143" s="52"/>
      <c r="DK143" s="52"/>
      <c r="DL143" s="52"/>
      <c r="DM143" s="52"/>
      <c r="DN143" s="52"/>
      <c r="DO143" s="52"/>
      <c r="DP143" s="52"/>
      <c r="DQ143" s="52"/>
      <c r="DR143" s="52"/>
      <c r="DS143" s="52"/>
      <c r="DT143" s="52"/>
      <c r="DU143" s="52"/>
      <c r="DV143" s="52"/>
      <c r="DW143" s="52"/>
      <c r="DX143" s="52"/>
      <c r="DY143" s="52"/>
      <c r="DZ143" s="52"/>
      <c r="EA143" s="52"/>
      <c r="EB143" s="52"/>
      <c r="EC143" s="52"/>
      <c r="ED143" s="52"/>
      <c r="EE143" s="52"/>
      <c r="EF143" s="52"/>
      <c r="EG143" s="52"/>
      <c r="EH143" s="52"/>
      <c r="EI143" s="52"/>
      <c r="EJ143" s="52"/>
      <c r="EK143" s="52"/>
      <c r="EL143" s="52"/>
      <c r="EM143" s="52"/>
      <c r="EN143" s="52"/>
      <c r="EO143" s="52"/>
      <c r="EP143" s="52"/>
      <c r="EQ143" s="52"/>
      <c r="ER143" s="52"/>
      <c r="ES143" s="52"/>
      <c r="ET143" s="52"/>
      <c r="EU143" s="52"/>
      <c r="EV143" s="52"/>
      <c r="EW143" s="52"/>
      <c r="EX143" s="52"/>
      <c r="EY143" s="52"/>
      <c r="EZ143" s="52"/>
      <c r="FA143" s="52"/>
      <c r="FB143" s="52"/>
      <c r="FC143" s="52"/>
      <c r="FD143" s="52"/>
      <c r="FE143" s="52"/>
      <c r="FF143" s="52"/>
      <c r="FG143" s="52"/>
      <c r="FH143" s="52"/>
      <c r="FI143" s="52"/>
      <c r="FJ143" s="52"/>
      <c r="FK143" s="52"/>
      <c r="FL143" s="52"/>
      <c r="FM143" s="52"/>
      <c r="FN143" s="52"/>
      <c r="FO143" s="52"/>
      <c r="FP143" s="52"/>
      <c r="FQ143" s="52"/>
      <c r="FR143" s="52"/>
      <c r="FS143" s="52"/>
      <c r="FT143" s="52"/>
      <c r="FU143" s="52"/>
      <c r="FV143" s="52"/>
      <c r="FW143" s="52"/>
      <c r="FX143" s="52"/>
      <c r="FY143" s="52"/>
      <c r="FZ143" s="52"/>
      <c r="GA143" s="52"/>
      <c r="GB143" s="52"/>
      <c r="GC143" s="52"/>
      <c r="GD143" s="52"/>
      <c r="GE143" s="52"/>
      <c r="GF143" s="52"/>
      <c r="GG143" s="52"/>
      <c r="GH143" s="52"/>
      <c r="GI143" s="52"/>
      <c r="GJ143" s="52"/>
      <c r="GK143" s="52"/>
      <c r="GL143" s="52"/>
      <c r="GM143" s="52"/>
      <c r="GN143" s="52"/>
      <c r="GO143" s="52"/>
      <c r="GP143" s="52"/>
      <c r="GQ143" s="52"/>
      <c r="GR143" s="52"/>
      <c r="GS143" s="52"/>
      <c r="GT143" s="52"/>
      <c r="GU143" s="52"/>
      <c r="GV143" s="52"/>
      <c r="GW143" s="52"/>
      <c r="GX143" s="52"/>
      <c r="GY143" s="52"/>
      <c r="GZ143" s="52"/>
      <c r="HA143" s="52"/>
      <c r="HB143" s="52"/>
      <c r="HC143" s="52"/>
      <c r="HD143" s="52"/>
      <c r="HE143" s="52"/>
      <c r="HF143" s="52"/>
      <c r="HG143" s="52"/>
      <c r="HH143" s="52"/>
      <c r="HI143" s="52"/>
      <c r="HJ143" s="52"/>
      <c r="HK143" s="52"/>
      <c r="HL143" s="52"/>
      <c r="HM143" s="52"/>
      <c r="HN143" s="52"/>
      <c r="HO143" s="52"/>
      <c r="HP143" s="52"/>
      <c r="HQ143" s="52"/>
      <c r="HR143" s="52"/>
      <c r="HS143" s="52"/>
      <c r="HT143" s="131"/>
      <c r="HU143" s="128"/>
      <c r="HV143" s="131"/>
      <c r="HW143" s="131"/>
      <c r="HX143" s="131"/>
      <c r="HY143" s="131"/>
      <c r="HZ143" s="131"/>
    </row>
    <row r="144" customFormat="false" ht="12.8" hidden="false" customHeight="false" outlineLevel="0" collapsed="false">
      <c r="A144" s="16" t="s">
        <v>258</v>
      </c>
      <c r="B144" s="17" t="s">
        <v>81</v>
      </c>
      <c r="C144" s="16" t="s">
        <v>292</v>
      </c>
      <c r="D144" s="16" t="s">
        <v>293</v>
      </c>
      <c r="E144" s="156" t="s">
        <v>89</v>
      </c>
      <c r="F144" s="16" t="s">
        <v>106</v>
      </c>
      <c r="G144" s="154" t="s">
        <v>725</v>
      </c>
      <c r="H144" s="148" t="s">
        <v>92</v>
      </c>
      <c r="I144" s="150"/>
      <c r="J144" s="150"/>
      <c r="K144" s="39" t="n">
        <v>7000</v>
      </c>
      <c r="L144" s="18" t="n">
        <v>6</v>
      </c>
      <c r="M144" s="18" t="n">
        <f aca="false">IF(AD144,1,0)+IF(AK144,1,0)+AN144+AU144+BB144+BI144+BP144+BW144+CD144+CK144+CR144+CY144+DF144+DM144+DT144+EA144+EH144+EO144+EV144+FC144+FJ144+FQ144+FX144+GE144+GL144+GS144+GZ144+HG144+HN144+HU144</f>
        <v>0</v>
      </c>
      <c r="N144" s="131"/>
      <c r="O144" s="147" t="n">
        <v>9875</v>
      </c>
      <c r="P144" s="147" t="n">
        <v>1200</v>
      </c>
      <c r="Q144" s="147" t="n">
        <v>1182</v>
      </c>
      <c r="R144" s="21" t="s">
        <v>44</v>
      </c>
      <c r="S144" s="21" t="s">
        <v>44</v>
      </c>
      <c r="T144" s="128"/>
      <c r="U144" s="18"/>
      <c r="V144" s="18"/>
      <c r="W144" s="18"/>
      <c r="X144" s="18"/>
      <c r="Y144" s="18"/>
      <c r="Z144" s="18"/>
      <c r="AA144" s="18"/>
      <c r="AB144" s="18"/>
      <c r="AC144" s="23" t="s">
        <v>726</v>
      </c>
      <c r="AD144" s="128" t="n">
        <v>15</v>
      </c>
      <c r="AE144" s="128"/>
      <c r="AF144" s="128" t="n">
        <v>90</v>
      </c>
      <c r="AG144" s="128" t="n">
        <v>10</v>
      </c>
      <c r="AH144" s="128"/>
      <c r="AI144" s="147" t="s">
        <v>727</v>
      </c>
      <c r="AJ144" s="128"/>
      <c r="AK144" s="128"/>
      <c r="AL144" s="147"/>
      <c r="AM144" s="131"/>
      <c r="AN144" s="128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16"/>
      <c r="CK144" s="16"/>
      <c r="CL144" s="16"/>
      <c r="CM144" s="16"/>
      <c r="CN144" s="16"/>
      <c r="CO144" s="16"/>
      <c r="CP144" s="16"/>
      <c r="CQ144" s="128" t="n">
        <v>7</v>
      </c>
      <c r="CR144" s="128" t="n">
        <v>2</v>
      </c>
      <c r="CS144" s="131" t="s">
        <v>390</v>
      </c>
      <c r="CT144" s="131" t="s">
        <v>391</v>
      </c>
      <c r="CU144" s="131" t="s">
        <v>410</v>
      </c>
      <c r="CV144" s="131" t="s">
        <v>384</v>
      </c>
      <c r="CW144" s="131" t="s">
        <v>399</v>
      </c>
      <c r="CX144" s="52"/>
      <c r="CY144" s="52"/>
      <c r="CZ144" s="52"/>
      <c r="DA144" s="52"/>
      <c r="DB144" s="52"/>
      <c r="DC144" s="52"/>
      <c r="DD144" s="52"/>
      <c r="DE144" s="52"/>
      <c r="DF144" s="52"/>
      <c r="DG144" s="52"/>
      <c r="DH144" s="52"/>
      <c r="DI144" s="52"/>
      <c r="DJ144" s="52"/>
      <c r="DK144" s="52"/>
      <c r="DL144" s="52"/>
      <c r="DM144" s="52"/>
      <c r="DN144" s="52"/>
      <c r="DO144" s="52"/>
      <c r="DP144" s="52"/>
      <c r="DQ144" s="52"/>
      <c r="DR144" s="52"/>
      <c r="DS144" s="52"/>
      <c r="DT144" s="52"/>
      <c r="DU144" s="52"/>
      <c r="DV144" s="52"/>
      <c r="DW144" s="52"/>
      <c r="DX144" s="52"/>
      <c r="DY144" s="52"/>
      <c r="DZ144" s="52"/>
      <c r="EA144" s="52"/>
      <c r="EB144" s="52"/>
      <c r="EC144" s="52"/>
      <c r="ED144" s="52"/>
      <c r="EE144" s="52"/>
      <c r="EF144" s="52"/>
      <c r="EG144" s="52"/>
      <c r="EH144" s="52"/>
      <c r="EI144" s="52"/>
      <c r="EJ144" s="52"/>
      <c r="EK144" s="52"/>
      <c r="EL144" s="52"/>
      <c r="EM144" s="52"/>
      <c r="EN144" s="52"/>
      <c r="EO144" s="52"/>
      <c r="EP144" s="52"/>
      <c r="EQ144" s="52"/>
      <c r="ER144" s="52"/>
      <c r="ES144" s="52"/>
      <c r="ET144" s="52"/>
      <c r="EU144" s="128" t="s">
        <v>749</v>
      </c>
      <c r="EV144" s="128" t="n">
        <v>1</v>
      </c>
      <c r="EW144" s="131" t="s">
        <v>451</v>
      </c>
      <c r="EX144" s="131" t="s">
        <v>410</v>
      </c>
      <c r="EY144" s="131" t="s">
        <v>452</v>
      </c>
      <c r="EZ144" s="131" t="s">
        <v>574</v>
      </c>
      <c r="FA144" s="131" t="s">
        <v>378</v>
      </c>
      <c r="FB144" s="128" t="n">
        <v>7</v>
      </c>
      <c r="FC144" s="128" t="n">
        <v>2</v>
      </c>
      <c r="FD144" s="131" t="s">
        <v>451</v>
      </c>
      <c r="FE144" s="131" t="s">
        <v>410</v>
      </c>
      <c r="FF144" s="131" t="s">
        <v>452</v>
      </c>
      <c r="FG144" s="131" t="s">
        <v>574</v>
      </c>
      <c r="FH144" s="131" t="s">
        <v>378</v>
      </c>
      <c r="FI144" s="52"/>
      <c r="FJ144" s="52"/>
      <c r="FK144" s="52"/>
      <c r="FL144" s="52"/>
      <c r="FM144" s="52"/>
      <c r="FN144" s="52"/>
      <c r="FO144" s="52"/>
      <c r="FP144" s="52"/>
      <c r="FQ144" s="52"/>
      <c r="FR144" s="52"/>
      <c r="FS144" s="52"/>
      <c r="FT144" s="52"/>
      <c r="FU144" s="52"/>
      <c r="FV144" s="52"/>
      <c r="FW144" s="52"/>
      <c r="FX144" s="52"/>
      <c r="FY144" s="52"/>
      <c r="FZ144" s="52"/>
      <c r="GA144" s="52"/>
      <c r="GB144" s="52"/>
      <c r="GC144" s="52"/>
      <c r="GD144" s="52"/>
      <c r="GE144" s="52"/>
      <c r="GF144" s="52"/>
      <c r="GG144" s="52"/>
      <c r="GH144" s="52"/>
      <c r="GI144" s="52"/>
      <c r="GJ144" s="52"/>
      <c r="GK144" s="52"/>
      <c r="GL144" s="52"/>
      <c r="GM144" s="52"/>
      <c r="GN144" s="52"/>
      <c r="GO144" s="52"/>
      <c r="GP144" s="52"/>
      <c r="GQ144" s="52"/>
      <c r="GR144" s="52"/>
      <c r="GS144" s="52"/>
      <c r="GT144" s="52"/>
      <c r="GU144" s="52"/>
      <c r="GV144" s="52"/>
      <c r="GW144" s="52"/>
      <c r="GX144" s="52"/>
      <c r="GY144" s="52"/>
      <c r="GZ144" s="52"/>
      <c r="HA144" s="52"/>
      <c r="HB144" s="52"/>
      <c r="HC144" s="52"/>
      <c r="HD144" s="52"/>
      <c r="HE144" s="52"/>
      <c r="HF144" s="128" t="n">
        <v>7</v>
      </c>
      <c r="HG144" s="128" t="n">
        <v>1</v>
      </c>
      <c r="HH144" s="131" t="s">
        <v>451</v>
      </c>
      <c r="HI144" s="131" t="s">
        <v>410</v>
      </c>
      <c r="HJ144" s="131" t="s">
        <v>452</v>
      </c>
      <c r="HK144" s="131" t="s">
        <v>574</v>
      </c>
      <c r="HL144" s="131" t="s">
        <v>378</v>
      </c>
      <c r="HM144" s="39" t="n">
        <v>7</v>
      </c>
      <c r="HN144" s="128" t="n">
        <v>1</v>
      </c>
      <c r="HO144" s="131" t="s">
        <v>451</v>
      </c>
      <c r="HP144" s="131" t="s">
        <v>410</v>
      </c>
      <c r="HQ144" s="131" t="s">
        <v>452</v>
      </c>
      <c r="HR144" s="131" t="s">
        <v>574</v>
      </c>
      <c r="HS144" s="131" t="s">
        <v>378</v>
      </c>
      <c r="HT144" s="131"/>
      <c r="HU144" s="128"/>
      <c r="HV144" s="131"/>
      <c r="HW144" s="131"/>
      <c r="HX144" s="131"/>
      <c r="HY144" s="131"/>
      <c r="HZ144" s="131"/>
    </row>
    <row r="145" customFormat="false" ht="12.8" hidden="false" customHeight="false" outlineLevel="0" collapsed="false">
      <c r="A145" s="16" t="s">
        <v>258</v>
      </c>
      <c r="B145" s="17" t="s">
        <v>81</v>
      </c>
      <c r="C145" s="16" t="s">
        <v>292</v>
      </c>
      <c r="D145" s="16" t="s">
        <v>293</v>
      </c>
      <c r="E145" s="156" t="s">
        <v>89</v>
      </c>
      <c r="F145" s="16" t="s">
        <v>106</v>
      </c>
      <c r="G145" s="154" t="s">
        <v>623</v>
      </c>
      <c r="H145" s="150"/>
      <c r="I145" s="150"/>
      <c r="J145" s="150"/>
      <c r="K145" s="39" t="n">
        <v>7000</v>
      </c>
      <c r="L145" s="18" t="n">
        <v>4</v>
      </c>
      <c r="M145" s="18" t="n">
        <f aca="false">IF(AD145,1,0)+IF(AK145,1,0)+AN145+AU145+BB145+BI145+BP145+BW145+CD145+CK145+CR145+CY145+DF145+DM145+DT145+EA145+EH145+EO145+EV145+FC145+FJ145+FQ145+FX145+GE145+GL145+GS145+GZ145+HG145+HN145+HU145</f>
        <v>0</v>
      </c>
      <c r="N145" s="131"/>
      <c r="O145" s="147" t="n">
        <v>5929</v>
      </c>
      <c r="P145" s="147" t="n">
        <v>0</v>
      </c>
      <c r="Q145" s="147" t="n">
        <v>711</v>
      </c>
      <c r="R145" s="21" t="s">
        <v>45</v>
      </c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31"/>
      <c r="AD145" s="128"/>
      <c r="AE145" s="128"/>
      <c r="AF145" s="128"/>
      <c r="AG145" s="128"/>
      <c r="AH145" s="128"/>
      <c r="AI145" s="147"/>
      <c r="AJ145" s="128"/>
      <c r="AK145" s="128"/>
      <c r="AL145" s="147"/>
      <c r="AM145" s="131"/>
      <c r="AN145" s="128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16"/>
      <c r="CK145" s="16"/>
      <c r="CL145" s="16"/>
      <c r="CM145" s="16"/>
      <c r="CN145" s="16"/>
      <c r="CO145" s="16"/>
      <c r="CP145" s="16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52"/>
      <c r="DD145" s="52"/>
      <c r="DE145" s="128" t="n">
        <v>7</v>
      </c>
      <c r="DF145" s="128" t="n">
        <v>2</v>
      </c>
      <c r="DG145" s="131" t="s">
        <v>390</v>
      </c>
      <c r="DH145" s="131" t="s">
        <v>391</v>
      </c>
      <c r="DI145" s="131" t="s">
        <v>410</v>
      </c>
      <c r="DJ145" s="131" t="s">
        <v>384</v>
      </c>
      <c r="DK145" s="131" t="s">
        <v>399</v>
      </c>
      <c r="DL145" s="52"/>
      <c r="DM145" s="52"/>
      <c r="DN145" s="52"/>
      <c r="DO145" s="52"/>
      <c r="DP145" s="52"/>
      <c r="DQ145" s="52"/>
      <c r="DR145" s="52"/>
      <c r="DS145" s="52"/>
      <c r="DT145" s="52"/>
      <c r="DU145" s="52"/>
      <c r="DV145" s="52"/>
      <c r="DW145" s="52"/>
      <c r="DX145" s="52"/>
      <c r="DY145" s="52"/>
      <c r="DZ145" s="52"/>
      <c r="EA145" s="52"/>
      <c r="EB145" s="52"/>
      <c r="EC145" s="52"/>
      <c r="ED145" s="52"/>
      <c r="EE145" s="52"/>
      <c r="EF145" s="52"/>
      <c r="EG145" s="52"/>
      <c r="EH145" s="52"/>
      <c r="EI145" s="52"/>
      <c r="EJ145" s="52"/>
      <c r="EK145" s="52"/>
      <c r="EL145" s="52"/>
      <c r="EM145" s="52"/>
      <c r="EN145" s="52"/>
      <c r="EO145" s="52"/>
      <c r="EP145" s="52"/>
      <c r="EQ145" s="52"/>
      <c r="ER145" s="52"/>
      <c r="ES145" s="52"/>
      <c r="ET145" s="52"/>
      <c r="EU145" s="52"/>
      <c r="EV145" s="52"/>
      <c r="EW145" s="52"/>
      <c r="EX145" s="52"/>
      <c r="EY145" s="52"/>
      <c r="EZ145" s="52"/>
      <c r="FA145" s="52"/>
      <c r="FB145" s="128" t="n">
        <v>7</v>
      </c>
      <c r="FC145" s="128" t="n">
        <v>2</v>
      </c>
      <c r="FD145" s="131" t="s">
        <v>451</v>
      </c>
      <c r="FE145" s="131" t="s">
        <v>410</v>
      </c>
      <c r="FF145" s="131" t="s">
        <v>452</v>
      </c>
      <c r="FG145" s="131" t="s">
        <v>574</v>
      </c>
      <c r="FH145" s="131" t="s">
        <v>378</v>
      </c>
      <c r="FI145" s="52"/>
      <c r="FJ145" s="52"/>
      <c r="FK145" s="52"/>
      <c r="FL145" s="52"/>
      <c r="FM145" s="52"/>
      <c r="FN145" s="52"/>
      <c r="FO145" s="52"/>
      <c r="FP145" s="52"/>
      <c r="FQ145" s="52"/>
      <c r="FR145" s="52"/>
      <c r="FS145" s="52"/>
      <c r="FT145" s="52"/>
      <c r="FU145" s="52"/>
      <c r="FV145" s="52"/>
      <c r="FW145" s="52"/>
      <c r="FX145" s="52"/>
      <c r="FY145" s="52"/>
      <c r="FZ145" s="52"/>
      <c r="GA145" s="52"/>
      <c r="GB145" s="52"/>
      <c r="GC145" s="52"/>
      <c r="GD145" s="128"/>
      <c r="GE145" s="128"/>
      <c r="GF145" s="131"/>
      <c r="GG145" s="131"/>
      <c r="GH145" s="131"/>
      <c r="GI145" s="131"/>
      <c r="GJ145" s="52"/>
      <c r="GK145" s="128" t="n">
        <v>7</v>
      </c>
      <c r="GL145" s="128" t="n">
        <v>1</v>
      </c>
      <c r="GM145" s="131" t="s">
        <v>695</v>
      </c>
      <c r="GN145" s="131" t="s">
        <v>565</v>
      </c>
      <c r="GO145" s="131" t="s">
        <v>566</v>
      </c>
      <c r="GP145" s="131" t="s">
        <v>567</v>
      </c>
      <c r="GQ145" s="52"/>
      <c r="GR145" s="52"/>
      <c r="GS145" s="52"/>
      <c r="GT145" s="52"/>
      <c r="GU145" s="52"/>
      <c r="GV145" s="52"/>
      <c r="GW145" s="52"/>
      <c r="GX145" s="52"/>
      <c r="GY145" s="52"/>
      <c r="GZ145" s="52"/>
      <c r="HA145" s="52"/>
      <c r="HB145" s="52"/>
      <c r="HC145" s="52"/>
      <c r="HD145" s="52"/>
      <c r="HE145" s="52"/>
      <c r="HF145" s="52"/>
      <c r="HG145" s="52"/>
      <c r="HH145" s="52"/>
      <c r="HI145" s="52"/>
      <c r="HJ145" s="52"/>
      <c r="HK145" s="52"/>
      <c r="HL145" s="52"/>
      <c r="HM145" s="52"/>
      <c r="HN145" s="52"/>
      <c r="HO145" s="52"/>
      <c r="HP145" s="52"/>
      <c r="HQ145" s="52"/>
      <c r="HR145" s="52"/>
      <c r="HS145" s="52"/>
      <c r="HT145" s="39" t="n">
        <v>7</v>
      </c>
      <c r="HU145" s="128" t="n">
        <v>1</v>
      </c>
      <c r="HV145" s="131" t="s">
        <v>451</v>
      </c>
      <c r="HW145" s="131" t="s">
        <v>410</v>
      </c>
      <c r="HX145" s="131" t="s">
        <v>452</v>
      </c>
      <c r="HY145" s="131" t="s">
        <v>574</v>
      </c>
      <c r="HZ145" s="131" t="s">
        <v>378</v>
      </c>
    </row>
    <row r="146" customFormat="false" ht="12.8" hidden="false" customHeight="false" outlineLevel="0" collapsed="false">
      <c r="A146" s="16" t="s">
        <v>258</v>
      </c>
      <c r="B146" s="17" t="s">
        <v>81</v>
      </c>
      <c r="C146" s="16" t="s">
        <v>292</v>
      </c>
      <c r="D146" s="16" t="s">
        <v>294</v>
      </c>
      <c r="E146" s="156" t="s">
        <v>87</v>
      </c>
      <c r="F146" s="16" t="s">
        <v>137</v>
      </c>
      <c r="G146" s="157"/>
      <c r="H146" s="150"/>
      <c r="I146" s="150"/>
      <c r="J146" s="150"/>
      <c r="K146" s="39" t="n">
        <v>7000</v>
      </c>
      <c r="L146" s="18"/>
      <c r="M146" s="18" t="n">
        <f aca="false">IF(AD146,1,0)+IF(AK146,1,0)+AN146+AU146+BB146+BI146+BP146+BW146+CD146+CK146+CR146+CY146+DF146+DM146+DT146+EA146+EH146+EO146+EV146+FC146+FJ146+FQ146+FX146+GE146+GL146+GS146+GZ146+HG146+HN146+HU146</f>
        <v>0</v>
      </c>
      <c r="N146" s="131"/>
      <c r="O146" s="147"/>
      <c r="P146" s="147"/>
      <c r="Q146" s="147"/>
      <c r="R146" s="12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31"/>
      <c r="AD146" s="128"/>
      <c r="AE146" s="128"/>
      <c r="AF146" s="128"/>
      <c r="AG146" s="128"/>
      <c r="AH146" s="128"/>
      <c r="AI146" s="147"/>
      <c r="AJ146" s="128"/>
      <c r="AK146" s="128"/>
      <c r="AL146" s="147"/>
      <c r="AM146" s="131"/>
      <c r="AN146" s="128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16"/>
      <c r="CK146" s="16"/>
      <c r="CL146" s="16"/>
      <c r="CM146" s="16"/>
      <c r="CN146" s="16"/>
      <c r="CO146" s="16"/>
      <c r="CP146" s="16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2"/>
      <c r="DD146" s="52"/>
      <c r="DE146" s="52"/>
      <c r="DF146" s="52"/>
      <c r="DG146" s="52"/>
      <c r="DH146" s="52"/>
      <c r="DI146" s="52"/>
      <c r="DJ146" s="52"/>
      <c r="DK146" s="52"/>
      <c r="DL146" s="52"/>
      <c r="DM146" s="52"/>
      <c r="DN146" s="52"/>
      <c r="DO146" s="52"/>
      <c r="DP146" s="52"/>
      <c r="DQ146" s="52"/>
      <c r="DR146" s="52"/>
      <c r="DS146" s="52"/>
      <c r="DT146" s="52"/>
      <c r="DU146" s="52"/>
      <c r="DV146" s="52"/>
      <c r="DW146" s="52"/>
      <c r="DX146" s="52"/>
      <c r="DY146" s="52"/>
      <c r="DZ146" s="52"/>
      <c r="EA146" s="52"/>
      <c r="EB146" s="52"/>
      <c r="EC146" s="52"/>
      <c r="ED146" s="52"/>
      <c r="EE146" s="52"/>
      <c r="EF146" s="52"/>
      <c r="EG146" s="52"/>
      <c r="EH146" s="52"/>
      <c r="EI146" s="52"/>
      <c r="EJ146" s="52"/>
      <c r="EK146" s="52"/>
      <c r="EL146" s="52"/>
      <c r="EM146" s="52"/>
      <c r="EN146" s="52"/>
      <c r="EO146" s="52"/>
      <c r="EP146" s="52"/>
      <c r="EQ146" s="52"/>
      <c r="ER146" s="52"/>
      <c r="ES146" s="52"/>
      <c r="ET146" s="52"/>
      <c r="EU146" s="52"/>
      <c r="EV146" s="52"/>
      <c r="EW146" s="52"/>
      <c r="EX146" s="52"/>
      <c r="EY146" s="52"/>
      <c r="EZ146" s="52"/>
      <c r="FA146" s="52"/>
      <c r="FB146" s="52"/>
      <c r="FC146" s="52"/>
      <c r="FD146" s="52"/>
      <c r="FE146" s="52"/>
      <c r="FF146" s="52"/>
      <c r="FG146" s="52"/>
      <c r="FH146" s="52"/>
      <c r="FI146" s="52"/>
      <c r="FJ146" s="52"/>
      <c r="FK146" s="52"/>
      <c r="FL146" s="52"/>
      <c r="FM146" s="52"/>
      <c r="FN146" s="52"/>
      <c r="FO146" s="52"/>
      <c r="FP146" s="52"/>
      <c r="FQ146" s="52"/>
      <c r="FR146" s="52"/>
      <c r="FS146" s="52"/>
      <c r="FT146" s="52"/>
      <c r="FU146" s="52"/>
      <c r="FV146" s="52"/>
      <c r="FW146" s="52"/>
      <c r="FX146" s="52"/>
      <c r="FY146" s="52"/>
      <c r="FZ146" s="52"/>
      <c r="GA146" s="52"/>
      <c r="GB146" s="52"/>
      <c r="GC146" s="52"/>
      <c r="GD146" s="52"/>
      <c r="GE146" s="52"/>
      <c r="GF146" s="52"/>
      <c r="GG146" s="52"/>
      <c r="GH146" s="52"/>
      <c r="GI146" s="52"/>
      <c r="GJ146" s="52"/>
      <c r="GK146" s="52"/>
      <c r="GL146" s="52"/>
      <c r="GM146" s="52"/>
      <c r="GN146" s="52"/>
      <c r="GO146" s="52"/>
      <c r="GP146" s="52"/>
      <c r="GQ146" s="52"/>
      <c r="GR146" s="52"/>
      <c r="GS146" s="52"/>
      <c r="GT146" s="52"/>
      <c r="GU146" s="52"/>
      <c r="GV146" s="52"/>
      <c r="GW146" s="52"/>
      <c r="GX146" s="52"/>
      <c r="GY146" s="52"/>
      <c r="GZ146" s="52"/>
      <c r="HA146" s="52"/>
      <c r="HB146" s="52"/>
      <c r="HC146" s="52"/>
      <c r="HD146" s="52"/>
      <c r="HE146" s="52"/>
      <c r="HF146" s="52"/>
      <c r="HG146" s="52"/>
      <c r="HH146" s="52"/>
      <c r="HI146" s="52"/>
      <c r="HJ146" s="52"/>
      <c r="HK146" s="52"/>
      <c r="HL146" s="52"/>
      <c r="HM146" s="52"/>
      <c r="HN146" s="52"/>
      <c r="HO146" s="52"/>
      <c r="HP146" s="52"/>
      <c r="HQ146" s="52"/>
      <c r="HR146" s="52"/>
      <c r="HS146" s="52"/>
      <c r="HT146" s="131"/>
      <c r="HU146" s="128"/>
      <c r="HV146" s="131"/>
      <c r="HW146" s="131"/>
      <c r="HX146" s="131"/>
      <c r="HY146" s="131"/>
      <c r="HZ146" s="131"/>
    </row>
    <row r="147" customFormat="false" ht="12.8" hidden="false" customHeight="false" outlineLevel="0" collapsed="false">
      <c r="A147" s="16" t="s">
        <v>258</v>
      </c>
      <c r="B147" s="17" t="s">
        <v>81</v>
      </c>
      <c r="C147" s="16" t="s">
        <v>292</v>
      </c>
      <c r="D147" s="16" t="s">
        <v>295</v>
      </c>
      <c r="E147" s="156" t="s">
        <v>88</v>
      </c>
      <c r="F147" s="16" t="s">
        <v>180</v>
      </c>
      <c r="G147" s="157"/>
      <c r="H147" s="150"/>
      <c r="I147" s="150"/>
      <c r="J147" s="150"/>
      <c r="K147" s="39" t="n">
        <v>7000</v>
      </c>
      <c r="L147" s="18"/>
      <c r="M147" s="18" t="n">
        <f aca="false">IF(AD147,1,0)+IF(AK147,1,0)+AN147+AU147+BB147+BI147+BP147+BW147+CD147+CK147+CR147+CY147+DF147+DM147+DT147+EA147+EH147+EO147+EV147+FC147+FJ147+FQ147+FX147+GE147+GL147+GS147+GZ147+HG147+HN147+HU147</f>
        <v>0</v>
      </c>
      <c r="N147" s="131"/>
      <c r="O147" s="147"/>
      <c r="P147" s="147"/>
      <c r="Q147" s="147"/>
      <c r="R147" s="12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31"/>
      <c r="AD147" s="128"/>
      <c r="AE147" s="128"/>
      <c r="AF147" s="128"/>
      <c r="AG147" s="128"/>
      <c r="AH147" s="128"/>
      <c r="AI147" s="147"/>
      <c r="AJ147" s="128"/>
      <c r="AK147" s="128"/>
      <c r="AL147" s="147"/>
      <c r="AM147" s="131"/>
      <c r="AN147" s="128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16"/>
      <c r="CK147" s="16"/>
      <c r="CL147" s="16"/>
      <c r="CM147" s="16"/>
      <c r="CN147" s="16"/>
      <c r="CO147" s="16"/>
      <c r="CP147" s="16"/>
      <c r="CQ147" s="52"/>
      <c r="CR147" s="52"/>
      <c r="CS147" s="52"/>
      <c r="CT147" s="52"/>
      <c r="CU147" s="52"/>
      <c r="CV147" s="52"/>
      <c r="CW147" s="52"/>
      <c r="CX147" s="52"/>
      <c r="CY147" s="52"/>
      <c r="CZ147" s="52"/>
      <c r="DA147" s="52"/>
      <c r="DB147" s="52"/>
      <c r="DC147" s="52"/>
      <c r="DD147" s="52"/>
      <c r="DE147" s="52"/>
      <c r="DF147" s="52"/>
      <c r="DG147" s="52"/>
      <c r="DH147" s="52"/>
      <c r="DI147" s="52"/>
      <c r="DJ147" s="52"/>
      <c r="DK147" s="52"/>
      <c r="DL147" s="52"/>
      <c r="DM147" s="52"/>
      <c r="DN147" s="52"/>
      <c r="DO147" s="52"/>
      <c r="DP147" s="52"/>
      <c r="DQ147" s="52"/>
      <c r="DR147" s="52"/>
      <c r="DS147" s="52"/>
      <c r="DT147" s="52"/>
      <c r="DU147" s="52"/>
      <c r="DV147" s="52"/>
      <c r="DW147" s="52"/>
      <c r="DX147" s="52"/>
      <c r="DY147" s="52"/>
      <c r="DZ147" s="52"/>
      <c r="EA147" s="52"/>
      <c r="EB147" s="52"/>
      <c r="EC147" s="52"/>
      <c r="ED147" s="52"/>
      <c r="EE147" s="52"/>
      <c r="EF147" s="52"/>
      <c r="EG147" s="52"/>
      <c r="EH147" s="52"/>
      <c r="EI147" s="52"/>
      <c r="EJ147" s="52"/>
      <c r="EK147" s="52"/>
      <c r="EL147" s="52"/>
      <c r="EM147" s="52"/>
      <c r="EN147" s="52"/>
      <c r="EO147" s="52"/>
      <c r="EP147" s="52"/>
      <c r="EQ147" s="52"/>
      <c r="ER147" s="52"/>
      <c r="ES147" s="52"/>
      <c r="ET147" s="52"/>
      <c r="EU147" s="52"/>
      <c r="EV147" s="52"/>
      <c r="EW147" s="52"/>
      <c r="EX147" s="52"/>
      <c r="EY147" s="52"/>
      <c r="EZ147" s="52"/>
      <c r="FA147" s="52"/>
      <c r="FB147" s="52"/>
      <c r="FC147" s="52"/>
      <c r="FD147" s="52"/>
      <c r="FE147" s="52"/>
      <c r="FF147" s="52"/>
      <c r="FG147" s="52"/>
      <c r="FH147" s="52"/>
      <c r="FI147" s="52"/>
      <c r="FJ147" s="52"/>
      <c r="FK147" s="52"/>
      <c r="FL147" s="52"/>
      <c r="FM147" s="52"/>
      <c r="FN147" s="52"/>
      <c r="FO147" s="52"/>
      <c r="FP147" s="52"/>
      <c r="FQ147" s="52"/>
      <c r="FR147" s="52"/>
      <c r="FS147" s="52"/>
      <c r="FT147" s="52"/>
      <c r="FU147" s="52"/>
      <c r="FV147" s="52"/>
      <c r="FW147" s="52"/>
      <c r="FX147" s="52"/>
      <c r="FY147" s="52"/>
      <c r="FZ147" s="52"/>
      <c r="GA147" s="52"/>
      <c r="GB147" s="52"/>
      <c r="GC147" s="52"/>
      <c r="GD147" s="52"/>
      <c r="GE147" s="52"/>
      <c r="GF147" s="52"/>
      <c r="GG147" s="52"/>
      <c r="GH147" s="52"/>
      <c r="GI147" s="52"/>
      <c r="GJ147" s="52"/>
      <c r="GK147" s="52"/>
      <c r="GL147" s="52"/>
      <c r="GM147" s="52"/>
      <c r="GN147" s="52"/>
      <c r="GO147" s="52"/>
      <c r="GP147" s="52"/>
      <c r="GQ147" s="52"/>
      <c r="GR147" s="52"/>
      <c r="GS147" s="52"/>
      <c r="GT147" s="52"/>
      <c r="GU147" s="52"/>
      <c r="GV147" s="52"/>
      <c r="GW147" s="52"/>
      <c r="GX147" s="52"/>
      <c r="GY147" s="52"/>
      <c r="GZ147" s="52"/>
      <c r="HA147" s="52"/>
      <c r="HB147" s="52"/>
      <c r="HC147" s="52"/>
      <c r="HD147" s="52"/>
      <c r="HE147" s="52"/>
      <c r="HF147" s="52"/>
      <c r="HG147" s="52"/>
      <c r="HH147" s="52"/>
      <c r="HI147" s="52"/>
      <c r="HJ147" s="52"/>
      <c r="HK147" s="52"/>
      <c r="HL147" s="52"/>
      <c r="HM147" s="52"/>
      <c r="HN147" s="52"/>
      <c r="HO147" s="52"/>
      <c r="HP147" s="52"/>
      <c r="HQ147" s="52"/>
      <c r="HR147" s="52"/>
      <c r="HS147" s="52"/>
      <c r="HT147" s="131"/>
      <c r="HU147" s="128"/>
      <c r="HV147" s="131"/>
      <c r="HW147" s="131"/>
      <c r="HX147" s="131"/>
      <c r="HY147" s="131"/>
      <c r="HZ147" s="131"/>
    </row>
    <row r="148" customFormat="false" ht="12.8" hidden="false" customHeight="false" outlineLevel="0" collapsed="false">
      <c r="A148" s="16" t="s">
        <v>258</v>
      </c>
      <c r="B148" s="17" t="s">
        <v>93</v>
      </c>
      <c r="C148" s="130" t="s">
        <v>296</v>
      </c>
      <c r="D148" s="16" t="s">
        <v>297</v>
      </c>
      <c r="E148" s="156" t="s">
        <v>89</v>
      </c>
      <c r="F148" s="16" t="s">
        <v>165</v>
      </c>
      <c r="G148" s="154" t="s">
        <v>750</v>
      </c>
      <c r="H148" s="150"/>
      <c r="I148" s="150"/>
      <c r="J148" s="150"/>
      <c r="K148" s="39" t="n">
        <v>7000</v>
      </c>
      <c r="L148" s="18" t="n">
        <v>4</v>
      </c>
      <c r="M148" s="18" t="n">
        <f aca="false">IF(AD148,1,0)+IF(AK148,1,0)+AN148+AU148+BB148+BI148+BP148+BW148+CD148+CK148+CR148+CY148+DF148+DM148+DT148+EA148+EH148+EO148+EV148+FC148+FJ148+FQ148+FX148+GE148+GL148+GS148+GZ148+HG148+HN148+HU148</f>
        <v>0</v>
      </c>
      <c r="N148" s="131"/>
      <c r="O148" s="147" t="n">
        <v>6900</v>
      </c>
      <c r="P148" s="147" t="n">
        <v>1440</v>
      </c>
      <c r="Q148" s="147" t="n">
        <v>1377</v>
      </c>
      <c r="R148" s="21" t="s">
        <v>44</v>
      </c>
      <c r="S148" s="21" t="s">
        <v>44</v>
      </c>
      <c r="T148" s="128"/>
      <c r="U148" s="18"/>
      <c r="V148" s="18"/>
      <c r="W148" s="18"/>
      <c r="X148" s="18"/>
      <c r="Y148" s="18"/>
      <c r="Z148" s="18"/>
      <c r="AA148" s="18"/>
      <c r="AB148" s="18"/>
      <c r="AC148" s="23" t="s">
        <v>637</v>
      </c>
      <c r="AD148" s="128" t="n">
        <v>15</v>
      </c>
      <c r="AE148" s="128"/>
      <c r="AF148" s="128" t="n">
        <v>30</v>
      </c>
      <c r="AG148" s="128" t="n">
        <v>25</v>
      </c>
      <c r="AH148" s="128"/>
      <c r="AI148" s="147" t="s">
        <v>638</v>
      </c>
      <c r="AJ148" s="128"/>
      <c r="AK148" s="128"/>
      <c r="AL148" s="147"/>
      <c r="AM148" s="131"/>
      <c r="AN148" s="128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16"/>
      <c r="CK148" s="16"/>
      <c r="CL148" s="16"/>
      <c r="CM148" s="16"/>
      <c r="CN148" s="16"/>
      <c r="CO148" s="16"/>
      <c r="CP148" s="16"/>
      <c r="CQ148" s="128" t="n">
        <v>8</v>
      </c>
      <c r="CR148" s="128" t="n">
        <v>2</v>
      </c>
      <c r="CS148" s="131" t="s">
        <v>390</v>
      </c>
      <c r="CT148" s="131" t="s">
        <v>391</v>
      </c>
      <c r="CU148" s="131" t="s">
        <v>383</v>
      </c>
      <c r="CV148" s="131" t="s">
        <v>384</v>
      </c>
      <c r="CW148" s="131" t="s">
        <v>399</v>
      </c>
      <c r="CX148" s="52"/>
      <c r="CY148" s="52"/>
      <c r="CZ148" s="52"/>
      <c r="DA148" s="52"/>
      <c r="DB148" s="52"/>
      <c r="DC148" s="52"/>
      <c r="DD148" s="52"/>
      <c r="DE148" s="52"/>
      <c r="DF148" s="52"/>
      <c r="DG148" s="52"/>
      <c r="DH148" s="52"/>
      <c r="DI148" s="52"/>
      <c r="DJ148" s="52"/>
      <c r="DK148" s="52"/>
      <c r="DL148" s="52"/>
      <c r="DM148" s="52"/>
      <c r="DN148" s="52"/>
      <c r="DO148" s="52"/>
      <c r="DP148" s="52"/>
      <c r="DQ148" s="52"/>
      <c r="DR148" s="52"/>
      <c r="DS148" s="52"/>
      <c r="DT148" s="52"/>
      <c r="DU148" s="52"/>
      <c r="DV148" s="52"/>
      <c r="DW148" s="52"/>
      <c r="DX148" s="52"/>
      <c r="DY148" s="52"/>
      <c r="DZ148" s="52"/>
      <c r="EA148" s="52"/>
      <c r="EB148" s="52"/>
      <c r="EC148" s="52"/>
      <c r="ED148" s="52"/>
      <c r="EE148" s="52"/>
      <c r="EF148" s="52"/>
      <c r="EG148" s="52"/>
      <c r="EH148" s="52"/>
      <c r="EI148" s="52"/>
      <c r="EJ148" s="52"/>
      <c r="EK148" s="52"/>
      <c r="EL148" s="52"/>
      <c r="EM148" s="52"/>
      <c r="EN148" s="52"/>
      <c r="EO148" s="52"/>
      <c r="EP148" s="52"/>
      <c r="EQ148" s="52"/>
      <c r="ER148" s="52"/>
      <c r="ES148" s="52"/>
      <c r="ET148" s="52"/>
      <c r="EU148" s="52"/>
      <c r="EV148" s="52"/>
      <c r="EW148" s="52"/>
      <c r="EX148" s="52"/>
      <c r="EY148" s="52"/>
      <c r="EZ148" s="52"/>
      <c r="FA148" s="52"/>
      <c r="FB148" s="128" t="n">
        <v>8</v>
      </c>
      <c r="FC148" s="128" t="n">
        <v>2</v>
      </c>
      <c r="FD148" s="131" t="s">
        <v>451</v>
      </c>
      <c r="FE148" s="131" t="s">
        <v>410</v>
      </c>
      <c r="FF148" s="131" t="s">
        <v>573</v>
      </c>
      <c r="FG148" s="131" t="s">
        <v>574</v>
      </c>
      <c r="FH148" s="131" t="s">
        <v>378</v>
      </c>
      <c r="FI148" s="52"/>
      <c r="FJ148" s="52"/>
      <c r="FK148" s="52"/>
      <c r="FL148" s="52"/>
      <c r="FM148" s="52"/>
      <c r="FN148" s="52"/>
      <c r="FO148" s="52"/>
      <c r="FP148" s="52"/>
      <c r="FQ148" s="52"/>
      <c r="FR148" s="52"/>
      <c r="FS148" s="52"/>
      <c r="FT148" s="52"/>
      <c r="FU148" s="52"/>
      <c r="FV148" s="52"/>
      <c r="FW148" s="52"/>
      <c r="FX148" s="52"/>
      <c r="FY148" s="52"/>
      <c r="FZ148" s="52"/>
      <c r="GA148" s="52"/>
      <c r="GB148" s="52"/>
      <c r="GC148" s="52"/>
      <c r="GD148" s="52"/>
      <c r="GE148" s="52"/>
      <c r="GF148" s="52"/>
      <c r="GG148" s="52"/>
      <c r="GH148" s="52"/>
      <c r="GI148" s="52"/>
      <c r="GJ148" s="52"/>
      <c r="GK148" s="52"/>
      <c r="GL148" s="52"/>
      <c r="GM148" s="52"/>
      <c r="GN148" s="52"/>
      <c r="GO148" s="52"/>
      <c r="GP148" s="52"/>
      <c r="GQ148" s="52"/>
      <c r="GR148" s="52"/>
      <c r="GS148" s="52"/>
      <c r="GT148" s="52"/>
      <c r="GU148" s="52"/>
      <c r="GV148" s="52"/>
      <c r="GW148" s="52"/>
      <c r="GX148" s="52"/>
      <c r="GY148" s="52"/>
      <c r="GZ148" s="52"/>
      <c r="HA148" s="52"/>
      <c r="HB148" s="52"/>
      <c r="HC148" s="52"/>
      <c r="HD148" s="52"/>
      <c r="HE148" s="52"/>
      <c r="HF148" s="52"/>
      <c r="HG148" s="52"/>
      <c r="HH148" s="52"/>
      <c r="HI148" s="52"/>
      <c r="HJ148" s="52"/>
      <c r="HK148" s="52"/>
      <c r="HL148" s="52"/>
      <c r="HM148" s="39" t="n">
        <v>8</v>
      </c>
      <c r="HN148" s="128" t="n">
        <v>1</v>
      </c>
      <c r="HO148" s="131" t="s">
        <v>451</v>
      </c>
      <c r="HP148" s="131" t="s">
        <v>410</v>
      </c>
      <c r="HQ148" s="131" t="s">
        <v>573</v>
      </c>
      <c r="HR148" s="131" t="s">
        <v>574</v>
      </c>
      <c r="HS148" s="131" t="s">
        <v>378</v>
      </c>
      <c r="HT148" s="131"/>
      <c r="HU148" s="128"/>
      <c r="HV148" s="131"/>
      <c r="HW148" s="131"/>
      <c r="HX148" s="131"/>
      <c r="HY148" s="131"/>
      <c r="HZ148" s="131"/>
    </row>
    <row r="149" customFormat="false" ht="12.8" hidden="false" customHeight="false" outlineLevel="0" collapsed="false">
      <c r="A149" s="16" t="s">
        <v>258</v>
      </c>
      <c r="B149" s="17" t="s">
        <v>93</v>
      </c>
      <c r="C149" s="130" t="s">
        <v>296</v>
      </c>
      <c r="D149" s="16" t="s">
        <v>297</v>
      </c>
      <c r="E149" s="156" t="s">
        <v>89</v>
      </c>
      <c r="F149" s="16" t="s">
        <v>165</v>
      </c>
      <c r="G149" s="154" t="s">
        <v>751</v>
      </c>
      <c r="H149" s="148" t="s">
        <v>92</v>
      </c>
      <c r="I149" s="150"/>
      <c r="J149" s="150"/>
      <c r="K149" s="39" t="n">
        <v>7000</v>
      </c>
      <c r="L149" s="18" t="n">
        <v>7</v>
      </c>
      <c r="M149" s="18" t="n">
        <f aca="false">IF(AD149,1,0)+IF(AK149,1,0)+AN149+AU149+BB149+BI149+BP149+BW149+CD149+CK149+CR149+CY149+DF149+DM149+DT149+EA149+EH149+EO149+EV149+FC149+FJ149+FQ149+FX149+GE149+GL149+GS149+GZ149+HG149+HN149+HU149</f>
        <v>0</v>
      </c>
      <c r="N149" s="131"/>
      <c r="O149" s="147" t="n">
        <v>4688</v>
      </c>
      <c r="P149" s="147" t="n">
        <v>0</v>
      </c>
      <c r="Q149" s="147" t="n">
        <v>1922</v>
      </c>
      <c r="R149" s="21" t="s">
        <v>46</v>
      </c>
      <c r="S149" s="18"/>
      <c r="T149" s="18"/>
      <c r="U149" s="18"/>
      <c r="V149" s="18"/>
      <c r="W149" s="18"/>
      <c r="X149" s="18"/>
      <c r="Y149" s="18"/>
      <c r="Z149" s="18"/>
      <c r="AA149" s="21" t="s">
        <v>541</v>
      </c>
      <c r="AB149" s="18"/>
      <c r="AC149" s="23" t="s">
        <v>618</v>
      </c>
      <c r="AD149" s="128" t="n">
        <v>15</v>
      </c>
      <c r="AE149" s="128"/>
      <c r="AF149" s="128" t="n">
        <v>60</v>
      </c>
      <c r="AG149" s="128" t="n">
        <v>15</v>
      </c>
      <c r="AH149" s="128" t="n">
        <v>10</v>
      </c>
      <c r="AI149" s="147" t="s">
        <v>619</v>
      </c>
      <c r="AJ149" s="128"/>
      <c r="AK149" s="128"/>
      <c r="AL149" s="147"/>
      <c r="AM149" s="131"/>
      <c r="AN149" s="128"/>
      <c r="AO149" s="131"/>
      <c r="AP149" s="131"/>
      <c r="AQ149" s="131"/>
      <c r="AR149" s="131"/>
      <c r="AS149" s="131"/>
      <c r="AT149" s="128" t="n">
        <v>7</v>
      </c>
      <c r="AU149" s="128" t="n">
        <v>1</v>
      </c>
      <c r="AV149" s="131" t="s">
        <v>410</v>
      </c>
      <c r="AW149" s="131" t="s">
        <v>453</v>
      </c>
      <c r="AX149" s="131" t="s">
        <v>489</v>
      </c>
      <c r="AY149" s="131" t="s">
        <v>468</v>
      </c>
      <c r="AZ149" s="131" t="s">
        <v>380</v>
      </c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16"/>
      <c r="CK149" s="16"/>
      <c r="CL149" s="16"/>
      <c r="CM149" s="16"/>
      <c r="CN149" s="16"/>
      <c r="CO149" s="16"/>
      <c r="CP149" s="16"/>
      <c r="CQ149" s="52"/>
      <c r="CR149" s="52"/>
      <c r="CS149" s="52"/>
      <c r="CT149" s="52"/>
      <c r="CU149" s="52"/>
      <c r="CV149" s="52"/>
      <c r="CW149" s="52"/>
      <c r="CX149" s="52"/>
      <c r="CY149" s="52"/>
      <c r="CZ149" s="52"/>
      <c r="DA149" s="52"/>
      <c r="DB149" s="52"/>
      <c r="DC149" s="52"/>
      <c r="DD149" s="52"/>
      <c r="DE149" s="128" t="n">
        <v>7</v>
      </c>
      <c r="DF149" s="128" t="n">
        <v>2</v>
      </c>
      <c r="DG149" s="131" t="s">
        <v>390</v>
      </c>
      <c r="DH149" s="131" t="s">
        <v>391</v>
      </c>
      <c r="DI149" s="131" t="s">
        <v>410</v>
      </c>
      <c r="DJ149" s="131" t="s">
        <v>384</v>
      </c>
      <c r="DK149" s="131" t="s">
        <v>399</v>
      </c>
      <c r="DL149" s="52"/>
      <c r="DM149" s="52"/>
      <c r="DN149" s="52"/>
      <c r="DO149" s="52"/>
      <c r="DP149" s="52"/>
      <c r="DQ149" s="52"/>
      <c r="DR149" s="52"/>
      <c r="DS149" s="52"/>
      <c r="DT149" s="52"/>
      <c r="DU149" s="52"/>
      <c r="DV149" s="52"/>
      <c r="DW149" s="52"/>
      <c r="DX149" s="52"/>
      <c r="DY149" s="52"/>
      <c r="DZ149" s="52"/>
      <c r="EA149" s="52"/>
      <c r="EB149" s="52"/>
      <c r="EC149" s="52"/>
      <c r="ED149" s="52"/>
      <c r="EE149" s="52"/>
      <c r="EF149" s="52"/>
      <c r="EG149" s="52"/>
      <c r="EH149" s="52"/>
      <c r="EI149" s="52"/>
      <c r="EJ149" s="52"/>
      <c r="EK149" s="52"/>
      <c r="EL149" s="52"/>
      <c r="EM149" s="52"/>
      <c r="EN149" s="128" t="n">
        <v>7</v>
      </c>
      <c r="EO149" s="128" t="n">
        <v>2</v>
      </c>
      <c r="EP149" s="131" t="s">
        <v>410</v>
      </c>
      <c r="EQ149" s="131" t="s">
        <v>453</v>
      </c>
      <c r="ER149" s="131" t="s">
        <v>489</v>
      </c>
      <c r="ES149" s="131" t="s">
        <v>468</v>
      </c>
      <c r="ET149" s="131" t="s">
        <v>380</v>
      </c>
      <c r="EU149" s="52"/>
      <c r="EV149" s="52"/>
      <c r="EW149" s="52"/>
      <c r="EX149" s="52"/>
      <c r="EY149" s="52"/>
      <c r="EZ149" s="52"/>
      <c r="FA149" s="52"/>
      <c r="FB149" s="128" t="n">
        <v>7</v>
      </c>
      <c r="FC149" s="128" t="n">
        <v>2</v>
      </c>
      <c r="FD149" s="131" t="s">
        <v>451</v>
      </c>
      <c r="FE149" s="131" t="s">
        <v>410</v>
      </c>
      <c r="FF149" s="131" t="s">
        <v>452</v>
      </c>
      <c r="FG149" s="131" t="s">
        <v>574</v>
      </c>
      <c r="FH149" s="131" t="s">
        <v>378</v>
      </c>
      <c r="FI149" s="52"/>
      <c r="FJ149" s="52"/>
      <c r="FK149" s="52"/>
      <c r="FL149" s="52"/>
      <c r="FM149" s="52"/>
      <c r="FN149" s="52"/>
      <c r="FO149" s="52"/>
      <c r="FP149" s="52"/>
      <c r="FQ149" s="52"/>
      <c r="FR149" s="52"/>
      <c r="FS149" s="52"/>
      <c r="FT149" s="52"/>
      <c r="FU149" s="52"/>
      <c r="FV149" s="52"/>
      <c r="FW149" s="52"/>
      <c r="FX149" s="52"/>
      <c r="FY149" s="52"/>
      <c r="FZ149" s="52"/>
      <c r="GA149" s="52"/>
      <c r="GB149" s="52"/>
      <c r="GC149" s="52"/>
      <c r="GD149" s="52"/>
      <c r="GE149" s="52"/>
      <c r="GF149" s="52"/>
      <c r="GG149" s="52"/>
      <c r="GH149" s="52"/>
      <c r="GI149" s="52"/>
      <c r="GJ149" s="52"/>
      <c r="GK149" s="128" t="n">
        <v>6</v>
      </c>
      <c r="GL149" s="128" t="n">
        <v>1</v>
      </c>
      <c r="GM149" s="131" t="s">
        <v>695</v>
      </c>
      <c r="GN149" s="131" t="s">
        <v>697</v>
      </c>
      <c r="GO149" s="131" t="s">
        <v>566</v>
      </c>
      <c r="GP149" s="131" t="s">
        <v>567</v>
      </c>
      <c r="GQ149" s="52"/>
      <c r="GR149" s="52"/>
      <c r="GS149" s="52"/>
      <c r="GT149" s="52"/>
      <c r="GU149" s="52"/>
      <c r="GV149" s="52"/>
      <c r="GW149" s="52"/>
      <c r="GX149" s="52"/>
      <c r="GY149" s="52"/>
      <c r="GZ149" s="52"/>
      <c r="HA149" s="52"/>
      <c r="HB149" s="52"/>
      <c r="HC149" s="52"/>
      <c r="HD149" s="52"/>
      <c r="HE149" s="52"/>
      <c r="HF149" s="52"/>
      <c r="HG149" s="52"/>
      <c r="HH149" s="52"/>
      <c r="HI149" s="52"/>
      <c r="HJ149" s="52"/>
      <c r="HK149" s="52"/>
      <c r="HL149" s="52"/>
      <c r="HM149" s="52"/>
      <c r="HN149" s="52"/>
      <c r="HO149" s="52"/>
      <c r="HP149" s="52"/>
      <c r="HQ149" s="52"/>
      <c r="HR149" s="52"/>
      <c r="HS149" s="52"/>
      <c r="HT149" s="39" t="n">
        <v>7</v>
      </c>
      <c r="HU149" s="128" t="n">
        <v>1</v>
      </c>
      <c r="HV149" s="131" t="s">
        <v>451</v>
      </c>
      <c r="HW149" s="131" t="s">
        <v>410</v>
      </c>
      <c r="HX149" s="131" t="s">
        <v>452</v>
      </c>
      <c r="HY149" s="131" t="s">
        <v>574</v>
      </c>
      <c r="HZ149" s="131" t="s">
        <v>378</v>
      </c>
    </row>
    <row r="150" customFormat="false" ht="12.8" hidden="false" customHeight="false" outlineLevel="0" collapsed="false">
      <c r="A150" s="16" t="s">
        <v>258</v>
      </c>
      <c r="B150" s="17" t="s">
        <v>93</v>
      </c>
      <c r="C150" s="156" t="s">
        <v>298</v>
      </c>
      <c r="D150" s="16" t="s">
        <v>299</v>
      </c>
      <c r="E150" s="156" t="s">
        <v>87</v>
      </c>
      <c r="F150" s="16" t="s">
        <v>300</v>
      </c>
      <c r="G150" s="154" t="s">
        <v>752</v>
      </c>
      <c r="H150" s="148" t="s">
        <v>92</v>
      </c>
      <c r="I150" s="150"/>
      <c r="J150" s="150"/>
      <c r="K150" s="39" t="n">
        <v>7000</v>
      </c>
      <c r="L150" s="18" t="n">
        <v>7</v>
      </c>
      <c r="M150" s="18" t="n">
        <f aca="false">IF(AD150,1,0)+IF(AK150,1,0)+AN150+AU150+BB150+BI150+BP150+BW150+CD150+CK150+CR150+CY150+DF150+DM150+DT150+EA150+EH150+EO150+EV150+FC150+FJ150+FQ150+FX150+GE150+GL150+GS150+GZ150+HG150+HN150+HU150</f>
        <v>0</v>
      </c>
      <c r="N150" s="131"/>
      <c r="O150" s="147"/>
      <c r="P150" s="147"/>
      <c r="Q150" s="147"/>
      <c r="R150" s="12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31"/>
      <c r="AD150" s="128"/>
      <c r="AE150" s="128"/>
      <c r="AF150" s="128"/>
      <c r="AG150" s="128"/>
      <c r="AH150" s="128"/>
      <c r="AI150" s="147"/>
      <c r="AJ150" s="128"/>
      <c r="AK150" s="128"/>
      <c r="AL150" s="147"/>
      <c r="AM150" s="131"/>
      <c r="AN150" s="128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16"/>
      <c r="CK150" s="16"/>
      <c r="CL150" s="16"/>
      <c r="CM150" s="16"/>
      <c r="CN150" s="16"/>
      <c r="CO150" s="16"/>
      <c r="CP150" s="16"/>
      <c r="CQ150" s="52"/>
      <c r="CR150" s="52"/>
      <c r="CS150" s="52"/>
      <c r="CT150" s="52"/>
      <c r="CU150" s="52"/>
      <c r="CV150" s="52"/>
      <c r="CW150" s="52"/>
      <c r="CX150" s="52"/>
      <c r="CY150" s="52"/>
      <c r="CZ150" s="52"/>
      <c r="DA150" s="52"/>
      <c r="DB150" s="52"/>
      <c r="DC150" s="52"/>
      <c r="DD150" s="52"/>
      <c r="DE150" s="52"/>
      <c r="DF150" s="52"/>
      <c r="DG150" s="52"/>
      <c r="DH150" s="52"/>
      <c r="DI150" s="52"/>
      <c r="DJ150" s="52"/>
      <c r="DK150" s="52"/>
      <c r="DL150" s="52"/>
      <c r="DM150" s="52"/>
      <c r="DN150" s="52"/>
      <c r="DO150" s="52"/>
      <c r="DP150" s="52"/>
      <c r="DQ150" s="52"/>
      <c r="DR150" s="52"/>
      <c r="DS150" s="52"/>
      <c r="DT150" s="52"/>
      <c r="DU150" s="52"/>
      <c r="DV150" s="52"/>
      <c r="DW150" s="52"/>
      <c r="DX150" s="52"/>
      <c r="DY150" s="52"/>
      <c r="DZ150" s="52"/>
      <c r="EA150" s="52"/>
      <c r="EB150" s="52"/>
      <c r="EC150" s="52"/>
      <c r="ED150" s="52"/>
      <c r="EE150" s="52"/>
      <c r="EF150" s="52"/>
      <c r="EG150" s="52"/>
      <c r="EH150" s="52"/>
      <c r="EI150" s="52"/>
      <c r="EJ150" s="52"/>
      <c r="EK150" s="52"/>
      <c r="EL150" s="52"/>
      <c r="EM150" s="52"/>
      <c r="EN150" s="52"/>
      <c r="EO150" s="52"/>
      <c r="EP150" s="52"/>
      <c r="EQ150" s="52"/>
      <c r="ER150" s="52"/>
      <c r="ES150" s="52"/>
      <c r="ET150" s="52"/>
      <c r="EU150" s="52"/>
      <c r="EV150" s="52"/>
      <c r="EW150" s="52"/>
      <c r="EX150" s="52"/>
      <c r="EY150" s="52"/>
      <c r="EZ150" s="52"/>
      <c r="FA150" s="52"/>
      <c r="FB150" s="52"/>
      <c r="FC150" s="52"/>
      <c r="FD150" s="52"/>
      <c r="FE150" s="52"/>
      <c r="FF150" s="52"/>
      <c r="FG150" s="52"/>
      <c r="FH150" s="52"/>
      <c r="FI150" s="52"/>
      <c r="FJ150" s="52"/>
      <c r="FK150" s="52"/>
      <c r="FL150" s="52"/>
      <c r="FM150" s="52"/>
      <c r="FN150" s="52"/>
      <c r="FO150" s="52"/>
      <c r="FP150" s="52"/>
      <c r="FQ150" s="52"/>
      <c r="FR150" s="52"/>
      <c r="FS150" s="52"/>
      <c r="FT150" s="52"/>
      <c r="FU150" s="52"/>
      <c r="FV150" s="52"/>
      <c r="FW150" s="52"/>
      <c r="FX150" s="52"/>
      <c r="FY150" s="52"/>
      <c r="FZ150" s="52"/>
      <c r="GA150" s="52"/>
      <c r="GB150" s="52"/>
      <c r="GC150" s="52"/>
      <c r="GD150" s="52"/>
      <c r="GE150" s="52"/>
      <c r="GF150" s="52"/>
      <c r="GG150" s="52"/>
      <c r="GH150" s="52"/>
      <c r="GI150" s="52"/>
      <c r="GJ150" s="52"/>
      <c r="GK150" s="52"/>
      <c r="GL150" s="52"/>
      <c r="GM150" s="52"/>
      <c r="GN150" s="52"/>
      <c r="GO150" s="52"/>
      <c r="GP150" s="52"/>
      <c r="GQ150" s="52"/>
      <c r="GR150" s="52"/>
      <c r="GS150" s="52"/>
      <c r="GT150" s="52"/>
      <c r="GU150" s="52"/>
      <c r="GV150" s="52"/>
      <c r="GW150" s="52"/>
      <c r="GX150" s="52"/>
      <c r="GY150" s="52"/>
      <c r="GZ150" s="52"/>
      <c r="HA150" s="52"/>
      <c r="HB150" s="52"/>
      <c r="HC150" s="52"/>
      <c r="HD150" s="52"/>
      <c r="HE150" s="52"/>
      <c r="HF150" s="52"/>
      <c r="HG150" s="52"/>
      <c r="HH150" s="52"/>
      <c r="HI150" s="52"/>
      <c r="HJ150" s="52"/>
      <c r="HK150" s="52"/>
      <c r="HL150" s="52"/>
      <c r="HM150" s="52"/>
      <c r="HN150" s="52"/>
      <c r="HO150" s="52"/>
      <c r="HP150" s="52"/>
      <c r="HQ150" s="52"/>
      <c r="HR150" s="52"/>
      <c r="HS150" s="52"/>
      <c r="HT150" s="131"/>
      <c r="HU150" s="128"/>
      <c r="HV150" s="131"/>
      <c r="HW150" s="131"/>
      <c r="HX150" s="131"/>
      <c r="HY150" s="131"/>
      <c r="HZ150" s="131"/>
    </row>
    <row r="151" customFormat="false" ht="12.8" hidden="false" customHeight="false" outlineLevel="0" collapsed="false">
      <c r="A151" s="16" t="s">
        <v>258</v>
      </c>
      <c r="B151" s="17" t="s">
        <v>93</v>
      </c>
      <c r="C151" s="156" t="s">
        <v>298</v>
      </c>
      <c r="D151" s="16" t="s">
        <v>299</v>
      </c>
      <c r="E151" s="156" t="s">
        <v>87</v>
      </c>
      <c r="F151" s="16" t="s">
        <v>300</v>
      </c>
      <c r="G151" s="154" t="s">
        <v>748</v>
      </c>
      <c r="H151" s="150"/>
      <c r="I151" s="150"/>
      <c r="J151" s="150"/>
      <c r="K151" s="39" t="n">
        <v>7000</v>
      </c>
      <c r="L151" s="18" t="n">
        <v>4</v>
      </c>
      <c r="M151" s="18" t="n">
        <f aca="false">IF(AD151,1,0)+IF(AK151,1,0)+AN151+AU151+BB151+BI151+BP151+BW151+CD151+CK151+CR151+CY151+DF151+DM151+DT151+EA151+EH151+EO151+EV151+FC151+FJ151+FQ151+FX151+GE151+GL151+GS151+GZ151+HG151+HN151+HU151</f>
        <v>0</v>
      </c>
      <c r="N151" s="131"/>
      <c r="O151" s="147"/>
      <c r="P151" s="147"/>
      <c r="Q151" s="147"/>
      <c r="R151" s="12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31"/>
      <c r="AD151" s="128"/>
      <c r="AE151" s="128"/>
      <c r="AF151" s="128"/>
      <c r="AG151" s="128"/>
      <c r="AH151" s="128"/>
      <c r="AI151" s="147"/>
      <c r="AJ151" s="128"/>
      <c r="AK151" s="128"/>
      <c r="AL151" s="147"/>
      <c r="AM151" s="131"/>
      <c r="AN151" s="128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  <c r="AZ151" s="131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16"/>
      <c r="CK151" s="16"/>
      <c r="CL151" s="16"/>
      <c r="CM151" s="16"/>
      <c r="CN151" s="16"/>
      <c r="CO151" s="16"/>
      <c r="CP151" s="16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  <c r="DA151" s="52"/>
      <c r="DB151" s="52"/>
      <c r="DC151" s="52"/>
      <c r="DD151" s="52"/>
      <c r="DE151" s="52"/>
      <c r="DF151" s="52"/>
      <c r="DG151" s="52"/>
      <c r="DH151" s="52"/>
      <c r="DI151" s="52"/>
      <c r="DJ151" s="52"/>
      <c r="DK151" s="52"/>
      <c r="DL151" s="52"/>
      <c r="DM151" s="52"/>
      <c r="DN151" s="52"/>
      <c r="DO151" s="52"/>
      <c r="DP151" s="52"/>
      <c r="DQ151" s="52"/>
      <c r="DR151" s="52"/>
      <c r="DS151" s="52"/>
      <c r="DT151" s="52"/>
      <c r="DU151" s="52"/>
      <c r="DV151" s="52"/>
      <c r="DW151" s="52"/>
      <c r="DX151" s="52"/>
      <c r="DY151" s="52"/>
      <c r="DZ151" s="52"/>
      <c r="EA151" s="52"/>
      <c r="EB151" s="52"/>
      <c r="EC151" s="52"/>
      <c r="ED151" s="52"/>
      <c r="EE151" s="52"/>
      <c r="EF151" s="52"/>
      <c r="EG151" s="52"/>
      <c r="EH151" s="52"/>
      <c r="EI151" s="52"/>
      <c r="EJ151" s="52"/>
      <c r="EK151" s="52"/>
      <c r="EL151" s="52"/>
      <c r="EM151" s="52"/>
      <c r="EN151" s="52"/>
      <c r="EO151" s="52"/>
      <c r="EP151" s="52"/>
      <c r="EQ151" s="52"/>
      <c r="ER151" s="52"/>
      <c r="ES151" s="52"/>
      <c r="ET151" s="52"/>
      <c r="EU151" s="52"/>
      <c r="EV151" s="52"/>
      <c r="EW151" s="52"/>
      <c r="EX151" s="52"/>
      <c r="EY151" s="52"/>
      <c r="EZ151" s="52"/>
      <c r="FA151" s="52"/>
      <c r="FB151" s="52"/>
      <c r="FC151" s="52"/>
      <c r="FD151" s="52"/>
      <c r="FE151" s="52"/>
      <c r="FF151" s="52"/>
      <c r="FG151" s="52"/>
      <c r="FH151" s="52"/>
      <c r="FI151" s="52"/>
      <c r="FJ151" s="52"/>
      <c r="FK151" s="52"/>
      <c r="FL151" s="52"/>
      <c r="FM151" s="52"/>
      <c r="FN151" s="52"/>
      <c r="FO151" s="52"/>
      <c r="FP151" s="52"/>
      <c r="FQ151" s="52"/>
      <c r="FR151" s="52"/>
      <c r="FS151" s="52"/>
      <c r="FT151" s="52"/>
      <c r="FU151" s="52"/>
      <c r="FV151" s="52"/>
      <c r="FW151" s="52"/>
      <c r="FX151" s="52"/>
      <c r="FY151" s="52"/>
      <c r="FZ151" s="52"/>
      <c r="GA151" s="52"/>
      <c r="GB151" s="52"/>
      <c r="GC151" s="52"/>
      <c r="GD151" s="52"/>
      <c r="GE151" s="52"/>
      <c r="GF151" s="52"/>
      <c r="GG151" s="52"/>
      <c r="GH151" s="52"/>
      <c r="GI151" s="52"/>
      <c r="GJ151" s="52"/>
      <c r="GK151" s="52"/>
      <c r="GL151" s="52"/>
      <c r="GM151" s="52"/>
      <c r="GN151" s="52"/>
      <c r="GO151" s="52"/>
      <c r="GP151" s="52"/>
      <c r="GQ151" s="52"/>
      <c r="GR151" s="52"/>
      <c r="GS151" s="52"/>
      <c r="GT151" s="52"/>
      <c r="GU151" s="52"/>
      <c r="GV151" s="52"/>
      <c r="GW151" s="52"/>
      <c r="GX151" s="52"/>
      <c r="GY151" s="52"/>
      <c r="GZ151" s="52"/>
      <c r="HA151" s="52"/>
      <c r="HB151" s="52"/>
      <c r="HC151" s="52"/>
      <c r="HD151" s="52"/>
      <c r="HE151" s="52"/>
      <c r="HF151" s="52"/>
      <c r="HG151" s="52"/>
      <c r="HH151" s="52"/>
      <c r="HI151" s="52"/>
      <c r="HJ151" s="52"/>
      <c r="HK151" s="52"/>
      <c r="HL151" s="52"/>
      <c r="HM151" s="52"/>
      <c r="HN151" s="52"/>
      <c r="HO151" s="52"/>
      <c r="HP151" s="52"/>
      <c r="HQ151" s="52"/>
      <c r="HR151" s="52"/>
      <c r="HS151" s="52"/>
      <c r="HT151" s="131"/>
      <c r="HU151" s="128"/>
      <c r="HV151" s="131"/>
      <c r="HW151" s="131"/>
      <c r="HX151" s="131"/>
      <c r="HY151" s="131"/>
      <c r="HZ151" s="131"/>
    </row>
    <row r="152" customFormat="false" ht="12.8" hidden="false" customHeight="false" outlineLevel="0" collapsed="false">
      <c r="A152" s="16" t="s">
        <v>258</v>
      </c>
      <c r="B152" s="17" t="s">
        <v>93</v>
      </c>
      <c r="C152" s="156" t="s">
        <v>298</v>
      </c>
      <c r="D152" s="16" t="s">
        <v>263</v>
      </c>
      <c r="E152" s="156" t="s">
        <v>88</v>
      </c>
      <c r="F152" s="16" t="s">
        <v>237</v>
      </c>
      <c r="G152" s="154" t="s">
        <v>750</v>
      </c>
      <c r="H152" s="150"/>
      <c r="I152" s="150"/>
      <c r="J152" s="150"/>
      <c r="K152" s="39" t="n">
        <v>7000</v>
      </c>
      <c r="L152" s="18" t="n">
        <v>5</v>
      </c>
      <c r="M152" s="18" t="n">
        <f aca="false">IF(AD152,1,0)+IF(AK152,1,0)+AN152+AU152+BB152+BI152+BP152+BW152+CD152+CK152+CR152+CY152+DF152+DM152+DT152+EA152+EH152+EO152+EV152+FC152+FJ152+FQ152+FX152+GE152+GL152+GS152+GZ152+HG152+HN152+HU152</f>
        <v>0</v>
      </c>
      <c r="N152" s="131"/>
      <c r="O152" s="147" t="n">
        <v>4650</v>
      </c>
      <c r="P152" s="147" t="n">
        <v>1440</v>
      </c>
      <c r="Q152" s="147" t="n">
        <v>724</v>
      </c>
      <c r="R152" s="12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31"/>
      <c r="AD152" s="128"/>
      <c r="AE152" s="128"/>
      <c r="AF152" s="128"/>
      <c r="AG152" s="128"/>
      <c r="AH152" s="128"/>
      <c r="AI152" s="147"/>
      <c r="AJ152" s="128"/>
      <c r="AK152" s="128"/>
      <c r="AL152" s="147"/>
      <c r="AM152" s="131"/>
      <c r="AN152" s="128"/>
      <c r="AO152" s="131"/>
      <c r="AP152" s="131"/>
      <c r="AQ152" s="131"/>
      <c r="AR152" s="131"/>
      <c r="AS152" s="131"/>
      <c r="AT152" s="131"/>
      <c r="AU152" s="131"/>
      <c r="AV152" s="131"/>
      <c r="AW152" s="131"/>
      <c r="AX152" s="131"/>
      <c r="AY152" s="131"/>
      <c r="AZ152" s="131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16"/>
      <c r="CK152" s="16"/>
      <c r="CL152" s="16"/>
      <c r="CM152" s="16"/>
      <c r="CN152" s="16"/>
      <c r="CO152" s="16"/>
      <c r="CP152" s="16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  <c r="DL152" s="52"/>
      <c r="DM152" s="52"/>
      <c r="DN152" s="52"/>
      <c r="DO152" s="52"/>
      <c r="DP152" s="52"/>
      <c r="DQ152" s="52"/>
      <c r="DR152" s="52"/>
      <c r="DS152" s="52"/>
      <c r="DT152" s="52"/>
      <c r="DU152" s="52"/>
      <c r="DV152" s="52"/>
      <c r="DW152" s="52"/>
      <c r="DX152" s="52"/>
      <c r="DY152" s="52"/>
      <c r="DZ152" s="52"/>
      <c r="EA152" s="52"/>
      <c r="EB152" s="52"/>
      <c r="EC152" s="52"/>
      <c r="ED152" s="52"/>
      <c r="EE152" s="52"/>
      <c r="EF152" s="52"/>
      <c r="EG152" s="52"/>
      <c r="EH152" s="52"/>
      <c r="EI152" s="52"/>
      <c r="EJ152" s="52"/>
      <c r="EK152" s="52"/>
      <c r="EL152" s="52"/>
      <c r="EM152" s="52"/>
      <c r="EN152" s="52"/>
      <c r="EO152" s="52"/>
      <c r="EP152" s="52"/>
      <c r="EQ152" s="52"/>
      <c r="ER152" s="52"/>
      <c r="ES152" s="52"/>
      <c r="ET152" s="52"/>
      <c r="EU152" s="52"/>
      <c r="EV152" s="52"/>
      <c r="EW152" s="52"/>
      <c r="EX152" s="52"/>
      <c r="EY152" s="52"/>
      <c r="EZ152" s="52"/>
      <c r="FA152" s="52"/>
      <c r="FB152" s="52"/>
      <c r="FC152" s="52"/>
      <c r="FD152" s="52"/>
      <c r="FE152" s="52"/>
      <c r="FF152" s="52"/>
      <c r="FG152" s="52"/>
      <c r="FH152" s="52"/>
      <c r="FI152" s="52"/>
      <c r="FJ152" s="52"/>
      <c r="FK152" s="52"/>
      <c r="FL152" s="52"/>
      <c r="FM152" s="52"/>
      <c r="FN152" s="52"/>
      <c r="FO152" s="52"/>
      <c r="FP152" s="52"/>
      <c r="FQ152" s="52"/>
      <c r="FR152" s="52"/>
      <c r="FS152" s="52"/>
      <c r="FT152" s="52"/>
      <c r="FU152" s="52"/>
      <c r="FV152" s="52"/>
      <c r="FW152" s="52"/>
      <c r="FX152" s="52"/>
      <c r="FY152" s="52"/>
      <c r="FZ152" s="52"/>
      <c r="GA152" s="52"/>
      <c r="GB152" s="52"/>
      <c r="GC152" s="52"/>
      <c r="GD152" s="52"/>
      <c r="GE152" s="52"/>
      <c r="GF152" s="52"/>
      <c r="GG152" s="52"/>
      <c r="GH152" s="52"/>
      <c r="GI152" s="52"/>
      <c r="GJ152" s="52"/>
      <c r="GK152" s="52"/>
      <c r="GL152" s="52"/>
      <c r="GM152" s="52"/>
      <c r="GN152" s="52"/>
      <c r="GO152" s="52"/>
      <c r="GP152" s="52"/>
      <c r="GQ152" s="52"/>
      <c r="GR152" s="52"/>
      <c r="GS152" s="52"/>
      <c r="GT152" s="52"/>
      <c r="GU152" s="52"/>
      <c r="GV152" s="52"/>
      <c r="GW152" s="52"/>
      <c r="GX152" s="52"/>
      <c r="GY152" s="52"/>
      <c r="GZ152" s="52"/>
      <c r="HA152" s="52"/>
      <c r="HB152" s="52"/>
      <c r="HC152" s="52"/>
      <c r="HD152" s="52"/>
      <c r="HE152" s="52"/>
      <c r="HF152" s="52"/>
      <c r="HG152" s="52"/>
      <c r="HH152" s="52"/>
      <c r="HI152" s="52"/>
      <c r="HJ152" s="52"/>
      <c r="HK152" s="52"/>
      <c r="HL152" s="52"/>
      <c r="HM152" s="39"/>
      <c r="HN152" s="128"/>
      <c r="HO152" s="131"/>
      <c r="HP152" s="131"/>
      <c r="HQ152" s="131"/>
      <c r="HR152" s="131"/>
      <c r="HS152" s="131"/>
      <c r="HT152" s="131"/>
      <c r="HU152" s="128"/>
      <c r="HV152" s="131"/>
      <c r="HW152" s="131"/>
      <c r="HX152" s="131"/>
      <c r="HY152" s="131"/>
      <c r="HZ152" s="131"/>
    </row>
    <row r="153" customFormat="false" ht="12.8" hidden="false" customHeight="false" outlineLevel="0" collapsed="false">
      <c r="A153" s="16" t="s">
        <v>258</v>
      </c>
      <c r="B153" s="17" t="s">
        <v>93</v>
      </c>
      <c r="C153" s="130" t="s">
        <v>301</v>
      </c>
      <c r="D153" s="16" t="s">
        <v>302</v>
      </c>
      <c r="E153" s="156" t="s">
        <v>89</v>
      </c>
      <c r="F153" s="16" t="s">
        <v>165</v>
      </c>
      <c r="G153" s="154" t="s">
        <v>753</v>
      </c>
      <c r="H153" s="148" t="s">
        <v>92</v>
      </c>
      <c r="I153" s="150"/>
      <c r="J153" s="150"/>
      <c r="K153" s="39" t="n">
        <v>7000</v>
      </c>
      <c r="L153" s="18" t="n">
        <v>7</v>
      </c>
      <c r="M153" s="18" t="n">
        <f aca="false">IF(AD153,1,0)+IF(AK153,1,0)+AN153+AU153+BB153+BI153+BP153+BW153+CD153+CK153+CR153+CY153+DF153+DM153+DT153+EA153+EH153+EO153+EV153+FC153+FJ153+FQ153+FX153+GE153+GL153+GS153+GZ153+HG153+HN153+HU153</f>
        <v>0</v>
      </c>
      <c r="N153" s="131"/>
      <c r="O153" s="147" t="n">
        <v>7192</v>
      </c>
      <c r="P153" s="147" t="n">
        <v>600</v>
      </c>
      <c r="Q153" s="147" t="n">
        <v>1881</v>
      </c>
      <c r="R153" s="21" t="s">
        <v>45</v>
      </c>
      <c r="S153" s="21" t="s">
        <v>46</v>
      </c>
      <c r="T153" s="128"/>
      <c r="U153" s="18"/>
      <c r="V153" s="18"/>
      <c r="W153" s="18"/>
      <c r="X153" s="18"/>
      <c r="Y153" s="18"/>
      <c r="Z153" s="18"/>
      <c r="AA153" s="18"/>
      <c r="AB153" s="18"/>
      <c r="AC153" s="23" t="s">
        <v>654</v>
      </c>
      <c r="AD153" s="128" t="n">
        <v>15</v>
      </c>
      <c r="AE153" s="128"/>
      <c r="AF153" s="128" t="n">
        <v>90</v>
      </c>
      <c r="AG153" s="128" t="n">
        <v>15</v>
      </c>
      <c r="AH153" s="128"/>
      <c r="AI153" s="147" t="s">
        <v>655</v>
      </c>
      <c r="AJ153" s="128"/>
      <c r="AK153" s="128"/>
      <c r="AL153" s="147"/>
      <c r="AM153" s="128" t="n">
        <v>8</v>
      </c>
      <c r="AN153" s="128" t="n">
        <v>1</v>
      </c>
      <c r="AO153" s="131" t="s">
        <v>560</v>
      </c>
      <c r="AP153" s="131" t="s">
        <v>561</v>
      </c>
      <c r="AQ153" s="131" t="s">
        <v>562</v>
      </c>
      <c r="AR153" s="131" t="s">
        <v>563</v>
      </c>
      <c r="AS153" s="131"/>
      <c r="AT153" s="131"/>
      <c r="AU153" s="131"/>
      <c r="AV153" s="131"/>
      <c r="AW153" s="131"/>
      <c r="AX153" s="131"/>
      <c r="AY153" s="131"/>
      <c r="AZ153" s="131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16"/>
      <c r="CK153" s="16"/>
      <c r="CL153" s="16"/>
      <c r="CM153" s="16"/>
      <c r="CN153" s="16"/>
      <c r="CO153" s="16"/>
      <c r="CP153" s="16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  <c r="DA153" s="52"/>
      <c r="DB153" s="52"/>
      <c r="DC153" s="52"/>
      <c r="DD153" s="52"/>
      <c r="DE153" s="128" t="n">
        <v>8</v>
      </c>
      <c r="DF153" s="128" t="n">
        <v>2</v>
      </c>
      <c r="DG153" s="131" t="s">
        <v>557</v>
      </c>
      <c r="DH153" s="131" t="s">
        <v>398</v>
      </c>
      <c r="DI153" s="131" t="s">
        <v>377</v>
      </c>
      <c r="DJ153" s="131" t="s">
        <v>399</v>
      </c>
      <c r="DK153" s="52"/>
      <c r="DL153" s="52"/>
      <c r="DM153" s="52"/>
      <c r="DN153" s="52"/>
      <c r="DO153" s="52"/>
      <c r="DP153" s="52"/>
      <c r="DQ153" s="52"/>
      <c r="DR153" s="52"/>
      <c r="DS153" s="52"/>
      <c r="DT153" s="52"/>
      <c r="DU153" s="52"/>
      <c r="DV153" s="52"/>
      <c r="DW153" s="52"/>
      <c r="DX153" s="52"/>
      <c r="DY153" s="52"/>
      <c r="DZ153" s="52"/>
      <c r="EA153" s="52"/>
      <c r="EB153" s="52"/>
      <c r="EC153" s="52"/>
      <c r="ED153" s="52"/>
      <c r="EE153" s="52"/>
      <c r="EF153" s="52"/>
      <c r="EG153" s="52"/>
      <c r="EH153" s="52"/>
      <c r="EI153" s="52"/>
      <c r="EJ153" s="52"/>
      <c r="EK153" s="52"/>
      <c r="EL153" s="52"/>
      <c r="EM153" s="52"/>
      <c r="EN153" s="128" t="n">
        <v>8</v>
      </c>
      <c r="EO153" s="128" t="n">
        <v>2</v>
      </c>
      <c r="EP153" s="131" t="s">
        <v>377</v>
      </c>
      <c r="EQ153" s="131" t="s">
        <v>378</v>
      </c>
      <c r="ER153" s="131" t="s">
        <v>379</v>
      </c>
      <c r="ES153" s="131" t="s">
        <v>380</v>
      </c>
      <c r="ET153" s="131"/>
      <c r="EU153" s="52"/>
      <c r="EV153" s="52"/>
      <c r="EW153" s="52"/>
      <c r="EX153" s="52"/>
      <c r="EY153" s="52"/>
      <c r="EZ153" s="52"/>
      <c r="FA153" s="52"/>
      <c r="FB153" s="128" t="n">
        <v>8</v>
      </c>
      <c r="FC153" s="39" t="n">
        <v>2</v>
      </c>
      <c r="FD153" s="114" t="s">
        <v>385</v>
      </c>
      <c r="FE153" s="114" t="s">
        <v>377</v>
      </c>
      <c r="FF153" s="114" t="s">
        <v>386</v>
      </c>
      <c r="FG153" s="114" t="s">
        <v>378</v>
      </c>
      <c r="FH153" s="52"/>
      <c r="FI153" s="52"/>
      <c r="FJ153" s="52"/>
      <c r="FK153" s="52"/>
      <c r="FL153" s="52"/>
      <c r="FM153" s="52"/>
      <c r="FN153" s="52"/>
      <c r="FO153" s="52"/>
      <c r="FP153" s="52"/>
      <c r="FQ153" s="52"/>
      <c r="FR153" s="52"/>
      <c r="FS153" s="52"/>
      <c r="FT153" s="52"/>
      <c r="FU153" s="52"/>
      <c r="FV153" s="52"/>
      <c r="FW153" s="52"/>
      <c r="FX153" s="52"/>
      <c r="FY153" s="52"/>
      <c r="FZ153" s="52"/>
      <c r="GA153" s="52"/>
      <c r="GB153" s="52"/>
      <c r="GC153" s="52"/>
      <c r="GD153" s="52"/>
      <c r="GE153" s="52"/>
      <c r="GF153" s="52"/>
      <c r="GG153" s="52"/>
      <c r="GH153" s="52"/>
      <c r="GI153" s="52"/>
      <c r="GJ153" s="52"/>
      <c r="GK153" s="128" t="n">
        <v>8</v>
      </c>
      <c r="GL153" s="128" t="n">
        <v>1</v>
      </c>
      <c r="GM153" s="131" t="s">
        <v>564</v>
      </c>
      <c r="GN153" s="131" t="s">
        <v>565</v>
      </c>
      <c r="GO153" s="131" t="s">
        <v>566</v>
      </c>
      <c r="GP153" s="131" t="s">
        <v>567</v>
      </c>
      <c r="GQ153" s="52"/>
      <c r="GR153" s="52"/>
      <c r="GS153" s="52"/>
      <c r="GT153" s="52"/>
      <c r="GU153" s="52"/>
      <c r="GV153" s="52"/>
      <c r="GW153" s="52"/>
      <c r="GX153" s="52"/>
      <c r="GY153" s="52"/>
      <c r="GZ153" s="52"/>
      <c r="HA153" s="52"/>
      <c r="HB153" s="52"/>
      <c r="HC153" s="52"/>
      <c r="HD153" s="52"/>
      <c r="HE153" s="52"/>
      <c r="HF153" s="52"/>
      <c r="HG153" s="52"/>
      <c r="HH153" s="52"/>
      <c r="HI153" s="52"/>
      <c r="HJ153" s="52"/>
      <c r="HK153" s="52"/>
      <c r="HL153" s="52"/>
      <c r="HM153" s="52"/>
      <c r="HN153" s="52"/>
      <c r="HO153" s="52"/>
      <c r="HP153" s="52"/>
      <c r="HQ153" s="52"/>
      <c r="HR153" s="52"/>
      <c r="HS153" s="52"/>
      <c r="HT153" s="39" t="n">
        <v>8</v>
      </c>
      <c r="HU153" s="39" t="n">
        <v>1</v>
      </c>
      <c r="HV153" s="114" t="s">
        <v>385</v>
      </c>
      <c r="HW153" s="114" t="s">
        <v>377</v>
      </c>
      <c r="HX153" s="161" t="s">
        <v>754</v>
      </c>
      <c r="HY153" s="114" t="s">
        <v>378</v>
      </c>
      <c r="HZ153" s="131"/>
    </row>
    <row r="154" customFormat="false" ht="12.8" hidden="false" customHeight="false" outlineLevel="0" collapsed="false">
      <c r="A154" s="16" t="s">
        <v>258</v>
      </c>
      <c r="B154" s="17" t="s">
        <v>93</v>
      </c>
      <c r="C154" s="130" t="s">
        <v>301</v>
      </c>
      <c r="D154" s="16" t="s">
        <v>302</v>
      </c>
      <c r="E154" s="156" t="s">
        <v>89</v>
      </c>
      <c r="F154" s="16" t="s">
        <v>165</v>
      </c>
      <c r="G154" s="154" t="s">
        <v>645</v>
      </c>
      <c r="H154" s="150"/>
      <c r="I154" s="150"/>
      <c r="J154" s="150"/>
      <c r="K154" s="39" t="n">
        <v>7000</v>
      </c>
      <c r="L154" s="18" t="n">
        <v>4</v>
      </c>
      <c r="M154" s="18" t="n">
        <f aca="false">IF(AD154,1,0)+IF(AK154,1,0)+AN154+AU154+BB154+BI154+BP154+BW154+CD154+CK154+CR154+CY154+DF154+DM154+DT154+EA154+EH154+EO154+EV154+FC154+FJ154+FQ154+FX154+GE154+GL154+GS154+GZ154+HG154+HN154+HU154</f>
        <v>0</v>
      </c>
      <c r="N154" s="131"/>
      <c r="O154" s="147" t="n">
        <v>2400</v>
      </c>
      <c r="P154" s="147" t="n">
        <v>1758</v>
      </c>
      <c r="Q154" s="147" t="n">
        <v>84</v>
      </c>
      <c r="R154" s="21" t="s">
        <v>44</v>
      </c>
      <c r="S154" s="21" t="s">
        <v>44</v>
      </c>
      <c r="T154" s="128"/>
      <c r="U154" s="18"/>
      <c r="V154" s="18"/>
      <c r="W154" s="18"/>
      <c r="X154" s="18"/>
      <c r="Y154" s="18"/>
      <c r="Z154" s="18"/>
      <c r="AA154" s="18"/>
      <c r="AB154" s="18"/>
      <c r="AC154" s="131"/>
      <c r="AD154" s="128"/>
      <c r="AE154" s="128"/>
      <c r="AF154" s="128"/>
      <c r="AG154" s="128"/>
      <c r="AH154" s="128"/>
      <c r="AI154" s="147"/>
      <c r="AJ154" s="128"/>
      <c r="AK154" s="128"/>
      <c r="AL154" s="147"/>
      <c r="AM154" s="131"/>
      <c r="AN154" s="128"/>
      <c r="AO154" s="131"/>
      <c r="AP154" s="131"/>
      <c r="AQ154" s="131"/>
      <c r="AR154" s="131"/>
      <c r="AS154" s="131"/>
      <c r="AT154" s="131"/>
      <c r="AU154" s="131"/>
      <c r="AV154" s="131"/>
      <c r="AW154" s="131"/>
      <c r="AX154" s="131"/>
      <c r="AY154" s="131"/>
      <c r="AZ154" s="131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16"/>
      <c r="CK154" s="16"/>
      <c r="CL154" s="16"/>
      <c r="CM154" s="16"/>
      <c r="CN154" s="16"/>
      <c r="CO154" s="16"/>
      <c r="CP154" s="16"/>
      <c r="CQ154" s="128" t="n">
        <v>6</v>
      </c>
      <c r="CR154" s="128" t="n">
        <v>2</v>
      </c>
      <c r="CS154" s="131" t="s">
        <v>390</v>
      </c>
      <c r="CT154" s="131" t="s">
        <v>391</v>
      </c>
      <c r="CU154" s="131" t="s">
        <v>410</v>
      </c>
      <c r="CV154" s="131" t="s">
        <v>411</v>
      </c>
      <c r="CW154" s="131" t="s">
        <v>399</v>
      </c>
      <c r="CX154" s="52"/>
      <c r="CY154" s="52"/>
      <c r="CZ154" s="52"/>
      <c r="DA154" s="52"/>
      <c r="DB154" s="52"/>
      <c r="DC154" s="52"/>
      <c r="DD154" s="52"/>
      <c r="DE154" s="52"/>
      <c r="DF154" s="52"/>
      <c r="DG154" s="52"/>
      <c r="DH154" s="52"/>
      <c r="DI154" s="52"/>
      <c r="DJ154" s="52"/>
      <c r="DK154" s="52"/>
      <c r="DL154" s="52"/>
      <c r="DM154" s="52"/>
      <c r="DN154" s="52"/>
      <c r="DO154" s="52"/>
      <c r="DP154" s="52"/>
      <c r="DQ154" s="52"/>
      <c r="DR154" s="52"/>
      <c r="DS154" s="52"/>
      <c r="DT154" s="52"/>
      <c r="DU154" s="52"/>
      <c r="DV154" s="52"/>
      <c r="DW154" s="52"/>
      <c r="DX154" s="52"/>
      <c r="DY154" s="52"/>
      <c r="DZ154" s="52"/>
      <c r="EA154" s="52"/>
      <c r="EB154" s="52"/>
      <c r="EC154" s="52"/>
      <c r="ED154" s="52"/>
      <c r="EE154" s="52"/>
      <c r="EF154" s="52"/>
      <c r="EG154" s="52"/>
      <c r="EH154" s="52"/>
      <c r="EI154" s="52"/>
      <c r="EJ154" s="52"/>
      <c r="EK154" s="52"/>
      <c r="EL154" s="52"/>
      <c r="EM154" s="52"/>
      <c r="EN154" s="52"/>
      <c r="EO154" s="52"/>
      <c r="EP154" s="52"/>
      <c r="EQ154" s="52"/>
      <c r="ER154" s="52"/>
      <c r="ES154" s="52"/>
      <c r="ET154" s="52"/>
      <c r="EU154" s="52"/>
      <c r="EV154" s="52"/>
      <c r="EW154" s="52"/>
      <c r="EX154" s="52"/>
      <c r="EY154" s="52"/>
      <c r="EZ154" s="52"/>
      <c r="FA154" s="52"/>
      <c r="FB154" s="128" t="n">
        <v>6</v>
      </c>
      <c r="FC154" s="128" t="n">
        <v>2</v>
      </c>
      <c r="FD154" s="131" t="s">
        <v>451</v>
      </c>
      <c r="FE154" s="131" t="s">
        <v>410</v>
      </c>
      <c r="FF154" s="131" t="s">
        <v>452</v>
      </c>
      <c r="FG154" s="131" t="s">
        <v>453</v>
      </c>
      <c r="FH154" s="131" t="s">
        <v>378</v>
      </c>
      <c r="FI154" s="52"/>
      <c r="FJ154" s="52"/>
      <c r="FK154" s="52"/>
      <c r="FL154" s="52"/>
      <c r="FM154" s="52"/>
      <c r="FN154" s="52"/>
      <c r="FO154" s="52"/>
      <c r="FP154" s="52"/>
      <c r="FQ154" s="52"/>
      <c r="FR154" s="52"/>
      <c r="FS154" s="52"/>
      <c r="FT154" s="52"/>
      <c r="FU154" s="52"/>
      <c r="FV154" s="52"/>
      <c r="FW154" s="52"/>
      <c r="FX154" s="52"/>
      <c r="FY154" s="52"/>
      <c r="FZ154" s="52"/>
      <c r="GA154" s="52"/>
      <c r="GB154" s="52"/>
      <c r="GC154" s="52"/>
      <c r="GD154" s="52"/>
      <c r="GE154" s="52"/>
      <c r="GF154" s="52"/>
      <c r="GG154" s="52"/>
      <c r="GH154" s="52"/>
      <c r="GI154" s="52"/>
      <c r="GJ154" s="52"/>
      <c r="GK154" s="52"/>
      <c r="GL154" s="52"/>
      <c r="GM154" s="52"/>
      <c r="GN154" s="52"/>
      <c r="GO154" s="52"/>
      <c r="GP154" s="52"/>
      <c r="GQ154" s="52"/>
      <c r="GR154" s="52"/>
      <c r="GS154" s="52"/>
      <c r="GT154" s="52"/>
      <c r="GU154" s="52"/>
      <c r="GV154" s="52"/>
      <c r="GW154" s="52"/>
      <c r="GX154" s="52"/>
      <c r="GY154" s="52"/>
      <c r="GZ154" s="52"/>
      <c r="HA154" s="52"/>
      <c r="HB154" s="52"/>
      <c r="HC154" s="52"/>
      <c r="HD154" s="52"/>
      <c r="HE154" s="52"/>
      <c r="HF154" s="39" t="n">
        <v>6</v>
      </c>
      <c r="HG154" s="128" t="n">
        <v>1</v>
      </c>
      <c r="HH154" s="131" t="s">
        <v>451</v>
      </c>
      <c r="HI154" s="131" t="s">
        <v>410</v>
      </c>
      <c r="HJ154" s="131" t="s">
        <v>452</v>
      </c>
      <c r="HK154" s="131" t="s">
        <v>453</v>
      </c>
      <c r="HL154" s="131" t="s">
        <v>378</v>
      </c>
      <c r="HM154" s="39" t="n">
        <v>6</v>
      </c>
      <c r="HN154" s="128" t="n">
        <v>1</v>
      </c>
      <c r="HO154" s="131" t="s">
        <v>451</v>
      </c>
      <c r="HP154" s="131" t="s">
        <v>410</v>
      </c>
      <c r="HQ154" s="131" t="s">
        <v>452</v>
      </c>
      <c r="HR154" s="131" t="s">
        <v>453</v>
      </c>
      <c r="HS154" s="131" t="s">
        <v>378</v>
      </c>
      <c r="HT154" s="131"/>
      <c r="HU154" s="128"/>
      <c r="HV154" s="131"/>
      <c r="HW154" s="131"/>
      <c r="HX154" s="131"/>
      <c r="HY154" s="131"/>
      <c r="HZ154" s="131"/>
    </row>
    <row r="155" customFormat="false" ht="12.8" hidden="false" customHeight="false" outlineLevel="0" collapsed="false">
      <c r="A155" s="16" t="s">
        <v>258</v>
      </c>
      <c r="B155" s="17" t="s">
        <v>93</v>
      </c>
      <c r="C155" s="156" t="s">
        <v>301</v>
      </c>
      <c r="D155" s="16" t="s">
        <v>303</v>
      </c>
      <c r="E155" s="156" t="s">
        <v>87</v>
      </c>
      <c r="F155" s="16" t="s">
        <v>109</v>
      </c>
      <c r="G155" s="157"/>
      <c r="H155" s="150"/>
      <c r="I155" s="150"/>
      <c r="J155" s="150"/>
      <c r="K155" s="39" t="n">
        <v>7000</v>
      </c>
      <c r="L155" s="18"/>
      <c r="M155" s="18" t="n">
        <f aca="false">IF(AD155,1,0)+IF(AK155,1,0)+AN155+AU155+BB155+BI155+BP155+BW155+CD155+CK155+CR155+CY155+DF155+DM155+DT155+EA155+EH155+EO155+EV155+FC155+FJ155+FQ155+FX155+GE155+GL155+GS155+GZ155+HG155+HN155+HU155</f>
        <v>0</v>
      </c>
      <c r="N155" s="131"/>
      <c r="O155" s="147"/>
      <c r="P155" s="147"/>
      <c r="Q155" s="147"/>
      <c r="R155" s="12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31"/>
      <c r="AD155" s="128"/>
      <c r="AE155" s="128"/>
      <c r="AF155" s="128"/>
      <c r="AG155" s="128"/>
      <c r="AH155" s="128"/>
      <c r="AI155" s="147"/>
      <c r="AJ155" s="128"/>
      <c r="AK155" s="128"/>
      <c r="AL155" s="147"/>
      <c r="AM155" s="131"/>
      <c r="AN155" s="128"/>
      <c r="AO155" s="131"/>
      <c r="AP155" s="131"/>
      <c r="AQ155" s="131"/>
      <c r="AR155" s="131"/>
      <c r="AS155" s="131"/>
      <c r="AT155" s="131"/>
      <c r="AU155" s="131"/>
      <c r="AV155" s="131"/>
      <c r="AW155" s="131"/>
      <c r="AX155" s="131"/>
      <c r="AY155" s="131"/>
      <c r="AZ155" s="131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16"/>
      <c r="CK155" s="16"/>
      <c r="CL155" s="16"/>
      <c r="CM155" s="16"/>
      <c r="CN155" s="16"/>
      <c r="CO155" s="16"/>
      <c r="CP155" s="16"/>
      <c r="CQ155" s="52"/>
      <c r="CR155" s="52"/>
      <c r="CS155" s="52"/>
      <c r="CT155" s="52"/>
      <c r="CU155" s="52"/>
      <c r="CV155" s="52"/>
      <c r="CW155" s="52"/>
      <c r="CX155" s="52"/>
      <c r="CY155" s="52"/>
      <c r="CZ155" s="52"/>
      <c r="DA155" s="52"/>
      <c r="DB155" s="52"/>
      <c r="DC155" s="52"/>
      <c r="DD155" s="52"/>
      <c r="DE155" s="52"/>
      <c r="DF155" s="52"/>
      <c r="DG155" s="52"/>
      <c r="DH155" s="52"/>
      <c r="DI155" s="52"/>
      <c r="DJ155" s="52"/>
      <c r="DK155" s="52"/>
      <c r="DL155" s="52"/>
      <c r="DM155" s="52"/>
      <c r="DN155" s="52"/>
      <c r="DO155" s="52"/>
      <c r="DP155" s="52"/>
      <c r="DQ155" s="52"/>
      <c r="DR155" s="52"/>
      <c r="DS155" s="52"/>
      <c r="DT155" s="52"/>
      <c r="DU155" s="52"/>
      <c r="DV155" s="52"/>
      <c r="DW155" s="52"/>
      <c r="DX155" s="52"/>
      <c r="DY155" s="52"/>
      <c r="DZ155" s="52"/>
      <c r="EA155" s="52"/>
      <c r="EB155" s="52"/>
      <c r="EC155" s="52"/>
      <c r="ED155" s="52"/>
      <c r="EE155" s="52"/>
      <c r="EF155" s="52"/>
      <c r="EG155" s="52"/>
      <c r="EH155" s="52"/>
      <c r="EI155" s="52"/>
      <c r="EJ155" s="52"/>
      <c r="EK155" s="52"/>
      <c r="EL155" s="52"/>
      <c r="EM155" s="52"/>
      <c r="EN155" s="52"/>
      <c r="EO155" s="52"/>
      <c r="EP155" s="52"/>
      <c r="EQ155" s="52"/>
      <c r="ER155" s="52"/>
      <c r="ES155" s="52"/>
      <c r="ET155" s="52"/>
      <c r="EU155" s="52"/>
      <c r="EV155" s="52"/>
      <c r="EW155" s="52"/>
      <c r="EX155" s="52"/>
      <c r="EY155" s="52"/>
      <c r="EZ155" s="52"/>
      <c r="FA155" s="52"/>
      <c r="FB155" s="52"/>
      <c r="FC155" s="52"/>
      <c r="FD155" s="52"/>
      <c r="FE155" s="52"/>
      <c r="FF155" s="52"/>
      <c r="FG155" s="52"/>
      <c r="FH155" s="52"/>
      <c r="FI155" s="52"/>
      <c r="FJ155" s="52"/>
      <c r="FK155" s="52"/>
      <c r="FL155" s="52"/>
      <c r="FM155" s="52"/>
      <c r="FN155" s="52"/>
      <c r="FO155" s="52"/>
      <c r="FP155" s="52"/>
      <c r="FQ155" s="52"/>
      <c r="FR155" s="52"/>
      <c r="FS155" s="52"/>
      <c r="FT155" s="52"/>
      <c r="FU155" s="52"/>
      <c r="FV155" s="52"/>
      <c r="FW155" s="52"/>
      <c r="FX155" s="52"/>
      <c r="FY155" s="52"/>
      <c r="FZ155" s="52"/>
      <c r="GA155" s="52"/>
      <c r="GB155" s="52"/>
      <c r="GC155" s="52"/>
      <c r="GD155" s="52"/>
      <c r="GE155" s="52"/>
      <c r="GF155" s="52"/>
      <c r="GG155" s="52"/>
      <c r="GH155" s="52"/>
      <c r="GI155" s="52"/>
      <c r="GJ155" s="52"/>
      <c r="GK155" s="52"/>
      <c r="GL155" s="52"/>
      <c r="GM155" s="52"/>
      <c r="GN155" s="52"/>
      <c r="GO155" s="52"/>
      <c r="GP155" s="52"/>
      <c r="GQ155" s="52"/>
      <c r="GR155" s="52"/>
      <c r="GS155" s="52"/>
      <c r="GT155" s="52"/>
      <c r="GU155" s="52"/>
      <c r="GV155" s="52"/>
      <c r="GW155" s="52"/>
      <c r="GX155" s="52"/>
      <c r="GY155" s="52"/>
      <c r="GZ155" s="52"/>
      <c r="HA155" s="52"/>
      <c r="HB155" s="52"/>
      <c r="HC155" s="52"/>
      <c r="HD155" s="52"/>
      <c r="HE155" s="52"/>
      <c r="HF155" s="52"/>
      <c r="HG155" s="52"/>
      <c r="HH155" s="52"/>
      <c r="HI155" s="52"/>
      <c r="HJ155" s="52"/>
      <c r="HK155" s="52"/>
      <c r="HL155" s="52"/>
      <c r="HM155" s="52"/>
      <c r="HN155" s="52"/>
      <c r="HO155" s="52"/>
      <c r="HP155" s="52"/>
      <c r="HQ155" s="52"/>
      <c r="HR155" s="52"/>
      <c r="HS155" s="52"/>
      <c r="HT155" s="131"/>
      <c r="HU155" s="128"/>
      <c r="HV155" s="131"/>
      <c r="HW155" s="131"/>
      <c r="HX155" s="131"/>
      <c r="HY155" s="131"/>
      <c r="HZ155" s="131"/>
    </row>
    <row r="156" customFormat="false" ht="12.8" hidden="false" customHeight="false" outlineLevel="0" collapsed="false">
      <c r="A156" s="16" t="s">
        <v>258</v>
      </c>
      <c r="B156" s="17" t="s">
        <v>93</v>
      </c>
      <c r="C156" s="156" t="s">
        <v>301</v>
      </c>
      <c r="D156" s="16" t="s">
        <v>304</v>
      </c>
      <c r="E156" s="156" t="s">
        <v>88</v>
      </c>
      <c r="F156" s="16" t="s">
        <v>176</v>
      </c>
      <c r="G156" s="157"/>
      <c r="H156" s="150"/>
      <c r="I156" s="150"/>
      <c r="J156" s="150"/>
      <c r="K156" s="39" t="n">
        <v>7000</v>
      </c>
      <c r="L156" s="18"/>
      <c r="M156" s="18" t="n">
        <f aca="false">IF(AD156,1,0)+IF(AK156,1,0)+AN156+AU156+BB156+BI156+BP156+BW156+CD156+CK156+CR156+CY156+DF156+DM156+DT156+EA156+EH156+EO156+EV156+FC156+FJ156+FQ156+FX156+GE156+GL156+GS156+GZ156+HG156+HN156+HU156</f>
        <v>0</v>
      </c>
      <c r="N156" s="131"/>
      <c r="O156" s="147"/>
      <c r="P156" s="147"/>
      <c r="Q156" s="147"/>
      <c r="R156" s="12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31"/>
      <c r="AD156" s="128"/>
      <c r="AE156" s="128"/>
      <c r="AF156" s="128"/>
      <c r="AG156" s="128"/>
      <c r="AH156" s="128"/>
      <c r="AI156" s="147"/>
      <c r="AJ156" s="128"/>
      <c r="AK156" s="128"/>
      <c r="AL156" s="147"/>
      <c r="AM156" s="131"/>
      <c r="AN156" s="128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16"/>
      <c r="CK156" s="16"/>
      <c r="CL156" s="16"/>
      <c r="CM156" s="16"/>
      <c r="CN156" s="16"/>
      <c r="CO156" s="16"/>
      <c r="CP156" s="16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  <c r="DA156" s="52"/>
      <c r="DB156" s="52"/>
      <c r="DC156" s="52"/>
      <c r="DD156" s="52"/>
      <c r="DE156" s="52"/>
      <c r="DF156" s="52"/>
      <c r="DG156" s="52"/>
      <c r="DH156" s="52"/>
      <c r="DI156" s="52"/>
      <c r="DJ156" s="52"/>
      <c r="DK156" s="52"/>
      <c r="DL156" s="52"/>
      <c r="DM156" s="52"/>
      <c r="DN156" s="52"/>
      <c r="DO156" s="52"/>
      <c r="DP156" s="52"/>
      <c r="DQ156" s="52"/>
      <c r="DR156" s="52"/>
      <c r="DS156" s="52"/>
      <c r="DT156" s="52"/>
      <c r="DU156" s="52"/>
      <c r="DV156" s="52"/>
      <c r="DW156" s="52"/>
      <c r="DX156" s="52"/>
      <c r="DY156" s="52"/>
      <c r="DZ156" s="52"/>
      <c r="EA156" s="52"/>
      <c r="EB156" s="52"/>
      <c r="EC156" s="52"/>
      <c r="ED156" s="52"/>
      <c r="EE156" s="52"/>
      <c r="EF156" s="52"/>
      <c r="EG156" s="52"/>
      <c r="EH156" s="52"/>
      <c r="EI156" s="52"/>
      <c r="EJ156" s="52"/>
      <c r="EK156" s="52"/>
      <c r="EL156" s="52"/>
      <c r="EM156" s="52"/>
      <c r="EN156" s="52"/>
      <c r="EO156" s="52"/>
      <c r="EP156" s="52"/>
      <c r="EQ156" s="52"/>
      <c r="ER156" s="52"/>
      <c r="ES156" s="52"/>
      <c r="ET156" s="52"/>
      <c r="EU156" s="52"/>
      <c r="EV156" s="52"/>
      <c r="EW156" s="52"/>
      <c r="EX156" s="52"/>
      <c r="EY156" s="52"/>
      <c r="EZ156" s="52"/>
      <c r="FA156" s="52"/>
      <c r="FB156" s="52"/>
      <c r="FC156" s="52"/>
      <c r="FD156" s="52"/>
      <c r="FE156" s="52"/>
      <c r="FF156" s="52"/>
      <c r="FG156" s="52"/>
      <c r="FH156" s="52"/>
      <c r="FI156" s="52"/>
      <c r="FJ156" s="52"/>
      <c r="FK156" s="52"/>
      <c r="FL156" s="52"/>
      <c r="FM156" s="52"/>
      <c r="FN156" s="52"/>
      <c r="FO156" s="52"/>
      <c r="FP156" s="52"/>
      <c r="FQ156" s="52"/>
      <c r="FR156" s="52"/>
      <c r="FS156" s="52"/>
      <c r="FT156" s="52"/>
      <c r="FU156" s="52"/>
      <c r="FV156" s="52"/>
      <c r="FW156" s="52"/>
      <c r="FX156" s="52"/>
      <c r="FY156" s="52"/>
      <c r="FZ156" s="52"/>
      <c r="GA156" s="52"/>
      <c r="GB156" s="52"/>
      <c r="GC156" s="52"/>
      <c r="GD156" s="52"/>
      <c r="GE156" s="52"/>
      <c r="GF156" s="52"/>
      <c r="GG156" s="52"/>
      <c r="GH156" s="52"/>
      <c r="GI156" s="52"/>
      <c r="GJ156" s="52"/>
      <c r="GK156" s="52"/>
      <c r="GL156" s="52"/>
      <c r="GM156" s="52"/>
      <c r="GN156" s="52"/>
      <c r="GO156" s="52"/>
      <c r="GP156" s="52"/>
      <c r="GQ156" s="52"/>
      <c r="GR156" s="52"/>
      <c r="GS156" s="52"/>
      <c r="GT156" s="52"/>
      <c r="GU156" s="52"/>
      <c r="GV156" s="52"/>
      <c r="GW156" s="52"/>
      <c r="GX156" s="52"/>
      <c r="GY156" s="52"/>
      <c r="GZ156" s="52"/>
      <c r="HA156" s="52"/>
      <c r="HB156" s="52"/>
      <c r="HC156" s="52"/>
      <c r="HD156" s="52"/>
      <c r="HE156" s="52"/>
      <c r="HF156" s="52"/>
      <c r="HG156" s="52"/>
      <c r="HH156" s="52"/>
      <c r="HI156" s="52"/>
      <c r="HJ156" s="52"/>
      <c r="HK156" s="52"/>
      <c r="HL156" s="52"/>
      <c r="HM156" s="52"/>
      <c r="HN156" s="52"/>
      <c r="HO156" s="52"/>
      <c r="HP156" s="52"/>
      <c r="HQ156" s="52"/>
      <c r="HR156" s="52"/>
      <c r="HS156" s="52"/>
      <c r="HT156" s="131"/>
      <c r="HU156" s="128"/>
      <c r="HV156" s="131"/>
      <c r="HW156" s="131"/>
      <c r="HX156" s="131"/>
      <c r="HY156" s="131"/>
      <c r="HZ156" s="131"/>
    </row>
    <row r="157" customFormat="false" ht="12.8" hidden="false" customHeight="false" outlineLevel="0" collapsed="false">
      <c r="A157" s="16" t="s">
        <v>258</v>
      </c>
      <c r="B157" s="17" t="s">
        <v>93</v>
      </c>
      <c r="C157" s="156" t="s">
        <v>301</v>
      </c>
      <c r="D157" s="16" t="s">
        <v>305</v>
      </c>
      <c r="E157" s="156" t="s">
        <v>255</v>
      </c>
      <c r="F157" s="16" t="s">
        <v>237</v>
      </c>
      <c r="G157" s="154" t="s">
        <v>755</v>
      </c>
      <c r="H157" s="150"/>
      <c r="I157" s="150"/>
      <c r="J157" s="150"/>
      <c r="K157" s="39" t="n">
        <v>7000</v>
      </c>
      <c r="L157" s="18" t="n">
        <v>4</v>
      </c>
      <c r="M157" s="18" t="n">
        <f aca="false">IF(AD157,1,0)+IF(AK157,1,0)+AN157+AU157+BB157+BI157+BP157+BW157+CD157+CK157+CR157+CY157+DF157+DM157+DT157+EA157+EH157+EO157+EV157+FC157+FJ157+FQ157+FX157+GE157+GL157+GS157+GZ157+HG157+HN157+HU157</f>
        <v>0</v>
      </c>
      <c r="N157" s="131"/>
      <c r="O157" s="147" t="n">
        <v>4285</v>
      </c>
      <c r="P157" s="147" t="n">
        <v>600</v>
      </c>
      <c r="Q157" s="147" t="n">
        <v>428</v>
      </c>
      <c r="R157" s="21" t="s">
        <v>45</v>
      </c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31"/>
      <c r="AD157" s="128"/>
      <c r="AE157" s="128"/>
      <c r="AF157" s="128"/>
      <c r="AG157" s="128"/>
      <c r="AH157" s="128"/>
      <c r="AI157" s="147"/>
      <c r="AJ157" s="128"/>
      <c r="AK157" s="128"/>
      <c r="AL157" s="147"/>
      <c r="AM157" s="131"/>
      <c r="AN157" s="128"/>
      <c r="AO157" s="131"/>
      <c r="AP157" s="131"/>
      <c r="AQ157" s="131"/>
      <c r="AR157" s="131"/>
      <c r="AS157" s="131"/>
      <c r="AT157" s="131"/>
      <c r="AU157" s="131"/>
      <c r="AV157" s="131"/>
      <c r="AW157" s="131"/>
      <c r="AX157" s="131"/>
      <c r="AY157" s="131"/>
      <c r="AZ157" s="131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16"/>
      <c r="CK157" s="16"/>
      <c r="CL157" s="16"/>
      <c r="CM157" s="16"/>
      <c r="CN157" s="16"/>
      <c r="CO157" s="16"/>
      <c r="CP157" s="16"/>
      <c r="CQ157" s="52"/>
      <c r="CR157" s="52"/>
      <c r="CS157" s="52"/>
      <c r="CT157" s="52"/>
      <c r="CU157" s="52"/>
      <c r="CV157" s="52"/>
      <c r="CW157" s="52"/>
      <c r="CX157" s="52"/>
      <c r="CY157" s="52"/>
      <c r="CZ157" s="52"/>
      <c r="DA157" s="52"/>
      <c r="DB157" s="52"/>
      <c r="DC157" s="52"/>
      <c r="DD157" s="52"/>
      <c r="DE157" s="128" t="n">
        <v>6</v>
      </c>
      <c r="DF157" s="128" t="n">
        <v>2</v>
      </c>
      <c r="DG157" s="131" t="s">
        <v>390</v>
      </c>
      <c r="DH157" s="131" t="s">
        <v>391</v>
      </c>
      <c r="DI157" s="131" t="s">
        <v>410</v>
      </c>
      <c r="DJ157" s="131" t="s">
        <v>411</v>
      </c>
      <c r="DK157" s="131" t="s">
        <v>399</v>
      </c>
      <c r="DL157" s="52"/>
      <c r="DM157" s="52"/>
      <c r="DN157" s="52"/>
      <c r="DO157" s="52"/>
      <c r="DP157" s="52"/>
      <c r="DQ157" s="52"/>
      <c r="DR157" s="52"/>
      <c r="DS157" s="52"/>
      <c r="DT157" s="52"/>
      <c r="DU157" s="52"/>
      <c r="DV157" s="52"/>
      <c r="DW157" s="52"/>
      <c r="DX157" s="52"/>
      <c r="DY157" s="52"/>
      <c r="DZ157" s="52"/>
      <c r="EA157" s="52"/>
      <c r="EB157" s="52"/>
      <c r="EC157" s="52"/>
      <c r="ED157" s="52"/>
      <c r="EE157" s="52"/>
      <c r="EF157" s="52"/>
      <c r="EG157" s="52"/>
      <c r="EH157" s="52"/>
      <c r="EI157" s="52"/>
      <c r="EJ157" s="52"/>
      <c r="EK157" s="52"/>
      <c r="EL157" s="52"/>
      <c r="EM157" s="52"/>
      <c r="EN157" s="52"/>
      <c r="EO157" s="52"/>
      <c r="EP157" s="52"/>
      <c r="EQ157" s="52"/>
      <c r="ER157" s="52"/>
      <c r="ES157" s="52"/>
      <c r="ET157" s="52"/>
      <c r="EU157" s="52"/>
      <c r="EV157" s="52"/>
      <c r="EW157" s="52"/>
      <c r="EX157" s="52"/>
      <c r="EY157" s="52"/>
      <c r="EZ157" s="52"/>
      <c r="FA157" s="52"/>
      <c r="FB157" s="128" t="n">
        <v>6</v>
      </c>
      <c r="FC157" s="128" t="n">
        <v>2</v>
      </c>
      <c r="FD157" s="131" t="s">
        <v>451</v>
      </c>
      <c r="FE157" s="131" t="s">
        <v>410</v>
      </c>
      <c r="FF157" s="131" t="s">
        <v>452</v>
      </c>
      <c r="FG157" s="131" t="s">
        <v>453</v>
      </c>
      <c r="FH157" s="131" t="s">
        <v>378</v>
      </c>
      <c r="FI157" s="52"/>
      <c r="FJ157" s="52"/>
      <c r="FK157" s="52"/>
      <c r="FL157" s="52"/>
      <c r="FM157" s="52"/>
      <c r="FN157" s="52"/>
      <c r="FO157" s="52"/>
      <c r="FP157" s="52"/>
      <c r="FQ157" s="52"/>
      <c r="FR157" s="52"/>
      <c r="FS157" s="52"/>
      <c r="FT157" s="52"/>
      <c r="FU157" s="52"/>
      <c r="FV157" s="52"/>
      <c r="FW157" s="52"/>
      <c r="FX157" s="52"/>
      <c r="FY157" s="52"/>
      <c r="FZ157" s="52"/>
      <c r="GA157" s="52"/>
      <c r="GB157" s="52"/>
      <c r="GC157" s="52"/>
      <c r="GD157" s="52"/>
      <c r="GE157" s="52"/>
      <c r="GF157" s="52"/>
      <c r="GG157" s="52"/>
      <c r="GH157" s="52"/>
      <c r="GI157" s="52"/>
      <c r="GJ157" s="52"/>
      <c r="GK157" s="128" t="n">
        <v>6</v>
      </c>
      <c r="GL157" s="128" t="n">
        <v>1</v>
      </c>
      <c r="GM157" s="131" t="s">
        <v>695</v>
      </c>
      <c r="GN157" s="131" t="s">
        <v>697</v>
      </c>
      <c r="GO157" s="131" t="s">
        <v>566</v>
      </c>
      <c r="GP157" s="131" t="s">
        <v>567</v>
      </c>
      <c r="GQ157" s="52"/>
      <c r="GR157" s="52"/>
      <c r="GS157" s="52"/>
      <c r="GT157" s="52"/>
      <c r="GU157" s="52"/>
      <c r="GV157" s="52"/>
      <c r="GW157" s="52"/>
      <c r="GX157" s="52"/>
      <c r="GY157" s="52"/>
      <c r="GZ157" s="52"/>
      <c r="HA157" s="52"/>
      <c r="HB157" s="52"/>
      <c r="HC157" s="52"/>
      <c r="HD157" s="52"/>
      <c r="HE157" s="52"/>
      <c r="HF157" s="39" t="n">
        <v>6</v>
      </c>
      <c r="HG157" s="128" t="n">
        <v>1</v>
      </c>
      <c r="HH157" s="131" t="s">
        <v>451</v>
      </c>
      <c r="HI157" s="131" t="s">
        <v>410</v>
      </c>
      <c r="HJ157" s="131" t="s">
        <v>452</v>
      </c>
      <c r="HK157" s="131" t="s">
        <v>453</v>
      </c>
      <c r="HL157" s="131" t="s">
        <v>378</v>
      </c>
      <c r="HM157" s="52"/>
      <c r="HN157" s="52"/>
      <c r="HO157" s="52"/>
      <c r="HP157" s="52"/>
      <c r="HQ157" s="52"/>
      <c r="HR157" s="52"/>
      <c r="HS157" s="52"/>
      <c r="HT157" s="131"/>
      <c r="HU157" s="128"/>
      <c r="HV157" s="131"/>
      <c r="HW157" s="131"/>
      <c r="HX157" s="131"/>
      <c r="HY157" s="131"/>
      <c r="HZ157" s="131"/>
    </row>
    <row r="158" customFormat="false" ht="12.8" hidden="false" customHeight="false" outlineLevel="0" collapsed="false">
      <c r="A158" s="16" t="s">
        <v>258</v>
      </c>
      <c r="B158" s="17" t="s">
        <v>93</v>
      </c>
      <c r="C158" s="156" t="s">
        <v>301</v>
      </c>
      <c r="D158" s="16" t="s">
        <v>305</v>
      </c>
      <c r="E158" s="156" t="s">
        <v>255</v>
      </c>
      <c r="F158" s="16" t="s">
        <v>237</v>
      </c>
      <c r="G158" s="154" t="s">
        <v>645</v>
      </c>
      <c r="H158" s="150"/>
      <c r="I158" s="150"/>
      <c r="J158" s="150"/>
      <c r="K158" s="39" t="n">
        <v>7000</v>
      </c>
      <c r="L158" s="18" t="n">
        <v>4</v>
      </c>
      <c r="M158" s="18" t="n">
        <f aca="false">IF(AD158,1,0)+IF(AK158,1,0)+AN158+AU158+BB158+BI158+BP158+BW158+CD158+CK158+CR158+CY158+DF158+DM158+DT158+EA158+EH158+EO158+EV158+FC158+FJ158+FQ158+FX158+GE158+GL158+GS158+GZ158+HG158+HN158+HU158</f>
        <v>0</v>
      </c>
      <c r="N158" s="131"/>
      <c r="O158" s="147" t="n">
        <v>1200</v>
      </c>
      <c r="P158" s="147" t="n">
        <v>960</v>
      </c>
      <c r="Q158" s="147" t="n">
        <v>36</v>
      </c>
      <c r="R158" s="21" t="s">
        <v>44</v>
      </c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31"/>
      <c r="AD158" s="128"/>
      <c r="AE158" s="128"/>
      <c r="AF158" s="128"/>
      <c r="AG158" s="128"/>
      <c r="AH158" s="128"/>
      <c r="AI158" s="147"/>
      <c r="AJ158" s="128"/>
      <c r="AK158" s="128"/>
      <c r="AL158" s="147"/>
      <c r="AM158" s="131"/>
      <c r="AN158" s="128"/>
      <c r="AO158" s="131"/>
      <c r="AP158" s="131"/>
      <c r="AQ158" s="131"/>
      <c r="AR158" s="131"/>
      <c r="AS158" s="131"/>
      <c r="AT158" s="131"/>
      <c r="AU158" s="131"/>
      <c r="AV158" s="131"/>
      <c r="AW158" s="131"/>
      <c r="AX158" s="131"/>
      <c r="AY158" s="131"/>
      <c r="AZ158" s="131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16"/>
      <c r="CK158" s="16"/>
      <c r="CL158" s="16"/>
      <c r="CM158" s="16"/>
      <c r="CN158" s="16"/>
      <c r="CO158" s="16"/>
      <c r="CP158" s="16"/>
      <c r="CQ158" s="128" t="n">
        <v>3</v>
      </c>
      <c r="CR158" s="128" t="n">
        <v>2</v>
      </c>
      <c r="CS158" s="131" t="s">
        <v>473</v>
      </c>
      <c r="CT158" s="52"/>
      <c r="CU158" s="52"/>
      <c r="CV158" s="52"/>
      <c r="CW158" s="52"/>
      <c r="CX158" s="52"/>
      <c r="CY158" s="52"/>
      <c r="CZ158" s="52"/>
      <c r="DA158" s="52"/>
      <c r="DB158" s="52"/>
      <c r="DC158" s="52"/>
      <c r="DD158" s="52"/>
      <c r="DE158" s="52"/>
      <c r="DF158" s="52"/>
      <c r="DG158" s="52"/>
      <c r="DH158" s="52"/>
      <c r="DI158" s="52"/>
      <c r="DJ158" s="52"/>
      <c r="DK158" s="52"/>
      <c r="DL158" s="52"/>
      <c r="DM158" s="52"/>
      <c r="DN158" s="52"/>
      <c r="DO158" s="52"/>
      <c r="DP158" s="52"/>
      <c r="DQ158" s="52"/>
      <c r="DR158" s="52"/>
      <c r="DS158" s="52"/>
      <c r="DT158" s="52"/>
      <c r="DU158" s="52"/>
      <c r="DV158" s="52"/>
      <c r="DW158" s="52"/>
      <c r="DX158" s="52"/>
      <c r="DY158" s="52"/>
      <c r="DZ158" s="52"/>
      <c r="EA158" s="52"/>
      <c r="EB158" s="52"/>
      <c r="EC158" s="52"/>
      <c r="ED158" s="52"/>
      <c r="EE158" s="52"/>
      <c r="EF158" s="52"/>
      <c r="EG158" s="52"/>
      <c r="EH158" s="52"/>
      <c r="EI158" s="52"/>
      <c r="EJ158" s="52"/>
      <c r="EK158" s="52"/>
      <c r="EL158" s="52"/>
      <c r="EM158" s="52"/>
      <c r="EN158" s="52"/>
      <c r="EO158" s="52"/>
      <c r="EP158" s="52"/>
      <c r="EQ158" s="52"/>
      <c r="ER158" s="52"/>
      <c r="ES158" s="52"/>
      <c r="ET158" s="52"/>
      <c r="EU158" s="52"/>
      <c r="EV158" s="52"/>
      <c r="EW158" s="52"/>
      <c r="EX158" s="52"/>
      <c r="EY158" s="52"/>
      <c r="EZ158" s="52"/>
      <c r="FA158" s="52"/>
      <c r="FB158" s="128" t="n">
        <v>3</v>
      </c>
      <c r="FC158" s="128" t="n">
        <v>2</v>
      </c>
      <c r="FD158" s="131" t="s">
        <v>607</v>
      </c>
      <c r="FE158" s="52"/>
      <c r="FF158" s="52"/>
      <c r="FG158" s="52"/>
      <c r="FH158" s="52"/>
      <c r="FI158" s="52"/>
      <c r="FJ158" s="52"/>
      <c r="FK158" s="52"/>
      <c r="FL158" s="52"/>
      <c r="FM158" s="52"/>
      <c r="FN158" s="52"/>
      <c r="FO158" s="52"/>
      <c r="FP158" s="52"/>
      <c r="FQ158" s="52"/>
      <c r="FR158" s="52"/>
      <c r="FS158" s="52"/>
      <c r="FT158" s="52"/>
      <c r="FU158" s="52"/>
      <c r="FV158" s="52"/>
      <c r="FW158" s="52"/>
      <c r="FX158" s="52"/>
      <c r="FY158" s="52"/>
      <c r="FZ158" s="52"/>
      <c r="GA158" s="52"/>
      <c r="GB158" s="52"/>
      <c r="GC158" s="52"/>
      <c r="GD158" s="52"/>
      <c r="GE158" s="52"/>
      <c r="GF158" s="52"/>
      <c r="GG158" s="52"/>
      <c r="GH158" s="52"/>
      <c r="GI158" s="52"/>
      <c r="GJ158" s="52"/>
      <c r="GK158" s="52"/>
      <c r="GL158" s="52"/>
      <c r="GM158" s="52"/>
      <c r="GN158" s="52"/>
      <c r="GO158" s="52"/>
      <c r="GP158" s="52"/>
      <c r="GQ158" s="52"/>
      <c r="GR158" s="52"/>
      <c r="GS158" s="52"/>
      <c r="GT158" s="52"/>
      <c r="GU158" s="52"/>
      <c r="GV158" s="52"/>
      <c r="GW158" s="52"/>
      <c r="GX158" s="52"/>
      <c r="GY158" s="52"/>
      <c r="GZ158" s="52"/>
      <c r="HA158" s="52"/>
      <c r="HB158" s="52"/>
      <c r="HC158" s="52"/>
      <c r="HD158" s="52"/>
      <c r="HE158" s="52"/>
      <c r="HF158" s="52"/>
      <c r="HG158" s="52"/>
      <c r="HH158" s="52"/>
      <c r="HI158" s="52"/>
      <c r="HJ158" s="52"/>
      <c r="HK158" s="52"/>
      <c r="HL158" s="52"/>
      <c r="HM158" s="128" t="n">
        <v>3</v>
      </c>
      <c r="HN158" s="128" t="n">
        <v>1</v>
      </c>
      <c r="HO158" s="131" t="s">
        <v>607</v>
      </c>
      <c r="HP158" s="52"/>
      <c r="HQ158" s="52"/>
      <c r="HR158" s="52"/>
      <c r="HS158" s="52"/>
      <c r="HT158" s="131"/>
      <c r="HU158" s="128"/>
      <c r="HV158" s="131"/>
      <c r="HW158" s="131"/>
      <c r="HX158" s="131"/>
      <c r="HY158" s="131"/>
      <c r="HZ158" s="131"/>
    </row>
    <row r="159" customFormat="false" ht="12.8" hidden="false" customHeight="false" outlineLevel="0" collapsed="false">
      <c r="A159" s="16" t="s">
        <v>258</v>
      </c>
      <c r="B159" s="17" t="s">
        <v>93</v>
      </c>
      <c r="C159" s="140" t="s">
        <v>306</v>
      </c>
      <c r="D159" s="16" t="s">
        <v>307</v>
      </c>
      <c r="E159" s="156" t="s">
        <v>89</v>
      </c>
      <c r="F159" s="17" t="s">
        <v>197</v>
      </c>
      <c r="G159" s="154" t="s">
        <v>648</v>
      </c>
      <c r="H159" s="150"/>
      <c r="I159" s="150"/>
      <c r="J159" s="150"/>
      <c r="K159" s="128" t="n">
        <v>6500</v>
      </c>
      <c r="L159" s="18" t="n">
        <v>0</v>
      </c>
      <c r="M159" s="18" t="n">
        <f aca="false">IF(AD159,1,0)+IF(AK159,1,0)+AN159+AU159+BB159+BI159+BP159+BW159+CD159+CK159+CR159+CY159+DF159+DM159+DT159+EA159+EH159+EO159+EV159+FC159+FJ159+FQ159+FX159+GE159+GL159+GS159+GZ159+HG159+HN159+HU159</f>
        <v>0</v>
      </c>
      <c r="N159" s="131"/>
      <c r="O159" s="147" t="n">
        <v>1800</v>
      </c>
      <c r="P159" s="147" t="n">
        <v>0</v>
      </c>
      <c r="Q159" s="147" t="n">
        <v>53</v>
      </c>
      <c r="R159" s="21" t="s">
        <v>44</v>
      </c>
      <c r="S159" s="18"/>
      <c r="T159" s="18"/>
      <c r="U159" s="18"/>
      <c r="V159" s="18"/>
      <c r="W159" s="18"/>
      <c r="X159" s="18"/>
      <c r="Y159" s="128"/>
      <c r="Z159" s="18"/>
      <c r="AA159" s="18"/>
      <c r="AB159" s="18"/>
      <c r="AC159" s="131"/>
      <c r="AD159" s="128"/>
      <c r="AE159" s="128"/>
      <c r="AF159" s="128"/>
      <c r="AG159" s="128"/>
      <c r="AH159" s="128"/>
      <c r="AI159" s="147"/>
      <c r="AJ159" s="128"/>
      <c r="AK159" s="128"/>
      <c r="AL159" s="147"/>
      <c r="AM159" s="131"/>
      <c r="AN159" s="128"/>
      <c r="AO159" s="131"/>
      <c r="AP159" s="131"/>
      <c r="AQ159" s="131"/>
      <c r="AR159" s="131"/>
      <c r="AS159" s="131"/>
      <c r="AT159" s="131"/>
      <c r="AU159" s="131"/>
      <c r="AV159" s="131"/>
      <c r="AW159" s="131"/>
      <c r="AX159" s="131"/>
      <c r="AY159" s="131"/>
      <c r="AZ159" s="131"/>
      <c r="BA159" s="131"/>
      <c r="BB159" s="128"/>
      <c r="BC159" s="131"/>
      <c r="BD159" s="131"/>
      <c r="BE159" s="131"/>
      <c r="BF159" s="131"/>
      <c r="BG159" s="131"/>
      <c r="BH159" s="131"/>
      <c r="BI159" s="131"/>
      <c r="BJ159" s="131"/>
      <c r="BK159" s="131"/>
      <c r="BL159" s="131"/>
      <c r="BM159" s="131"/>
      <c r="BN159" s="131"/>
      <c r="BO159" s="131"/>
      <c r="BP159" s="131"/>
      <c r="BQ159" s="131"/>
      <c r="BR159" s="131"/>
      <c r="BS159" s="131"/>
      <c r="BT159" s="131"/>
      <c r="BU159" s="131"/>
      <c r="BV159" s="131"/>
      <c r="BW159" s="131"/>
      <c r="BX159" s="131"/>
      <c r="BY159" s="131"/>
      <c r="BZ159" s="131"/>
      <c r="CA159" s="131"/>
      <c r="CB159" s="131"/>
      <c r="CC159" s="131"/>
      <c r="CD159" s="131"/>
      <c r="CE159" s="131"/>
      <c r="CF159" s="131"/>
      <c r="CG159" s="131"/>
      <c r="CH159" s="131"/>
      <c r="CI159" s="131"/>
      <c r="CJ159" s="131"/>
      <c r="CK159" s="131"/>
      <c r="CL159" s="131"/>
      <c r="CM159" s="131"/>
      <c r="CN159" s="131"/>
      <c r="CO159" s="131"/>
      <c r="CP159" s="131"/>
      <c r="CQ159" s="131"/>
      <c r="CR159" s="128"/>
      <c r="CS159" s="131"/>
      <c r="CT159" s="131"/>
      <c r="CU159" s="131"/>
      <c r="CV159" s="131"/>
      <c r="CW159" s="131"/>
      <c r="CX159" s="131"/>
      <c r="CY159" s="131"/>
      <c r="CZ159" s="131"/>
      <c r="DA159" s="131"/>
      <c r="DB159" s="131"/>
      <c r="DC159" s="131"/>
      <c r="DD159" s="131"/>
      <c r="DE159" s="131"/>
      <c r="DF159" s="131"/>
      <c r="DG159" s="131"/>
      <c r="DH159" s="131"/>
      <c r="DI159" s="131"/>
      <c r="DJ159" s="131"/>
      <c r="DK159" s="131"/>
      <c r="DL159" s="131"/>
      <c r="DM159" s="131"/>
      <c r="DN159" s="131"/>
      <c r="DO159" s="131"/>
      <c r="DP159" s="131"/>
      <c r="DQ159" s="131"/>
      <c r="DR159" s="131"/>
      <c r="DS159" s="131"/>
      <c r="DT159" s="131"/>
      <c r="DU159" s="131"/>
      <c r="DV159" s="131"/>
      <c r="DW159" s="131"/>
      <c r="DX159" s="131"/>
      <c r="DY159" s="131"/>
      <c r="DZ159" s="131"/>
      <c r="EA159" s="131"/>
      <c r="EB159" s="131"/>
      <c r="EC159" s="131"/>
      <c r="ED159" s="131"/>
      <c r="EE159" s="131"/>
      <c r="EF159" s="131"/>
      <c r="EG159" s="131"/>
      <c r="EH159" s="131"/>
      <c r="EI159" s="131"/>
      <c r="EJ159" s="131"/>
      <c r="EK159" s="131"/>
      <c r="EL159" s="131"/>
      <c r="EM159" s="131"/>
      <c r="EN159" s="131"/>
      <c r="EO159" s="131"/>
      <c r="EP159" s="131"/>
      <c r="EQ159" s="131"/>
      <c r="ER159" s="131"/>
      <c r="ES159" s="131"/>
      <c r="ET159" s="131"/>
      <c r="EU159" s="131"/>
      <c r="EV159" s="131"/>
      <c r="EW159" s="131"/>
      <c r="EX159" s="131"/>
      <c r="EY159" s="131"/>
      <c r="EZ159" s="131"/>
      <c r="FA159" s="131"/>
      <c r="FB159" s="131"/>
      <c r="FC159" s="128"/>
      <c r="FD159" s="131"/>
      <c r="FE159" s="131"/>
      <c r="FF159" s="131"/>
      <c r="FG159" s="131"/>
      <c r="FH159" s="131"/>
      <c r="FI159" s="131"/>
      <c r="FJ159" s="131"/>
      <c r="FK159" s="131"/>
      <c r="FL159" s="131"/>
      <c r="FM159" s="131"/>
      <c r="FN159" s="131"/>
      <c r="FO159" s="131"/>
      <c r="FP159" s="131"/>
      <c r="FQ159" s="131"/>
      <c r="FR159" s="131"/>
      <c r="FS159" s="131"/>
      <c r="FT159" s="131"/>
      <c r="FU159" s="131"/>
      <c r="FV159" s="131"/>
      <c r="FW159" s="131"/>
      <c r="FX159" s="131"/>
      <c r="FY159" s="131"/>
      <c r="FZ159" s="131"/>
      <c r="GA159" s="131"/>
      <c r="GB159" s="131"/>
      <c r="GC159" s="131"/>
      <c r="GD159" s="131"/>
      <c r="GE159" s="131"/>
      <c r="GF159" s="131"/>
      <c r="GG159" s="131"/>
      <c r="GH159" s="131"/>
      <c r="GI159" s="131"/>
      <c r="GJ159" s="131"/>
      <c r="GK159" s="131"/>
      <c r="GL159" s="131"/>
      <c r="GM159" s="131"/>
      <c r="GN159" s="131"/>
      <c r="GO159" s="131"/>
      <c r="GP159" s="131"/>
      <c r="GQ159" s="131"/>
      <c r="GR159" s="131"/>
      <c r="GS159" s="131"/>
      <c r="GT159" s="131"/>
      <c r="GU159" s="131"/>
      <c r="GV159" s="131"/>
      <c r="GW159" s="131"/>
      <c r="GX159" s="131"/>
      <c r="GY159" s="131"/>
      <c r="GZ159" s="131"/>
      <c r="HA159" s="131"/>
      <c r="HB159" s="131"/>
      <c r="HC159" s="131"/>
      <c r="HD159" s="131"/>
      <c r="HE159" s="131"/>
      <c r="HF159" s="131"/>
      <c r="HG159" s="128"/>
      <c r="HH159" s="131"/>
      <c r="HI159" s="131"/>
      <c r="HJ159" s="131"/>
      <c r="HK159" s="131"/>
      <c r="HL159" s="131"/>
      <c r="HM159" s="131"/>
      <c r="HN159" s="128"/>
      <c r="HO159" s="131"/>
      <c r="HP159" s="131"/>
      <c r="HQ159" s="131"/>
      <c r="HR159" s="131"/>
      <c r="HS159" s="131"/>
      <c r="HT159" s="131"/>
      <c r="HU159" s="128"/>
      <c r="HV159" s="131"/>
      <c r="HW159" s="131"/>
      <c r="HX159" s="131"/>
      <c r="HY159" s="131"/>
      <c r="HZ159" s="131"/>
    </row>
    <row r="160" customFormat="false" ht="12.8" hidden="true" customHeight="false" outlineLevel="0" collapsed="false">
      <c r="A160" s="32" t="s">
        <v>308</v>
      </c>
      <c r="B160" s="33" t="s">
        <v>113</v>
      </c>
      <c r="C160" s="33" t="s">
        <v>309</v>
      </c>
      <c r="D160" s="33" t="s">
        <v>310</v>
      </c>
      <c r="E160" s="34" t="s">
        <v>84</v>
      </c>
      <c r="F160" s="35" t="s">
        <v>85</v>
      </c>
      <c r="G160" s="157"/>
      <c r="H160" s="150"/>
      <c r="I160" s="150"/>
      <c r="J160" s="150"/>
      <c r="K160" s="39"/>
      <c r="L160" s="18"/>
      <c r="M160" s="18" t="n">
        <f aca="false">IF(AD160,1,0)+IF(AK160,1,0)+AN160+AU160+BB160+BI160+BP160+BW160+CD160+CK160+CR160+CY160+DF160+DM160+DT160+EA160+EH160+EO160+EV160+FC160+FJ160+FQ160+FX160+GE160+GL160+GS160+GZ160+HG160+HN160+HU160</f>
        <v>0</v>
      </c>
      <c r="N160" s="131"/>
      <c r="O160" s="147"/>
      <c r="P160" s="147"/>
      <c r="Q160" s="147"/>
      <c r="R160" s="12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31"/>
      <c r="AD160" s="128"/>
      <c r="AE160" s="128"/>
      <c r="AF160" s="128"/>
      <c r="AG160" s="128"/>
      <c r="AH160" s="128"/>
      <c r="AI160" s="147"/>
      <c r="AJ160" s="128"/>
      <c r="AK160" s="128"/>
      <c r="AL160" s="147"/>
      <c r="AM160" s="131"/>
      <c r="AN160" s="128"/>
      <c r="AO160" s="131"/>
      <c r="AP160" s="131"/>
      <c r="AQ160" s="131"/>
      <c r="AR160" s="131"/>
      <c r="AS160" s="131"/>
      <c r="AT160" s="131"/>
      <c r="AU160" s="131"/>
      <c r="AV160" s="131"/>
      <c r="AW160" s="131"/>
      <c r="AX160" s="131"/>
      <c r="AY160" s="131"/>
      <c r="AZ160" s="131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16"/>
      <c r="CK160" s="16"/>
      <c r="CL160" s="16"/>
      <c r="CM160" s="16"/>
      <c r="CN160" s="16"/>
      <c r="CO160" s="16"/>
      <c r="CP160" s="16"/>
      <c r="CQ160" s="52"/>
      <c r="CR160" s="52"/>
      <c r="CS160" s="52"/>
      <c r="CT160" s="52"/>
      <c r="CU160" s="52"/>
      <c r="CV160" s="52"/>
      <c r="CW160" s="52"/>
      <c r="CX160" s="52"/>
      <c r="CY160" s="52"/>
      <c r="CZ160" s="52"/>
      <c r="DA160" s="52"/>
      <c r="DB160" s="52"/>
      <c r="DC160" s="52"/>
      <c r="DD160" s="52"/>
      <c r="DE160" s="52"/>
      <c r="DF160" s="52"/>
      <c r="DG160" s="52"/>
      <c r="DH160" s="52"/>
      <c r="DI160" s="52"/>
      <c r="DJ160" s="52"/>
      <c r="DK160" s="52"/>
      <c r="DL160" s="52"/>
      <c r="DM160" s="52"/>
      <c r="DN160" s="52"/>
      <c r="DO160" s="52"/>
      <c r="DP160" s="52"/>
      <c r="DQ160" s="52"/>
      <c r="DR160" s="52"/>
      <c r="DS160" s="52"/>
      <c r="DT160" s="52"/>
      <c r="DU160" s="52"/>
      <c r="DV160" s="52"/>
      <c r="DW160" s="52"/>
      <c r="DX160" s="52"/>
      <c r="DY160" s="52"/>
      <c r="DZ160" s="52"/>
      <c r="EA160" s="52"/>
      <c r="EB160" s="52"/>
      <c r="EC160" s="52"/>
      <c r="ED160" s="52"/>
      <c r="EE160" s="52"/>
      <c r="EF160" s="52"/>
      <c r="EG160" s="52"/>
      <c r="EH160" s="52"/>
      <c r="EI160" s="52"/>
      <c r="EJ160" s="52"/>
      <c r="EK160" s="52"/>
      <c r="EL160" s="52"/>
      <c r="EM160" s="52"/>
      <c r="EN160" s="52"/>
      <c r="EO160" s="52"/>
      <c r="EP160" s="52"/>
      <c r="EQ160" s="52"/>
      <c r="ER160" s="52"/>
      <c r="ES160" s="52"/>
      <c r="ET160" s="52"/>
      <c r="EU160" s="52"/>
      <c r="EV160" s="52"/>
      <c r="EW160" s="52"/>
      <c r="EX160" s="52"/>
      <c r="EY160" s="52"/>
      <c r="EZ160" s="52"/>
      <c r="FA160" s="52"/>
      <c r="FB160" s="52"/>
      <c r="FC160" s="52"/>
      <c r="FD160" s="52"/>
      <c r="FE160" s="52"/>
      <c r="FF160" s="52"/>
      <c r="FG160" s="52"/>
      <c r="FH160" s="52"/>
      <c r="FI160" s="52"/>
      <c r="FJ160" s="52"/>
      <c r="FK160" s="52"/>
      <c r="FL160" s="52"/>
      <c r="FM160" s="52"/>
      <c r="FN160" s="52"/>
      <c r="FO160" s="52"/>
      <c r="FP160" s="52"/>
      <c r="FQ160" s="52"/>
      <c r="FR160" s="52"/>
      <c r="FS160" s="52"/>
      <c r="FT160" s="52"/>
      <c r="FU160" s="52"/>
      <c r="FV160" s="52"/>
      <c r="FW160" s="52"/>
      <c r="FX160" s="52"/>
      <c r="FY160" s="52"/>
      <c r="FZ160" s="52"/>
      <c r="GA160" s="52"/>
      <c r="GB160" s="52"/>
      <c r="GC160" s="52"/>
      <c r="GD160" s="52"/>
      <c r="GE160" s="52"/>
      <c r="GF160" s="52"/>
      <c r="GG160" s="52"/>
      <c r="GH160" s="52"/>
      <c r="GI160" s="52"/>
      <c r="GJ160" s="52"/>
      <c r="GK160" s="52"/>
      <c r="GL160" s="52"/>
      <c r="GM160" s="52"/>
      <c r="GN160" s="52"/>
      <c r="GO160" s="52"/>
      <c r="GP160" s="52"/>
      <c r="GQ160" s="52"/>
      <c r="GR160" s="52"/>
      <c r="GS160" s="52"/>
      <c r="GT160" s="52"/>
      <c r="GU160" s="52"/>
      <c r="GV160" s="52"/>
      <c r="GW160" s="52"/>
      <c r="GX160" s="52"/>
      <c r="GY160" s="52"/>
      <c r="GZ160" s="52"/>
      <c r="HA160" s="52"/>
      <c r="HB160" s="52"/>
      <c r="HC160" s="52"/>
      <c r="HD160" s="52"/>
      <c r="HE160" s="52"/>
      <c r="HF160" s="52"/>
      <c r="HG160" s="52"/>
      <c r="HH160" s="52"/>
      <c r="HI160" s="52"/>
      <c r="HJ160" s="52"/>
      <c r="HK160" s="52"/>
      <c r="HL160" s="52"/>
      <c r="HM160" s="52"/>
      <c r="HN160" s="52"/>
      <c r="HO160" s="52"/>
      <c r="HP160" s="52"/>
      <c r="HQ160" s="52"/>
      <c r="HR160" s="52"/>
      <c r="HS160" s="52"/>
      <c r="HT160" s="131"/>
      <c r="HU160" s="128"/>
      <c r="HV160" s="131"/>
      <c r="HW160" s="131"/>
      <c r="HX160" s="131"/>
      <c r="HY160" s="131"/>
      <c r="HZ160" s="131"/>
    </row>
    <row r="161" customFormat="false" ht="12.8" hidden="true" customHeight="false" outlineLevel="0" collapsed="false">
      <c r="A161" s="152" t="s">
        <v>311</v>
      </c>
      <c r="B161" s="153" t="s">
        <v>98</v>
      </c>
      <c r="C161" s="153" t="s">
        <v>312</v>
      </c>
      <c r="D161" s="153" t="s">
        <v>313</v>
      </c>
      <c r="E161" s="130" t="s">
        <v>84</v>
      </c>
      <c r="F161" s="17" t="s">
        <v>85</v>
      </c>
      <c r="G161" s="154" t="s">
        <v>756</v>
      </c>
      <c r="H161" s="150"/>
      <c r="I161" s="150" t="s">
        <v>553</v>
      </c>
      <c r="J161" s="148" t="s">
        <v>92</v>
      </c>
      <c r="K161" s="39" t="n">
        <v>13000</v>
      </c>
      <c r="L161" s="18" t="n">
        <v>6</v>
      </c>
      <c r="M161" s="18" t="n">
        <f aca="false">IF(AD161,1,0)+IF(AK161,1,0)+AN161+AU161+BB161+BI161+BP161+BW161+CD161+CK161+CR161+CY161+DF161+DM161+DT161+EA161+EH161+EO161+EV161+FC161+FJ161+FQ161+FX161+GE161+GL161+GS161+GZ161+HG161+HN161+HU161</f>
        <v>0</v>
      </c>
      <c r="N161" s="131"/>
      <c r="O161" s="147" t="n">
        <v>24000</v>
      </c>
      <c r="P161" s="147" t="n">
        <v>0</v>
      </c>
      <c r="Q161" s="147" t="n">
        <v>1920</v>
      </c>
      <c r="R161" s="21" t="s">
        <v>45</v>
      </c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23" t="s">
        <v>654</v>
      </c>
      <c r="AD161" s="128" t="n">
        <v>25</v>
      </c>
      <c r="AE161" s="128"/>
      <c r="AF161" s="128" t="n">
        <v>90</v>
      </c>
      <c r="AG161" s="128" t="n">
        <v>15</v>
      </c>
      <c r="AH161" s="128"/>
      <c r="AI161" s="147" t="s">
        <v>655</v>
      </c>
      <c r="AJ161" s="128"/>
      <c r="AK161" s="128"/>
      <c r="AL161" s="147"/>
      <c r="AM161" s="131"/>
      <c r="AN161" s="128"/>
      <c r="AO161" s="131"/>
      <c r="AP161" s="131"/>
      <c r="AQ161" s="131"/>
      <c r="AR161" s="131"/>
      <c r="AS161" s="131"/>
      <c r="AT161" s="131"/>
      <c r="AU161" s="131"/>
      <c r="AV161" s="131"/>
      <c r="AW161" s="131"/>
      <c r="AX161" s="131"/>
      <c r="AY161" s="131"/>
      <c r="AZ161" s="131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128" t="n">
        <v>12</v>
      </c>
      <c r="BW161" s="128" t="n">
        <v>1</v>
      </c>
      <c r="BX161" s="131" t="s">
        <v>399</v>
      </c>
      <c r="BY161" s="131" t="s">
        <v>615</v>
      </c>
      <c r="BZ161" s="131" t="s">
        <v>380</v>
      </c>
      <c r="CA161" s="131" t="s">
        <v>757</v>
      </c>
      <c r="CB161" s="131" t="s">
        <v>758</v>
      </c>
      <c r="CC161" s="52"/>
      <c r="CD161" s="52"/>
      <c r="CE161" s="52"/>
      <c r="CF161" s="52"/>
      <c r="CG161" s="52"/>
      <c r="CH161" s="52"/>
      <c r="CI161" s="52"/>
      <c r="CJ161" s="16"/>
      <c r="CK161" s="16"/>
      <c r="CL161" s="16"/>
      <c r="CM161" s="16"/>
      <c r="CN161" s="16"/>
      <c r="CO161" s="16"/>
      <c r="CP161" s="16"/>
      <c r="CQ161" s="52"/>
      <c r="CR161" s="52"/>
      <c r="CS161" s="52"/>
      <c r="CT161" s="52"/>
      <c r="CU161" s="52"/>
      <c r="CV161" s="52"/>
      <c r="CW161" s="52"/>
      <c r="CX161" s="52"/>
      <c r="CY161" s="52"/>
      <c r="CZ161" s="52"/>
      <c r="DA161" s="52"/>
      <c r="DB161" s="52"/>
      <c r="DC161" s="52"/>
      <c r="DD161" s="52"/>
      <c r="DE161" s="128" t="n">
        <v>12</v>
      </c>
      <c r="DF161" s="128" t="n">
        <v>3</v>
      </c>
      <c r="DG161" s="131" t="s">
        <v>381</v>
      </c>
      <c r="DH161" s="131" t="s">
        <v>382</v>
      </c>
      <c r="DI161" s="131" t="s">
        <v>383</v>
      </c>
      <c r="DJ161" s="131" t="s">
        <v>397</v>
      </c>
      <c r="DK161" s="131" t="s">
        <v>473</v>
      </c>
      <c r="DL161" s="52"/>
      <c r="DM161" s="52"/>
      <c r="DN161" s="52"/>
      <c r="DO161" s="52"/>
      <c r="DP161" s="52"/>
      <c r="DQ161" s="52"/>
      <c r="DR161" s="52"/>
      <c r="DS161" s="52"/>
      <c r="DT161" s="52"/>
      <c r="DU161" s="52"/>
      <c r="DV161" s="52"/>
      <c r="DW161" s="52"/>
      <c r="DX161" s="52"/>
      <c r="DY161" s="52"/>
      <c r="DZ161" s="52"/>
      <c r="EA161" s="52"/>
      <c r="EB161" s="52"/>
      <c r="EC161" s="52"/>
      <c r="ED161" s="52"/>
      <c r="EE161" s="52"/>
      <c r="EF161" s="52"/>
      <c r="EG161" s="52"/>
      <c r="EH161" s="52"/>
      <c r="EI161" s="52"/>
      <c r="EJ161" s="52"/>
      <c r="EK161" s="52"/>
      <c r="EL161" s="52"/>
      <c r="EM161" s="52"/>
      <c r="EN161" s="52"/>
      <c r="EO161" s="52"/>
      <c r="EP161" s="52"/>
      <c r="EQ161" s="52"/>
      <c r="ER161" s="52"/>
      <c r="ES161" s="52"/>
      <c r="ET161" s="52"/>
      <c r="EU161" s="52"/>
      <c r="EV161" s="52"/>
      <c r="EW161" s="52"/>
      <c r="EX161" s="52"/>
      <c r="EY161" s="52"/>
      <c r="EZ161" s="52"/>
      <c r="FA161" s="52"/>
      <c r="FB161" s="128" t="n">
        <v>12</v>
      </c>
      <c r="FC161" s="128" t="n">
        <v>1</v>
      </c>
      <c r="FD161" s="131" t="s">
        <v>572</v>
      </c>
      <c r="FE161" s="131" t="s">
        <v>383</v>
      </c>
      <c r="FF161" s="131" t="s">
        <v>573</v>
      </c>
      <c r="FG161" s="131" t="s">
        <v>606</v>
      </c>
      <c r="FH161" s="131" t="s">
        <v>607</v>
      </c>
      <c r="FI161" s="52"/>
      <c r="FJ161" s="52"/>
      <c r="FK161" s="52"/>
      <c r="FL161" s="52"/>
      <c r="FM161" s="52"/>
      <c r="FN161" s="52"/>
      <c r="FO161" s="52"/>
      <c r="FP161" s="52"/>
      <c r="FQ161" s="52"/>
      <c r="FR161" s="52"/>
      <c r="FS161" s="52"/>
      <c r="FT161" s="52"/>
      <c r="FU161" s="52"/>
      <c r="FV161" s="52"/>
      <c r="FW161" s="52"/>
      <c r="FX161" s="52"/>
      <c r="FY161" s="52"/>
      <c r="FZ161" s="52"/>
      <c r="GA161" s="52"/>
      <c r="GB161" s="52"/>
      <c r="GC161" s="52"/>
      <c r="GD161" s="52"/>
      <c r="GE161" s="52"/>
      <c r="GF161" s="52"/>
      <c r="GG161" s="52"/>
      <c r="GH161" s="52"/>
      <c r="GI161" s="52"/>
      <c r="GJ161" s="52"/>
      <c r="GK161" s="52"/>
      <c r="GL161" s="52"/>
      <c r="GM161" s="52"/>
      <c r="GN161" s="52"/>
      <c r="GO161" s="52"/>
      <c r="GP161" s="52"/>
      <c r="GQ161" s="52"/>
      <c r="GR161" s="52"/>
      <c r="GS161" s="52"/>
      <c r="GT161" s="52"/>
      <c r="GU161" s="52"/>
      <c r="GV161" s="52"/>
      <c r="GW161" s="52"/>
      <c r="GX161" s="52"/>
      <c r="GY161" s="52"/>
      <c r="GZ161" s="52"/>
      <c r="HA161" s="52"/>
      <c r="HB161" s="52"/>
      <c r="HC161" s="52"/>
      <c r="HD161" s="52"/>
      <c r="HE161" s="52"/>
      <c r="HF161" s="52"/>
      <c r="HG161" s="52"/>
      <c r="HH161" s="52"/>
      <c r="HI161" s="52"/>
      <c r="HJ161" s="52"/>
      <c r="HK161" s="52"/>
      <c r="HL161" s="52"/>
      <c r="HM161" s="39" t="n">
        <v>12</v>
      </c>
      <c r="HN161" s="128" t="n">
        <v>1</v>
      </c>
      <c r="HO161" s="131" t="s">
        <v>572</v>
      </c>
      <c r="HP161" s="131" t="s">
        <v>383</v>
      </c>
      <c r="HQ161" s="131" t="s">
        <v>573</v>
      </c>
      <c r="HR161" s="131" t="s">
        <v>606</v>
      </c>
      <c r="HS161" s="131" t="s">
        <v>607</v>
      </c>
      <c r="HT161" s="39" t="n">
        <v>12</v>
      </c>
      <c r="HU161" s="128" t="n">
        <v>1</v>
      </c>
      <c r="HV161" s="131" t="s">
        <v>572</v>
      </c>
      <c r="HW161" s="131" t="s">
        <v>383</v>
      </c>
      <c r="HX161" s="131" t="s">
        <v>573</v>
      </c>
      <c r="HY161" s="131" t="s">
        <v>606</v>
      </c>
      <c r="HZ161" s="131" t="s">
        <v>607</v>
      </c>
    </row>
    <row r="162" customFormat="false" ht="12.8" hidden="true" customHeight="false" outlineLevel="0" collapsed="false">
      <c r="A162" s="152" t="s">
        <v>311</v>
      </c>
      <c r="B162" s="153" t="s">
        <v>98</v>
      </c>
      <c r="C162" s="153" t="s">
        <v>312</v>
      </c>
      <c r="D162" s="153" t="s">
        <v>313</v>
      </c>
      <c r="E162" s="130" t="s">
        <v>84</v>
      </c>
      <c r="F162" s="17" t="s">
        <v>85</v>
      </c>
      <c r="G162" s="154" t="s">
        <v>759</v>
      </c>
      <c r="H162" s="148" t="s">
        <v>92</v>
      </c>
      <c r="I162" s="150" t="s">
        <v>760</v>
      </c>
      <c r="J162" s="148" t="s">
        <v>92</v>
      </c>
      <c r="K162" s="39" t="n">
        <v>13000</v>
      </c>
      <c r="L162" s="18" t="n">
        <v>6</v>
      </c>
      <c r="M162" s="18" t="n">
        <f aca="false">IF(AD162,1,0)+IF(AK162,1,0)+AN162+AU162+BB162+BI162+BP162+BW162+CD162+CK162+CR162+CY162+DF162+DM162+DT162+EA162+EH162+EO162+EV162+FC162+FJ162+FQ162+FX162+GE162+GL162+GS162+GZ162+HG162+HN162+HU162</f>
        <v>0</v>
      </c>
      <c r="N162" s="131"/>
      <c r="O162" s="147" t="n">
        <v>9000</v>
      </c>
      <c r="P162" s="147" t="n">
        <v>0</v>
      </c>
      <c r="Q162" s="147" t="n">
        <v>1890</v>
      </c>
      <c r="R162" s="21" t="s">
        <v>734</v>
      </c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31"/>
      <c r="AD162" s="128"/>
      <c r="AE162" s="128"/>
      <c r="AF162" s="128"/>
      <c r="AG162" s="128"/>
      <c r="AH162" s="128"/>
      <c r="AI162" s="147"/>
      <c r="AJ162" s="128"/>
      <c r="AK162" s="128"/>
      <c r="AL162" s="147"/>
      <c r="AM162" s="128" t="n">
        <v>5</v>
      </c>
      <c r="AN162" s="128" t="n">
        <v>1</v>
      </c>
      <c r="AO162" s="131" t="s">
        <v>745</v>
      </c>
      <c r="AP162" s="131" t="s">
        <v>746</v>
      </c>
      <c r="AQ162" s="131" t="s">
        <v>747</v>
      </c>
      <c r="AR162" s="131" t="s">
        <v>761</v>
      </c>
      <c r="AS162" s="131" t="s">
        <v>762</v>
      </c>
      <c r="AT162" s="128" t="n">
        <v>5</v>
      </c>
      <c r="AU162" s="128" t="n">
        <v>1</v>
      </c>
      <c r="AV162" s="131" t="s">
        <v>410</v>
      </c>
      <c r="AW162" s="131" t="s">
        <v>453</v>
      </c>
      <c r="AX162" s="131" t="s">
        <v>489</v>
      </c>
      <c r="AY162" s="131" t="s">
        <v>447</v>
      </c>
      <c r="AZ162" s="131" t="s">
        <v>579</v>
      </c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16"/>
      <c r="CK162" s="16"/>
      <c r="CL162" s="16"/>
      <c r="CM162" s="16"/>
      <c r="CN162" s="16"/>
      <c r="CO162" s="16"/>
      <c r="CP162" s="16"/>
      <c r="CQ162" s="52"/>
      <c r="CR162" s="52"/>
      <c r="CS162" s="52"/>
      <c r="CT162" s="52"/>
      <c r="CU162" s="52"/>
      <c r="CV162" s="52"/>
      <c r="CW162" s="52"/>
      <c r="CX162" s="52"/>
      <c r="CY162" s="52"/>
      <c r="CZ162" s="52"/>
      <c r="DA162" s="52"/>
      <c r="DB162" s="52"/>
      <c r="DC162" s="52"/>
      <c r="DD162" s="52"/>
      <c r="DE162" s="52"/>
      <c r="DF162" s="52"/>
      <c r="DG162" s="52"/>
      <c r="DH162" s="52"/>
      <c r="DI162" s="52"/>
      <c r="DJ162" s="52"/>
      <c r="DK162" s="52"/>
      <c r="DL162" s="52"/>
      <c r="DM162" s="52"/>
      <c r="DN162" s="52"/>
      <c r="DO162" s="52"/>
      <c r="DP162" s="52"/>
      <c r="DQ162" s="52"/>
      <c r="DR162" s="52"/>
      <c r="DS162" s="128" t="n">
        <v>5</v>
      </c>
      <c r="DT162" s="128" t="n">
        <v>2</v>
      </c>
      <c r="DU162" s="131" t="s">
        <v>390</v>
      </c>
      <c r="DV162" s="131" t="s">
        <v>391</v>
      </c>
      <c r="DW162" s="131" t="s">
        <v>410</v>
      </c>
      <c r="DX162" s="131" t="s">
        <v>411</v>
      </c>
      <c r="DY162" s="131" t="s">
        <v>415</v>
      </c>
      <c r="DZ162" s="52"/>
      <c r="EA162" s="52"/>
      <c r="EB162" s="52"/>
      <c r="EC162" s="52"/>
      <c r="ED162" s="52"/>
      <c r="EE162" s="52"/>
      <c r="EF162" s="52"/>
      <c r="EG162" s="52"/>
      <c r="EH162" s="52"/>
      <c r="EI162" s="52"/>
      <c r="EJ162" s="52"/>
      <c r="EK162" s="52"/>
      <c r="EL162" s="52"/>
      <c r="EM162" s="52"/>
      <c r="EN162" s="52"/>
      <c r="EO162" s="52"/>
      <c r="EP162" s="52"/>
      <c r="EQ162" s="52"/>
      <c r="ER162" s="52"/>
      <c r="ES162" s="52"/>
      <c r="ET162" s="52"/>
      <c r="EU162" s="128" t="s">
        <v>763</v>
      </c>
      <c r="EV162" s="128" t="n">
        <v>1</v>
      </c>
      <c r="EW162" s="131" t="s">
        <v>390</v>
      </c>
      <c r="EX162" s="131" t="s">
        <v>391</v>
      </c>
      <c r="EY162" s="131" t="s">
        <v>410</v>
      </c>
      <c r="EZ162" s="131" t="s">
        <v>411</v>
      </c>
      <c r="FA162" s="131" t="s">
        <v>415</v>
      </c>
      <c r="FB162" s="128" t="n">
        <v>5</v>
      </c>
      <c r="FC162" s="128" t="n">
        <v>2</v>
      </c>
      <c r="FD162" s="131" t="s">
        <v>451</v>
      </c>
      <c r="FE162" s="131" t="s">
        <v>410</v>
      </c>
      <c r="FF162" s="131" t="s">
        <v>452</v>
      </c>
      <c r="FG162" s="131" t="s">
        <v>453</v>
      </c>
      <c r="FH162" s="131" t="s">
        <v>389</v>
      </c>
      <c r="FI162" s="52"/>
      <c r="FJ162" s="52"/>
      <c r="FK162" s="52"/>
      <c r="FL162" s="52"/>
      <c r="FM162" s="52"/>
      <c r="FN162" s="52"/>
      <c r="FO162" s="52"/>
      <c r="FP162" s="52"/>
      <c r="FQ162" s="52"/>
      <c r="FR162" s="52"/>
      <c r="FS162" s="52"/>
      <c r="FT162" s="52"/>
      <c r="FU162" s="52"/>
      <c r="FV162" s="52"/>
      <c r="FW162" s="52"/>
      <c r="FX162" s="52"/>
      <c r="FY162" s="52"/>
      <c r="FZ162" s="52"/>
      <c r="GA162" s="52"/>
      <c r="GB162" s="52"/>
      <c r="GC162" s="52"/>
      <c r="GD162" s="52"/>
      <c r="GE162" s="52"/>
      <c r="GF162" s="52"/>
      <c r="GG162" s="52"/>
      <c r="GH162" s="52"/>
      <c r="GI162" s="52"/>
      <c r="GJ162" s="52"/>
      <c r="GK162" s="52"/>
      <c r="GL162" s="52"/>
      <c r="GM162" s="52"/>
      <c r="GN162" s="52"/>
      <c r="GO162" s="52"/>
      <c r="GP162" s="52"/>
      <c r="GQ162" s="52"/>
      <c r="GR162" s="52"/>
      <c r="GS162" s="52"/>
      <c r="GT162" s="52"/>
      <c r="GU162" s="52"/>
      <c r="GV162" s="52"/>
      <c r="GW162" s="52"/>
      <c r="GX162" s="52"/>
      <c r="GY162" s="128" t="n">
        <v>5</v>
      </c>
      <c r="GZ162" s="128" t="n">
        <v>1</v>
      </c>
      <c r="HA162" s="131" t="s">
        <v>390</v>
      </c>
      <c r="HB162" s="131" t="s">
        <v>391</v>
      </c>
      <c r="HC162" s="131" t="s">
        <v>410</v>
      </c>
      <c r="HD162" s="131" t="s">
        <v>411</v>
      </c>
      <c r="HE162" s="131" t="s">
        <v>415</v>
      </c>
      <c r="HF162" s="52"/>
      <c r="HG162" s="52"/>
      <c r="HH162" s="52"/>
      <c r="HI162" s="52"/>
      <c r="HJ162" s="52"/>
      <c r="HK162" s="52"/>
      <c r="HL162" s="52"/>
      <c r="HM162" s="52"/>
      <c r="HN162" s="52"/>
      <c r="HO162" s="52"/>
      <c r="HP162" s="52"/>
      <c r="HQ162" s="52"/>
      <c r="HR162" s="52"/>
      <c r="HS162" s="52"/>
      <c r="HT162" s="39" t="n">
        <v>5</v>
      </c>
      <c r="HU162" s="128" t="n">
        <v>1</v>
      </c>
      <c r="HV162" s="131" t="s">
        <v>451</v>
      </c>
      <c r="HW162" s="131" t="s">
        <v>410</v>
      </c>
      <c r="HX162" s="131" t="s">
        <v>452</v>
      </c>
      <c r="HY162" s="131" t="s">
        <v>453</v>
      </c>
      <c r="HZ162" s="131" t="s">
        <v>389</v>
      </c>
    </row>
    <row r="163" customFormat="false" ht="12.8" hidden="true" customHeight="false" outlineLevel="0" collapsed="false">
      <c r="A163" s="152" t="s">
        <v>311</v>
      </c>
      <c r="B163" s="153" t="s">
        <v>98</v>
      </c>
      <c r="C163" s="153" t="s">
        <v>312</v>
      </c>
      <c r="D163" s="153" t="s">
        <v>313</v>
      </c>
      <c r="E163" s="130" t="s">
        <v>84</v>
      </c>
      <c r="F163" s="17" t="s">
        <v>85</v>
      </c>
      <c r="G163" s="154" t="s">
        <v>764</v>
      </c>
      <c r="H163" s="148" t="s">
        <v>92</v>
      </c>
      <c r="I163" s="150" t="s">
        <v>765</v>
      </c>
      <c r="J163" s="148" t="s">
        <v>498</v>
      </c>
      <c r="K163" s="39" t="n">
        <v>13000</v>
      </c>
      <c r="L163" s="18"/>
      <c r="M163" s="18" t="n">
        <f aca="false">IF(AD163,1,0)+IF(AK163,1,0)+AN163+AU163+BB163+BI163+BP163+BW163+CD163+CK163+CR163+CY163+DF163+DM163+DT163+EA163+EH163+EO163+EV163+FC163+FJ163+FQ163+FX163+GE163+GL163+GS163+GZ163+HG163+HN163+HU163</f>
        <v>0</v>
      </c>
      <c r="N163" s="131"/>
      <c r="O163" s="147"/>
      <c r="P163" s="147"/>
      <c r="Q163" s="147"/>
      <c r="R163" s="12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31"/>
      <c r="AD163" s="128"/>
      <c r="AE163" s="128"/>
      <c r="AF163" s="128"/>
      <c r="AG163" s="128"/>
      <c r="AH163" s="128"/>
      <c r="AI163" s="147"/>
      <c r="AJ163" s="128"/>
      <c r="AK163" s="128"/>
      <c r="AL163" s="147"/>
      <c r="AM163" s="131"/>
      <c r="AN163" s="128"/>
      <c r="AO163" s="131"/>
      <c r="AP163" s="131"/>
      <c r="AQ163" s="131"/>
      <c r="AR163" s="131"/>
      <c r="AS163" s="131"/>
      <c r="AT163" s="131"/>
      <c r="AU163" s="131"/>
      <c r="AV163" s="131"/>
      <c r="AW163" s="131"/>
      <c r="AX163" s="131"/>
      <c r="AY163" s="131"/>
      <c r="AZ163" s="131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16"/>
      <c r="CK163" s="16"/>
      <c r="CL163" s="16"/>
      <c r="CM163" s="16"/>
      <c r="CN163" s="16"/>
      <c r="CO163" s="16"/>
      <c r="CP163" s="16"/>
      <c r="CQ163" s="52"/>
      <c r="CR163" s="52"/>
      <c r="CS163" s="52"/>
      <c r="CT163" s="52"/>
      <c r="CU163" s="52"/>
      <c r="CV163" s="52"/>
      <c r="CW163" s="52"/>
      <c r="CX163" s="52"/>
      <c r="CY163" s="52"/>
      <c r="CZ163" s="52"/>
      <c r="DA163" s="52"/>
      <c r="DB163" s="52"/>
      <c r="DC163" s="52"/>
      <c r="DD163" s="52"/>
      <c r="DE163" s="52"/>
      <c r="DF163" s="52"/>
      <c r="DG163" s="52"/>
      <c r="DH163" s="52"/>
      <c r="DI163" s="52"/>
      <c r="DJ163" s="52"/>
      <c r="DK163" s="52"/>
      <c r="DL163" s="52"/>
      <c r="DM163" s="52"/>
      <c r="DN163" s="52"/>
      <c r="DO163" s="52"/>
      <c r="DP163" s="52"/>
      <c r="DQ163" s="52"/>
      <c r="DR163" s="52"/>
      <c r="DS163" s="52"/>
      <c r="DT163" s="52"/>
      <c r="DU163" s="52"/>
      <c r="DV163" s="52"/>
      <c r="DW163" s="52"/>
      <c r="DX163" s="52"/>
      <c r="DY163" s="52"/>
      <c r="DZ163" s="52"/>
      <c r="EA163" s="52"/>
      <c r="EB163" s="52"/>
      <c r="EC163" s="52"/>
      <c r="ED163" s="52"/>
      <c r="EE163" s="52"/>
      <c r="EF163" s="52"/>
      <c r="EG163" s="52"/>
      <c r="EH163" s="52"/>
      <c r="EI163" s="52"/>
      <c r="EJ163" s="52"/>
      <c r="EK163" s="52"/>
      <c r="EL163" s="52"/>
      <c r="EM163" s="52"/>
      <c r="EN163" s="52"/>
      <c r="EO163" s="52"/>
      <c r="EP163" s="52"/>
      <c r="EQ163" s="52"/>
      <c r="ER163" s="52"/>
      <c r="ES163" s="52"/>
      <c r="ET163" s="52"/>
      <c r="EU163" s="52"/>
      <c r="EV163" s="52"/>
      <c r="EW163" s="52"/>
      <c r="EX163" s="52"/>
      <c r="EY163" s="52"/>
      <c r="EZ163" s="52"/>
      <c r="FA163" s="52"/>
      <c r="FB163" s="52"/>
      <c r="FC163" s="52"/>
      <c r="FD163" s="52"/>
      <c r="FE163" s="52"/>
      <c r="FF163" s="52"/>
      <c r="FG163" s="52"/>
      <c r="FH163" s="52"/>
      <c r="FI163" s="52"/>
      <c r="FJ163" s="52"/>
      <c r="FK163" s="52"/>
      <c r="FL163" s="52"/>
      <c r="FM163" s="52"/>
      <c r="FN163" s="52"/>
      <c r="FO163" s="52"/>
      <c r="FP163" s="52"/>
      <c r="FQ163" s="52"/>
      <c r="FR163" s="52"/>
      <c r="FS163" s="52"/>
      <c r="FT163" s="52"/>
      <c r="FU163" s="52"/>
      <c r="FV163" s="52"/>
      <c r="FW163" s="52"/>
      <c r="FX163" s="52"/>
      <c r="FY163" s="52"/>
      <c r="FZ163" s="52"/>
      <c r="GA163" s="52"/>
      <c r="GB163" s="52"/>
      <c r="GC163" s="52"/>
      <c r="GD163" s="52"/>
      <c r="GE163" s="52"/>
      <c r="GF163" s="52"/>
      <c r="GG163" s="52"/>
      <c r="GH163" s="52"/>
      <c r="GI163" s="52"/>
      <c r="GJ163" s="52"/>
      <c r="GK163" s="52"/>
      <c r="GL163" s="52"/>
      <c r="GM163" s="52"/>
      <c r="GN163" s="52"/>
      <c r="GO163" s="52"/>
      <c r="GP163" s="52"/>
      <c r="GQ163" s="52"/>
      <c r="GR163" s="52"/>
      <c r="GS163" s="52"/>
      <c r="GT163" s="52"/>
      <c r="GU163" s="52"/>
      <c r="GV163" s="52"/>
      <c r="GW163" s="52"/>
      <c r="GX163" s="52"/>
      <c r="GY163" s="52"/>
      <c r="GZ163" s="52"/>
      <c r="HA163" s="52"/>
      <c r="HB163" s="52"/>
      <c r="HC163" s="52"/>
      <c r="HD163" s="52"/>
      <c r="HE163" s="52"/>
      <c r="HF163" s="52"/>
      <c r="HG163" s="52"/>
      <c r="HH163" s="52"/>
      <c r="HI163" s="52"/>
      <c r="HJ163" s="52"/>
      <c r="HK163" s="52"/>
      <c r="HL163" s="52"/>
      <c r="HM163" s="52"/>
      <c r="HN163" s="52"/>
      <c r="HO163" s="52"/>
      <c r="HP163" s="52"/>
      <c r="HQ163" s="52"/>
      <c r="HR163" s="52"/>
      <c r="HS163" s="52"/>
      <c r="HT163" s="131"/>
      <c r="HU163" s="128"/>
      <c r="HV163" s="131"/>
      <c r="HW163" s="131"/>
      <c r="HX163" s="131"/>
      <c r="HY163" s="131"/>
      <c r="HZ163" s="131"/>
    </row>
    <row r="164" customFormat="false" ht="12.8" hidden="true" customHeight="false" outlineLevel="0" collapsed="false">
      <c r="A164" s="152" t="s">
        <v>311</v>
      </c>
      <c r="B164" s="153" t="s">
        <v>98</v>
      </c>
      <c r="C164" s="153" t="s">
        <v>312</v>
      </c>
      <c r="D164" s="153" t="s">
        <v>313</v>
      </c>
      <c r="E164" s="130" t="s">
        <v>84</v>
      </c>
      <c r="F164" s="17" t="s">
        <v>85</v>
      </c>
      <c r="G164" s="154" t="s">
        <v>756</v>
      </c>
      <c r="H164" s="150"/>
      <c r="I164" s="150" t="s">
        <v>559</v>
      </c>
      <c r="J164" s="148" t="s">
        <v>498</v>
      </c>
      <c r="K164" s="39" t="n">
        <v>13000</v>
      </c>
      <c r="L164" s="18"/>
      <c r="M164" s="18" t="n">
        <f aca="false">IF(AD164,1,0)+IF(AK164,1,0)+AN164+AU164+BB164+BI164+BP164+BW164+CD164+CK164+CR164+CY164+DF164+DM164+DT164+EA164+EH164+EO164+EV164+FC164+FJ164+FQ164+FX164+GE164+GL164+GS164+GZ164+HG164+HN164+HU164</f>
        <v>0</v>
      </c>
      <c r="N164" s="131"/>
      <c r="O164" s="147"/>
      <c r="P164" s="147"/>
      <c r="Q164" s="147"/>
      <c r="R164" s="12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31"/>
      <c r="AD164" s="128"/>
      <c r="AE164" s="128"/>
      <c r="AF164" s="128"/>
      <c r="AG164" s="128"/>
      <c r="AH164" s="128"/>
      <c r="AI164" s="147"/>
      <c r="AJ164" s="128"/>
      <c r="AK164" s="128"/>
      <c r="AL164" s="147"/>
      <c r="AM164" s="131"/>
      <c r="AN164" s="128"/>
      <c r="AO164" s="131"/>
      <c r="AP164" s="131"/>
      <c r="AQ164" s="131"/>
      <c r="AR164" s="131"/>
      <c r="AS164" s="131"/>
      <c r="AT164" s="131"/>
      <c r="AU164" s="131"/>
      <c r="AV164" s="131"/>
      <c r="AW164" s="131"/>
      <c r="AX164" s="131"/>
      <c r="AY164" s="131"/>
      <c r="AZ164" s="131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16"/>
      <c r="CK164" s="16"/>
      <c r="CL164" s="16"/>
      <c r="CM164" s="16"/>
      <c r="CN164" s="16"/>
      <c r="CO164" s="16"/>
      <c r="CP164" s="16"/>
      <c r="CQ164" s="52"/>
      <c r="CR164" s="52"/>
      <c r="CS164" s="52"/>
      <c r="CT164" s="52"/>
      <c r="CU164" s="52"/>
      <c r="CV164" s="52"/>
      <c r="CW164" s="52"/>
      <c r="CX164" s="52"/>
      <c r="CY164" s="52"/>
      <c r="CZ164" s="52"/>
      <c r="DA164" s="52"/>
      <c r="DB164" s="52"/>
      <c r="DC164" s="52"/>
      <c r="DD164" s="52"/>
      <c r="DE164" s="52"/>
      <c r="DF164" s="52"/>
      <c r="DG164" s="52"/>
      <c r="DH164" s="52"/>
      <c r="DI164" s="52"/>
      <c r="DJ164" s="52"/>
      <c r="DK164" s="52"/>
      <c r="DL164" s="52"/>
      <c r="DM164" s="52"/>
      <c r="DN164" s="52"/>
      <c r="DO164" s="52"/>
      <c r="DP164" s="52"/>
      <c r="DQ164" s="52"/>
      <c r="DR164" s="52"/>
      <c r="DS164" s="52"/>
      <c r="DT164" s="52"/>
      <c r="DU164" s="52"/>
      <c r="DV164" s="52"/>
      <c r="DW164" s="52"/>
      <c r="DX164" s="52"/>
      <c r="DY164" s="52"/>
      <c r="DZ164" s="52"/>
      <c r="EA164" s="52"/>
      <c r="EB164" s="52"/>
      <c r="EC164" s="52"/>
      <c r="ED164" s="52"/>
      <c r="EE164" s="52"/>
      <c r="EF164" s="52"/>
      <c r="EG164" s="52"/>
      <c r="EH164" s="52"/>
      <c r="EI164" s="52"/>
      <c r="EJ164" s="52"/>
      <c r="EK164" s="52"/>
      <c r="EL164" s="52"/>
      <c r="EM164" s="52"/>
      <c r="EN164" s="52"/>
      <c r="EO164" s="52"/>
      <c r="EP164" s="52"/>
      <c r="EQ164" s="52"/>
      <c r="ER164" s="52"/>
      <c r="ES164" s="52"/>
      <c r="ET164" s="52"/>
      <c r="EU164" s="52"/>
      <c r="EV164" s="52"/>
      <c r="EW164" s="52"/>
      <c r="EX164" s="52"/>
      <c r="EY164" s="52"/>
      <c r="EZ164" s="52"/>
      <c r="FA164" s="52"/>
      <c r="FB164" s="100"/>
      <c r="FC164" s="52"/>
      <c r="FD164" s="52"/>
      <c r="FE164" s="52"/>
      <c r="FF164" s="52"/>
      <c r="FG164" s="52"/>
      <c r="FH164" s="52"/>
      <c r="FI164" s="52"/>
      <c r="FJ164" s="52"/>
      <c r="FK164" s="52"/>
      <c r="FL164" s="52"/>
      <c r="FM164" s="52"/>
      <c r="FN164" s="52"/>
      <c r="FO164" s="52"/>
      <c r="FP164" s="52"/>
      <c r="FQ164" s="52"/>
      <c r="FR164" s="52"/>
      <c r="FS164" s="52"/>
      <c r="FT164" s="52"/>
      <c r="FU164" s="52"/>
      <c r="FV164" s="52"/>
      <c r="FW164" s="52"/>
      <c r="FX164" s="52"/>
      <c r="FY164" s="52"/>
      <c r="FZ164" s="52"/>
      <c r="GA164" s="52"/>
      <c r="GB164" s="52"/>
      <c r="GC164" s="52"/>
      <c r="GD164" s="52"/>
      <c r="GE164" s="52"/>
      <c r="GF164" s="52"/>
      <c r="GG164" s="52"/>
      <c r="GH164" s="52"/>
      <c r="GI164" s="52"/>
      <c r="GJ164" s="52"/>
      <c r="GK164" s="52"/>
      <c r="GL164" s="52"/>
      <c r="GM164" s="52"/>
      <c r="GN164" s="52"/>
      <c r="GO164" s="52"/>
      <c r="GP164" s="52"/>
      <c r="GQ164" s="52"/>
      <c r="GR164" s="52"/>
      <c r="GS164" s="52"/>
      <c r="GT164" s="52"/>
      <c r="GU164" s="52"/>
      <c r="GV164" s="52"/>
      <c r="GW164" s="52"/>
      <c r="GX164" s="52"/>
      <c r="GY164" s="52"/>
      <c r="GZ164" s="52"/>
      <c r="HA164" s="52"/>
      <c r="HB164" s="52"/>
      <c r="HC164" s="52"/>
      <c r="HD164" s="52"/>
      <c r="HE164" s="52"/>
      <c r="HF164" s="52"/>
      <c r="HG164" s="52"/>
      <c r="HH164" s="52"/>
      <c r="HI164" s="52"/>
      <c r="HJ164" s="52"/>
      <c r="HK164" s="52"/>
      <c r="HL164" s="52"/>
      <c r="HM164" s="52"/>
      <c r="HN164" s="52"/>
      <c r="HO164" s="52"/>
      <c r="HP164" s="52"/>
      <c r="HQ164" s="52"/>
      <c r="HR164" s="52"/>
      <c r="HS164" s="52"/>
      <c r="HT164" s="131"/>
      <c r="HU164" s="128"/>
      <c r="HV164" s="131"/>
      <c r="HW164" s="131"/>
      <c r="HX164" s="131"/>
      <c r="HY164" s="131"/>
      <c r="HZ164" s="131"/>
    </row>
    <row r="165" customFormat="false" ht="12.8" hidden="true" customHeight="false" outlineLevel="0" collapsed="false">
      <c r="A165" s="152" t="s">
        <v>311</v>
      </c>
      <c r="B165" s="153" t="s">
        <v>98</v>
      </c>
      <c r="C165" s="153" t="s">
        <v>312</v>
      </c>
      <c r="D165" s="153" t="s">
        <v>313</v>
      </c>
      <c r="E165" s="130" t="s">
        <v>84</v>
      </c>
      <c r="F165" s="17" t="s">
        <v>85</v>
      </c>
      <c r="G165" s="154" t="s">
        <v>645</v>
      </c>
      <c r="H165" s="150"/>
      <c r="I165" s="150" t="s">
        <v>576</v>
      </c>
      <c r="J165" s="148" t="s">
        <v>498</v>
      </c>
      <c r="K165" s="39" t="n">
        <v>13000</v>
      </c>
      <c r="L165" s="18"/>
      <c r="M165" s="18" t="n">
        <f aca="false">IF(AD165,1,0)+IF(AK165,1,0)+AN165+AU165+BB165+BI165+BP165+BW165+CD165+CK165+CR165+CY165+DF165+DM165+DT165+EA165+EH165+EO165+EV165+FC165+FJ165+FQ165+FX165+GE165+GL165+GS165+GZ165+HG165+HN165+HU165</f>
        <v>0</v>
      </c>
      <c r="N165" s="131"/>
      <c r="O165" s="147"/>
      <c r="P165" s="147"/>
      <c r="Q165" s="147"/>
      <c r="R165" s="12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31"/>
      <c r="AD165" s="128"/>
      <c r="AE165" s="128"/>
      <c r="AF165" s="128"/>
      <c r="AG165" s="128"/>
      <c r="AH165" s="128"/>
      <c r="AI165" s="147"/>
      <c r="AJ165" s="128"/>
      <c r="AK165" s="128"/>
      <c r="AL165" s="147"/>
      <c r="AM165" s="131"/>
      <c r="AN165" s="128"/>
      <c r="AO165" s="131"/>
      <c r="AP165" s="131"/>
      <c r="AQ165" s="131"/>
      <c r="AR165" s="131"/>
      <c r="AS165" s="131"/>
      <c r="AT165" s="131"/>
      <c r="AU165" s="131"/>
      <c r="AV165" s="131"/>
      <c r="AW165" s="131"/>
      <c r="AX165" s="131"/>
      <c r="AY165" s="131"/>
      <c r="AZ165" s="131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16"/>
      <c r="CK165" s="16"/>
      <c r="CL165" s="16"/>
      <c r="CM165" s="16"/>
      <c r="CN165" s="16"/>
      <c r="CO165" s="16"/>
      <c r="CP165" s="16"/>
      <c r="CQ165" s="52"/>
      <c r="CR165" s="52"/>
      <c r="CS165" s="52"/>
      <c r="CT165" s="52"/>
      <c r="CU165" s="52"/>
      <c r="CV165" s="52"/>
      <c r="CW165" s="52"/>
      <c r="CX165" s="52"/>
      <c r="CY165" s="52"/>
      <c r="CZ165" s="52"/>
      <c r="DA165" s="52"/>
      <c r="DB165" s="52"/>
      <c r="DC165" s="52"/>
      <c r="DD165" s="52"/>
      <c r="DE165" s="52"/>
      <c r="DF165" s="52"/>
      <c r="DG165" s="52"/>
      <c r="DH165" s="52"/>
      <c r="DI165" s="52"/>
      <c r="DJ165" s="52"/>
      <c r="DK165" s="52"/>
      <c r="DL165" s="52"/>
      <c r="DM165" s="52"/>
      <c r="DN165" s="52"/>
      <c r="DO165" s="52"/>
      <c r="DP165" s="52"/>
      <c r="DQ165" s="52"/>
      <c r="DR165" s="52"/>
      <c r="DS165" s="52"/>
      <c r="DT165" s="52"/>
      <c r="DU165" s="52"/>
      <c r="DV165" s="52"/>
      <c r="DW165" s="52"/>
      <c r="DX165" s="52"/>
      <c r="DY165" s="52"/>
      <c r="DZ165" s="52"/>
      <c r="EA165" s="52"/>
      <c r="EB165" s="52"/>
      <c r="EC165" s="52"/>
      <c r="ED165" s="52"/>
      <c r="EE165" s="52"/>
      <c r="EF165" s="52"/>
      <c r="EG165" s="52"/>
      <c r="EH165" s="52"/>
      <c r="EI165" s="52"/>
      <c r="EJ165" s="52"/>
      <c r="EK165" s="52"/>
      <c r="EL165" s="52"/>
      <c r="EM165" s="52"/>
      <c r="EN165" s="52"/>
      <c r="EO165" s="52"/>
      <c r="EP165" s="52"/>
      <c r="EQ165" s="52"/>
      <c r="ER165" s="52"/>
      <c r="ES165" s="52"/>
      <c r="ET165" s="52"/>
      <c r="EU165" s="52"/>
      <c r="EV165" s="52"/>
      <c r="EW165" s="52"/>
      <c r="EX165" s="52"/>
      <c r="EY165" s="52"/>
      <c r="EZ165" s="52"/>
      <c r="FA165" s="52"/>
      <c r="FB165" s="52"/>
      <c r="FC165" s="52"/>
      <c r="FD165" s="52"/>
      <c r="FE165" s="52"/>
      <c r="FF165" s="52"/>
      <c r="FG165" s="52"/>
      <c r="FH165" s="52"/>
      <c r="FI165" s="52"/>
      <c r="FJ165" s="52"/>
      <c r="FK165" s="52"/>
      <c r="FL165" s="52"/>
      <c r="FM165" s="52"/>
      <c r="FN165" s="52"/>
      <c r="FO165" s="52"/>
      <c r="FP165" s="52"/>
      <c r="FQ165" s="52"/>
      <c r="FR165" s="52"/>
      <c r="FS165" s="52"/>
      <c r="FT165" s="52"/>
      <c r="FU165" s="52"/>
      <c r="FV165" s="52"/>
      <c r="FW165" s="52"/>
      <c r="FX165" s="52"/>
      <c r="FY165" s="52"/>
      <c r="FZ165" s="52"/>
      <c r="GA165" s="52"/>
      <c r="GB165" s="52"/>
      <c r="GC165" s="52"/>
      <c r="GD165" s="52"/>
      <c r="GE165" s="52"/>
      <c r="GF165" s="52"/>
      <c r="GG165" s="52"/>
      <c r="GH165" s="52"/>
      <c r="GI165" s="52"/>
      <c r="GJ165" s="52"/>
      <c r="GK165" s="52"/>
      <c r="GL165" s="52"/>
      <c r="GM165" s="52"/>
      <c r="GN165" s="52"/>
      <c r="GO165" s="52"/>
      <c r="GP165" s="52"/>
      <c r="GQ165" s="52"/>
      <c r="GR165" s="52"/>
      <c r="GS165" s="52"/>
      <c r="GT165" s="52"/>
      <c r="GU165" s="52"/>
      <c r="GV165" s="52"/>
      <c r="GW165" s="52"/>
      <c r="GX165" s="52"/>
      <c r="GY165" s="52"/>
      <c r="GZ165" s="52"/>
      <c r="HA165" s="52"/>
      <c r="HB165" s="52"/>
      <c r="HC165" s="52"/>
      <c r="HD165" s="52"/>
      <c r="HE165" s="52"/>
      <c r="HF165" s="52"/>
      <c r="HG165" s="52"/>
      <c r="HH165" s="52"/>
      <c r="HI165" s="52"/>
      <c r="HJ165" s="52"/>
      <c r="HK165" s="52"/>
      <c r="HL165" s="52"/>
      <c r="HM165" s="52"/>
      <c r="HN165" s="52"/>
      <c r="HO165" s="52"/>
      <c r="HP165" s="52"/>
      <c r="HQ165" s="52"/>
      <c r="HR165" s="52"/>
      <c r="HS165" s="52"/>
      <c r="HT165" s="131"/>
      <c r="HU165" s="128"/>
      <c r="HV165" s="131"/>
      <c r="HW165" s="131"/>
      <c r="HX165" s="131"/>
      <c r="HY165" s="131"/>
      <c r="HZ165" s="131"/>
    </row>
    <row r="166" customFormat="false" ht="12.8" hidden="true" customHeight="false" outlineLevel="0" collapsed="false">
      <c r="A166" s="152" t="s">
        <v>311</v>
      </c>
      <c r="B166" s="153" t="s">
        <v>98</v>
      </c>
      <c r="C166" s="153" t="s">
        <v>312</v>
      </c>
      <c r="D166" s="153" t="s">
        <v>313</v>
      </c>
      <c r="E166" s="130" t="s">
        <v>84</v>
      </c>
      <c r="F166" s="17" t="s">
        <v>85</v>
      </c>
      <c r="G166" s="154" t="s">
        <v>766</v>
      </c>
      <c r="H166" s="150"/>
      <c r="I166" s="150" t="s">
        <v>767</v>
      </c>
      <c r="J166" s="148" t="s">
        <v>498</v>
      </c>
      <c r="K166" s="39" t="n">
        <v>13000</v>
      </c>
      <c r="L166" s="18"/>
      <c r="M166" s="18" t="n">
        <f aca="false">IF(AD166,1,0)+IF(AK166,1,0)+AN166+AU166+BB166+BI166+BP166+BW166+CD166+CK166+CR166+CY166+DF166+DM166+DT166+EA166+EH166+EO166+EV166+FC166+FJ166+FQ166+FX166+GE166+GL166+GS166+GZ166+HG166+HN166+HU166</f>
        <v>0</v>
      </c>
      <c r="N166" s="131"/>
      <c r="O166" s="147"/>
      <c r="P166" s="147"/>
      <c r="Q166" s="147"/>
      <c r="R166" s="12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31"/>
      <c r="AD166" s="128"/>
      <c r="AE166" s="128"/>
      <c r="AF166" s="128"/>
      <c r="AG166" s="128"/>
      <c r="AH166" s="128"/>
      <c r="AI166" s="147"/>
      <c r="AJ166" s="128"/>
      <c r="AK166" s="128"/>
      <c r="AL166" s="147"/>
      <c r="AM166" s="131"/>
      <c r="AN166" s="128"/>
      <c r="AO166" s="131"/>
      <c r="AP166" s="131"/>
      <c r="AQ166" s="131"/>
      <c r="AR166" s="131"/>
      <c r="AS166" s="131"/>
      <c r="AT166" s="131"/>
      <c r="AU166" s="131"/>
      <c r="AV166" s="131"/>
      <c r="AW166" s="131"/>
      <c r="AX166" s="131"/>
      <c r="AY166" s="131"/>
      <c r="AZ166" s="131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16"/>
      <c r="CK166" s="16"/>
      <c r="CL166" s="16"/>
      <c r="CM166" s="16"/>
      <c r="CN166" s="16"/>
      <c r="CO166" s="16"/>
      <c r="CP166" s="16"/>
      <c r="CQ166" s="52"/>
      <c r="CR166" s="52"/>
      <c r="CS166" s="52"/>
      <c r="CT166" s="52"/>
      <c r="CU166" s="52"/>
      <c r="CV166" s="52"/>
      <c r="CW166" s="52"/>
      <c r="CX166" s="52"/>
      <c r="CY166" s="52"/>
      <c r="CZ166" s="52"/>
      <c r="DA166" s="52"/>
      <c r="DB166" s="52"/>
      <c r="DC166" s="52"/>
      <c r="DD166" s="52"/>
      <c r="DE166" s="52"/>
      <c r="DF166" s="52"/>
      <c r="DG166" s="52"/>
      <c r="DH166" s="52"/>
      <c r="DI166" s="52"/>
      <c r="DJ166" s="52"/>
      <c r="DK166" s="52"/>
      <c r="DL166" s="52"/>
      <c r="DM166" s="52"/>
      <c r="DN166" s="52"/>
      <c r="DO166" s="52"/>
      <c r="DP166" s="52"/>
      <c r="DQ166" s="52"/>
      <c r="DR166" s="52"/>
      <c r="DS166" s="52"/>
      <c r="DT166" s="52"/>
      <c r="DU166" s="52"/>
      <c r="DV166" s="52"/>
      <c r="DW166" s="52"/>
      <c r="DX166" s="52"/>
      <c r="DY166" s="52"/>
      <c r="DZ166" s="52"/>
      <c r="EA166" s="52"/>
      <c r="EB166" s="52"/>
      <c r="EC166" s="52"/>
      <c r="ED166" s="52"/>
      <c r="EE166" s="52"/>
      <c r="EF166" s="52"/>
      <c r="EG166" s="52"/>
      <c r="EH166" s="52"/>
      <c r="EI166" s="52"/>
      <c r="EJ166" s="52"/>
      <c r="EK166" s="52"/>
      <c r="EL166" s="52"/>
      <c r="EM166" s="52"/>
      <c r="EN166" s="52"/>
      <c r="EO166" s="52"/>
      <c r="EP166" s="52"/>
      <c r="EQ166" s="52"/>
      <c r="ER166" s="52"/>
      <c r="ES166" s="52"/>
      <c r="ET166" s="52"/>
      <c r="EU166" s="52"/>
      <c r="EV166" s="52"/>
      <c r="EW166" s="52"/>
      <c r="EX166" s="52"/>
      <c r="EY166" s="52"/>
      <c r="EZ166" s="52"/>
      <c r="FA166" s="52"/>
      <c r="FB166" s="52"/>
      <c r="FC166" s="52"/>
      <c r="FD166" s="52"/>
      <c r="FE166" s="52"/>
      <c r="FF166" s="52"/>
      <c r="FG166" s="52"/>
      <c r="FH166" s="52"/>
      <c r="FI166" s="52"/>
      <c r="FJ166" s="52"/>
      <c r="FK166" s="52"/>
      <c r="FL166" s="52"/>
      <c r="FM166" s="52"/>
      <c r="FN166" s="52"/>
      <c r="FO166" s="52"/>
      <c r="FP166" s="52"/>
      <c r="FQ166" s="52"/>
      <c r="FR166" s="52"/>
      <c r="FS166" s="52"/>
      <c r="FT166" s="52"/>
      <c r="FU166" s="52"/>
      <c r="FV166" s="52"/>
      <c r="FW166" s="52"/>
      <c r="FX166" s="52"/>
      <c r="FY166" s="52"/>
      <c r="FZ166" s="52"/>
      <c r="GA166" s="52"/>
      <c r="GB166" s="52"/>
      <c r="GC166" s="52"/>
      <c r="GD166" s="52"/>
      <c r="GE166" s="52"/>
      <c r="GF166" s="52"/>
      <c r="GG166" s="52"/>
      <c r="GH166" s="52"/>
      <c r="GI166" s="52"/>
      <c r="GJ166" s="52"/>
      <c r="GK166" s="52"/>
      <c r="GL166" s="52"/>
      <c r="GM166" s="52"/>
      <c r="GN166" s="52"/>
      <c r="GO166" s="52"/>
      <c r="GP166" s="52"/>
      <c r="GQ166" s="52"/>
      <c r="GR166" s="52"/>
      <c r="GS166" s="52"/>
      <c r="GT166" s="52"/>
      <c r="GU166" s="52"/>
      <c r="GV166" s="52"/>
      <c r="GW166" s="52"/>
      <c r="GX166" s="52"/>
      <c r="GY166" s="52"/>
      <c r="GZ166" s="52"/>
      <c r="HA166" s="52"/>
      <c r="HB166" s="52"/>
      <c r="HC166" s="52"/>
      <c r="HD166" s="52"/>
      <c r="HE166" s="52"/>
      <c r="HF166" s="52"/>
      <c r="HG166" s="52"/>
      <c r="HH166" s="52"/>
      <c r="HI166" s="52"/>
      <c r="HJ166" s="52"/>
      <c r="HK166" s="52"/>
      <c r="HL166" s="52"/>
      <c r="HM166" s="52"/>
      <c r="HN166" s="52"/>
      <c r="HO166" s="52"/>
      <c r="HP166" s="52"/>
      <c r="HQ166" s="52"/>
      <c r="HR166" s="52"/>
      <c r="HS166" s="52"/>
      <c r="HT166" s="131"/>
      <c r="HU166" s="128"/>
      <c r="HV166" s="131"/>
      <c r="HW166" s="131"/>
      <c r="HX166" s="131"/>
      <c r="HY166" s="131"/>
      <c r="HZ166" s="131"/>
    </row>
    <row r="167" customFormat="false" ht="12.8" hidden="true" customHeight="false" outlineLevel="0" collapsed="false">
      <c r="A167" s="152" t="s">
        <v>311</v>
      </c>
      <c r="B167" s="153" t="s">
        <v>98</v>
      </c>
      <c r="C167" s="153" t="s">
        <v>312</v>
      </c>
      <c r="D167" s="153" t="s">
        <v>313</v>
      </c>
      <c r="E167" s="130" t="s">
        <v>84</v>
      </c>
      <c r="F167" s="17" t="s">
        <v>85</v>
      </c>
      <c r="G167" s="154" t="s">
        <v>768</v>
      </c>
      <c r="H167" s="150"/>
      <c r="I167" s="150" t="s">
        <v>769</v>
      </c>
      <c r="J167" s="148" t="s">
        <v>498</v>
      </c>
      <c r="K167" s="39" t="n">
        <v>13000</v>
      </c>
      <c r="L167" s="18"/>
      <c r="M167" s="18" t="n">
        <f aca="false">IF(AD167,1,0)+IF(AK167,1,0)+AN167+AU167+BB167+BI167+BP167+BW167+CD167+CK167+CR167+CY167+DF167+DM167+DT167+EA167+EH167+EO167+EV167+FC167+FJ167+FQ167+FX167+GE167+GL167+GS167+GZ167+HG167+HN167+HU167</f>
        <v>0</v>
      </c>
      <c r="N167" s="131"/>
      <c r="O167" s="147"/>
      <c r="P167" s="147"/>
      <c r="Q167" s="147"/>
      <c r="R167" s="12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31"/>
      <c r="AD167" s="128"/>
      <c r="AE167" s="128"/>
      <c r="AF167" s="128"/>
      <c r="AG167" s="128"/>
      <c r="AH167" s="128"/>
      <c r="AI167" s="147"/>
      <c r="AJ167" s="128"/>
      <c r="AK167" s="128"/>
      <c r="AL167" s="147"/>
      <c r="AM167" s="131"/>
      <c r="AN167" s="128"/>
      <c r="AO167" s="131"/>
      <c r="AP167" s="131"/>
      <c r="AQ167" s="131"/>
      <c r="AR167" s="131"/>
      <c r="AS167" s="131"/>
      <c r="AT167" s="131"/>
      <c r="AU167" s="131"/>
      <c r="AV167" s="131"/>
      <c r="AW167" s="131"/>
      <c r="AX167" s="131"/>
      <c r="AY167" s="131"/>
      <c r="AZ167" s="131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16"/>
      <c r="CK167" s="16"/>
      <c r="CL167" s="16"/>
      <c r="CM167" s="16"/>
      <c r="CN167" s="16"/>
      <c r="CO167" s="16"/>
      <c r="CP167" s="16"/>
      <c r="CQ167" s="52"/>
      <c r="CR167" s="52"/>
      <c r="CS167" s="52"/>
      <c r="CT167" s="52"/>
      <c r="CU167" s="52"/>
      <c r="CV167" s="52"/>
      <c r="CW167" s="52"/>
      <c r="CX167" s="52"/>
      <c r="CY167" s="52"/>
      <c r="CZ167" s="52"/>
      <c r="DA167" s="52"/>
      <c r="DB167" s="52"/>
      <c r="DC167" s="52"/>
      <c r="DD167" s="52"/>
      <c r="DE167" s="52"/>
      <c r="DF167" s="52"/>
      <c r="DG167" s="52"/>
      <c r="DH167" s="52"/>
      <c r="DI167" s="52"/>
      <c r="DJ167" s="52"/>
      <c r="DK167" s="52"/>
      <c r="DL167" s="52"/>
      <c r="DM167" s="52"/>
      <c r="DN167" s="52"/>
      <c r="DO167" s="52"/>
      <c r="DP167" s="52"/>
      <c r="DQ167" s="52"/>
      <c r="DR167" s="52"/>
      <c r="DS167" s="52"/>
      <c r="DT167" s="52"/>
      <c r="DU167" s="52"/>
      <c r="DV167" s="52"/>
      <c r="DW167" s="52"/>
      <c r="DX167" s="52"/>
      <c r="DY167" s="52"/>
      <c r="DZ167" s="52"/>
      <c r="EA167" s="52"/>
      <c r="EB167" s="52"/>
      <c r="EC167" s="52"/>
      <c r="ED167" s="52"/>
      <c r="EE167" s="52"/>
      <c r="EF167" s="52"/>
      <c r="EG167" s="52"/>
      <c r="EH167" s="52"/>
      <c r="EI167" s="52"/>
      <c r="EJ167" s="52"/>
      <c r="EK167" s="52"/>
      <c r="EL167" s="52"/>
      <c r="EM167" s="52"/>
      <c r="EN167" s="52"/>
      <c r="EO167" s="52"/>
      <c r="EP167" s="52"/>
      <c r="EQ167" s="52"/>
      <c r="ER167" s="52"/>
      <c r="ES167" s="52"/>
      <c r="ET167" s="52"/>
      <c r="EU167" s="52"/>
      <c r="EV167" s="52"/>
      <c r="EW167" s="52"/>
      <c r="EX167" s="52"/>
      <c r="EY167" s="52"/>
      <c r="EZ167" s="52"/>
      <c r="FA167" s="52"/>
      <c r="FB167" s="52"/>
      <c r="FC167" s="52"/>
      <c r="FD167" s="52"/>
      <c r="FE167" s="52"/>
      <c r="FF167" s="52"/>
      <c r="FG167" s="52"/>
      <c r="FH167" s="52"/>
      <c r="FI167" s="52"/>
      <c r="FJ167" s="52"/>
      <c r="FK167" s="52"/>
      <c r="FL167" s="52"/>
      <c r="FM167" s="52"/>
      <c r="FN167" s="52"/>
      <c r="FO167" s="52"/>
      <c r="FP167" s="52"/>
      <c r="FQ167" s="52"/>
      <c r="FR167" s="52"/>
      <c r="FS167" s="52"/>
      <c r="FT167" s="52"/>
      <c r="FU167" s="52"/>
      <c r="FV167" s="52"/>
      <c r="FW167" s="52"/>
      <c r="FX167" s="52"/>
      <c r="FY167" s="52"/>
      <c r="FZ167" s="52"/>
      <c r="GA167" s="52"/>
      <c r="GB167" s="52"/>
      <c r="GC167" s="52"/>
      <c r="GD167" s="52"/>
      <c r="GE167" s="52"/>
      <c r="GF167" s="52"/>
      <c r="GG167" s="52"/>
      <c r="GH167" s="52"/>
      <c r="GI167" s="52"/>
      <c r="GJ167" s="52"/>
      <c r="GK167" s="52"/>
      <c r="GL167" s="52"/>
      <c r="GM167" s="52"/>
      <c r="GN167" s="52"/>
      <c r="GO167" s="52"/>
      <c r="GP167" s="52"/>
      <c r="GQ167" s="52"/>
      <c r="GR167" s="52"/>
      <c r="GS167" s="52"/>
      <c r="GT167" s="52"/>
      <c r="GU167" s="52"/>
      <c r="GV167" s="52"/>
      <c r="GW167" s="52"/>
      <c r="GX167" s="52"/>
      <c r="GY167" s="52"/>
      <c r="GZ167" s="52"/>
      <c r="HA167" s="52"/>
      <c r="HB167" s="52"/>
      <c r="HC167" s="52"/>
      <c r="HD167" s="52"/>
      <c r="HE167" s="52"/>
      <c r="HF167" s="52"/>
      <c r="HG167" s="52"/>
      <c r="HH167" s="52"/>
      <c r="HI167" s="52"/>
      <c r="HJ167" s="52"/>
      <c r="HK167" s="52"/>
      <c r="HL167" s="52"/>
      <c r="HM167" s="52"/>
      <c r="HN167" s="52"/>
      <c r="HO167" s="52"/>
      <c r="HP167" s="52"/>
      <c r="HQ167" s="52"/>
      <c r="HR167" s="52"/>
      <c r="HS167" s="52"/>
      <c r="HT167" s="131"/>
      <c r="HU167" s="128"/>
      <c r="HV167" s="131"/>
      <c r="HW167" s="131"/>
      <c r="HX167" s="131"/>
      <c r="HY167" s="131"/>
      <c r="HZ167" s="131"/>
    </row>
    <row r="168" customFormat="false" ht="12.8" hidden="true" customHeight="false" outlineLevel="0" collapsed="false">
      <c r="A168" s="152" t="s">
        <v>311</v>
      </c>
      <c r="B168" s="153" t="s">
        <v>98</v>
      </c>
      <c r="C168" s="153" t="s">
        <v>312</v>
      </c>
      <c r="D168" s="153" t="s">
        <v>313</v>
      </c>
      <c r="E168" s="130" t="s">
        <v>84</v>
      </c>
      <c r="F168" s="17" t="s">
        <v>85</v>
      </c>
      <c r="G168" s="154" t="s">
        <v>770</v>
      </c>
      <c r="H168" s="150"/>
      <c r="I168" s="150" t="s">
        <v>771</v>
      </c>
      <c r="J168" s="148" t="s">
        <v>498</v>
      </c>
      <c r="K168" s="39" t="n">
        <v>13000</v>
      </c>
      <c r="L168" s="18"/>
      <c r="M168" s="18" t="n">
        <f aca="false">IF(AD168,1,0)+IF(AK168,1,0)+AN168+AU168+BB168+BI168+BP168+BW168+CD168+CK168+CR168+CY168+DF168+DM168+DT168+EA168+EH168+EO168+EV168+FC168+FJ168+FQ168+FX168+GE168+GL168+GS168+GZ168+HG168+HN168+HU168</f>
        <v>0</v>
      </c>
      <c r="N168" s="131"/>
      <c r="O168" s="147"/>
      <c r="P168" s="147"/>
      <c r="Q168" s="147"/>
      <c r="R168" s="12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31"/>
      <c r="AD168" s="128"/>
      <c r="AE168" s="128"/>
      <c r="AF168" s="128"/>
      <c r="AG168" s="128"/>
      <c r="AH168" s="128"/>
      <c r="AI168" s="147"/>
      <c r="AJ168" s="128"/>
      <c r="AK168" s="128"/>
      <c r="AL168" s="147"/>
      <c r="AM168" s="131"/>
      <c r="AN168" s="128"/>
      <c r="AO168" s="131"/>
      <c r="AP168" s="131"/>
      <c r="AQ168" s="131"/>
      <c r="AR168" s="131"/>
      <c r="AS168" s="131"/>
      <c r="AT168" s="131"/>
      <c r="AU168" s="131"/>
      <c r="AV168" s="131"/>
      <c r="AW168" s="131"/>
      <c r="AX168" s="131"/>
      <c r="AY168" s="131"/>
      <c r="AZ168" s="131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16"/>
      <c r="CK168" s="16"/>
      <c r="CL168" s="16"/>
      <c r="CM168" s="16"/>
      <c r="CN168" s="16"/>
      <c r="CO168" s="16"/>
      <c r="CP168" s="16"/>
      <c r="CQ168" s="52"/>
      <c r="CR168" s="52"/>
      <c r="CS168" s="52"/>
      <c r="CT168" s="52"/>
      <c r="CU168" s="52"/>
      <c r="CV168" s="52"/>
      <c r="CW168" s="52"/>
      <c r="CX168" s="52"/>
      <c r="CY168" s="52"/>
      <c r="CZ168" s="52"/>
      <c r="DA168" s="52"/>
      <c r="DB168" s="52"/>
      <c r="DC168" s="52"/>
      <c r="DD168" s="52"/>
      <c r="DE168" s="52"/>
      <c r="DF168" s="52"/>
      <c r="DG168" s="52"/>
      <c r="DH168" s="52"/>
      <c r="DI168" s="52"/>
      <c r="DJ168" s="52"/>
      <c r="DK168" s="52"/>
      <c r="DL168" s="52"/>
      <c r="DM168" s="52"/>
      <c r="DN168" s="52"/>
      <c r="DO168" s="52"/>
      <c r="DP168" s="52"/>
      <c r="DQ168" s="52"/>
      <c r="DR168" s="52"/>
      <c r="DS168" s="52"/>
      <c r="DT168" s="52"/>
      <c r="DU168" s="52"/>
      <c r="DV168" s="52"/>
      <c r="DW168" s="52"/>
      <c r="DX168" s="52"/>
      <c r="DY168" s="52"/>
      <c r="DZ168" s="52"/>
      <c r="EA168" s="52"/>
      <c r="EB168" s="52"/>
      <c r="EC168" s="52"/>
      <c r="ED168" s="52"/>
      <c r="EE168" s="52"/>
      <c r="EF168" s="52"/>
      <c r="EG168" s="52"/>
      <c r="EH168" s="52"/>
      <c r="EI168" s="52"/>
      <c r="EJ168" s="52"/>
      <c r="EK168" s="52"/>
      <c r="EL168" s="52"/>
      <c r="EM168" s="52"/>
      <c r="EN168" s="52"/>
      <c r="EO168" s="52"/>
      <c r="EP168" s="52"/>
      <c r="EQ168" s="52"/>
      <c r="ER168" s="52"/>
      <c r="ES168" s="52"/>
      <c r="ET168" s="52"/>
      <c r="EU168" s="52"/>
      <c r="EV168" s="52"/>
      <c r="EW168" s="52"/>
      <c r="EX168" s="52"/>
      <c r="EY168" s="52"/>
      <c r="EZ168" s="52"/>
      <c r="FA168" s="52"/>
      <c r="FB168" s="52"/>
      <c r="FC168" s="52"/>
      <c r="FD168" s="52"/>
      <c r="FE168" s="52"/>
      <c r="FF168" s="52"/>
      <c r="FG168" s="52"/>
      <c r="FH168" s="52"/>
      <c r="FI168" s="52"/>
      <c r="FJ168" s="52"/>
      <c r="FK168" s="52"/>
      <c r="FL168" s="52"/>
      <c r="FM168" s="52"/>
      <c r="FN168" s="52"/>
      <c r="FO168" s="52"/>
      <c r="FP168" s="52"/>
      <c r="FQ168" s="52"/>
      <c r="FR168" s="52"/>
      <c r="FS168" s="52"/>
      <c r="FT168" s="52"/>
      <c r="FU168" s="52"/>
      <c r="FV168" s="52"/>
      <c r="FW168" s="52"/>
      <c r="FX168" s="52"/>
      <c r="FY168" s="52"/>
      <c r="FZ168" s="52"/>
      <c r="GA168" s="52"/>
      <c r="GB168" s="52"/>
      <c r="GC168" s="52"/>
      <c r="GD168" s="52"/>
      <c r="GE168" s="52"/>
      <c r="GF168" s="52"/>
      <c r="GG168" s="52"/>
      <c r="GH168" s="52"/>
      <c r="GI168" s="52"/>
      <c r="GJ168" s="52"/>
      <c r="GK168" s="52"/>
      <c r="GL168" s="52"/>
      <c r="GM168" s="52"/>
      <c r="GN168" s="52"/>
      <c r="GO168" s="52"/>
      <c r="GP168" s="52"/>
      <c r="GQ168" s="52"/>
      <c r="GR168" s="52"/>
      <c r="GS168" s="52"/>
      <c r="GT168" s="52"/>
      <c r="GU168" s="52"/>
      <c r="GV168" s="52"/>
      <c r="GW168" s="52"/>
      <c r="GX168" s="52"/>
      <c r="GY168" s="52"/>
      <c r="GZ168" s="52"/>
      <c r="HA168" s="52"/>
      <c r="HB168" s="52"/>
      <c r="HC168" s="52"/>
      <c r="HD168" s="52"/>
      <c r="HE168" s="52"/>
      <c r="HF168" s="52"/>
      <c r="HG168" s="52"/>
      <c r="HH168" s="52"/>
      <c r="HI168" s="52"/>
      <c r="HJ168" s="52"/>
      <c r="HK168" s="52"/>
      <c r="HL168" s="52"/>
      <c r="HM168" s="52"/>
      <c r="HN168" s="52"/>
      <c r="HO168" s="52"/>
      <c r="HP168" s="52"/>
      <c r="HQ168" s="52"/>
      <c r="HR168" s="52"/>
      <c r="HS168" s="52"/>
      <c r="HT168" s="131"/>
      <c r="HU168" s="128"/>
      <c r="HV168" s="131"/>
      <c r="HW168" s="131"/>
      <c r="HX168" s="131"/>
      <c r="HY168" s="131"/>
      <c r="HZ168" s="131"/>
    </row>
    <row r="169" customFormat="false" ht="12.8" hidden="true" customHeight="false" outlineLevel="0" collapsed="false">
      <c r="A169" s="32" t="s">
        <v>311</v>
      </c>
      <c r="B169" s="33" t="s">
        <v>113</v>
      </c>
      <c r="C169" s="33" t="s">
        <v>315</v>
      </c>
      <c r="D169" s="33" t="s">
        <v>316</v>
      </c>
      <c r="E169" s="34" t="s">
        <v>84</v>
      </c>
      <c r="F169" s="35" t="s">
        <v>85</v>
      </c>
      <c r="G169" s="154" t="s">
        <v>772</v>
      </c>
      <c r="H169" s="148" t="s">
        <v>92</v>
      </c>
      <c r="I169" s="150" t="s">
        <v>760</v>
      </c>
      <c r="J169" s="148" t="s">
        <v>92</v>
      </c>
      <c r="K169" s="39" t="n">
        <v>13000</v>
      </c>
      <c r="L169" s="18" t="n">
        <v>6</v>
      </c>
      <c r="M169" s="18" t="n">
        <f aca="false">IF(AD169,1,0)+IF(AK169,1,0)+AN169+AU169+BB169+BI169+BP169+BW169+CD169+CK169+CR169+CY169+DF169+DM169+DT169+EA169+EH169+EO169+EV169+FC169+FJ169+FQ169+FX169+GE169+GL169+GS169+GZ169+HG169+HN169+HU169</f>
        <v>0</v>
      </c>
      <c r="N169" s="131"/>
      <c r="O169" s="147" t="n">
        <v>13996</v>
      </c>
      <c r="P169" s="147" t="n">
        <v>1701</v>
      </c>
      <c r="Q169" s="147" t="n">
        <v>1349</v>
      </c>
      <c r="R169" s="21" t="s">
        <v>45</v>
      </c>
      <c r="S169" s="21" t="s">
        <v>45</v>
      </c>
      <c r="T169" s="128"/>
      <c r="U169" s="18"/>
      <c r="V169" s="18"/>
      <c r="W169" s="18"/>
      <c r="X169" s="18"/>
      <c r="Y169" s="21" t="s">
        <v>588</v>
      </c>
      <c r="Z169" s="18"/>
      <c r="AA169" s="18"/>
      <c r="AB169" s="18"/>
      <c r="AC169" s="23" t="s">
        <v>654</v>
      </c>
      <c r="AD169" s="128" t="n">
        <v>15</v>
      </c>
      <c r="AE169" s="128"/>
      <c r="AF169" s="128" t="n">
        <v>90</v>
      </c>
      <c r="AG169" s="128" t="n">
        <v>15</v>
      </c>
      <c r="AH169" s="128"/>
      <c r="AI169" s="147" t="s">
        <v>655</v>
      </c>
      <c r="AJ169" s="128"/>
      <c r="AK169" s="128"/>
      <c r="AL169" s="147"/>
      <c r="AM169" s="131"/>
      <c r="AN169" s="128"/>
      <c r="AO169" s="131"/>
      <c r="AP169" s="131"/>
      <c r="AQ169" s="131"/>
      <c r="AR169" s="131"/>
      <c r="AS169" s="131"/>
      <c r="AT169" s="131"/>
      <c r="AU169" s="131"/>
      <c r="AV169" s="131"/>
      <c r="AW169" s="131"/>
      <c r="AX169" s="131"/>
      <c r="AY169" s="131"/>
      <c r="AZ169" s="131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128" t="n">
        <v>8</v>
      </c>
      <c r="BW169" s="128" t="n">
        <v>1</v>
      </c>
      <c r="BX169" s="131" t="s">
        <v>415</v>
      </c>
      <c r="BY169" s="131" t="s">
        <v>584</v>
      </c>
      <c r="BZ169" s="131" t="s">
        <v>380</v>
      </c>
      <c r="CA169" s="131" t="s">
        <v>596</v>
      </c>
      <c r="CB169" s="131" t="s">
        <v>597</v>
      </c>
      <c r="CC169" s="52"/>
      <c r="CD169" s="52"/>
      <c r="CE169" s="52"/>
      <c r="CF169" s="52"/>
      <c r="CG169" s="52"/>
      <c r="CH169" s="52"/>
      <c r="CI169" s="52"/>
      <c r="CJ169" s="16"/>
      <c r="CK169" s="16"/>
      <c r="CL169" s="16"/>
      <c r="CM169" s="16"/>
      <c r="CN169" s="16"/>
      <c r="CO169" s="16"/>
      <c r="CP169" s="16"/>
      <c r="CQ169" s="52"/>
      <c r="CR169" s="52"/>
      <c r="CS169" s="52"/>
      <c r="CT169" s="52"/>
      <c r="CU169" s="52"/>
      <c r="CV169" s="52"/>
      <c r="CW169" s="52"/>
      <c r="CX169" s="52"/>
      <c r="CY169" s="52"/>
      <c r="CZ169" s="52"/>
      <c r="DA169" s="52"/>
      <c r="DB169" s="52"/>
      <c r="DC169" s="52"/>
      <c r="DD169" s="52"/>
      <c r="DE169" s="128" t="n">
        <v>8</v>
      </c>
      <c r="DF169" s="128" t="n">
        <v>3</v>
      </c>
      <c r="DG169" s="131" t="s">
        <v>390</v>
      </c>
      <c r="DH169" s="131" t="s">
        <v>391</v>
      </c>
      <c r="DI169" s="131" t="s">
        <v>383</v>
      </c>
      <c r="DJ169" s="131" t="s">
        <v>384</v>
      </c>
      <c r="DK169" s="131" t="s">
        <v>399</v>
      </c>
      <c r="DL169" s="52"/>
      <c r="DM169" s="52"/>
      <c r="DN169" s="52"/>
      <c r="DO169" s="52"/>
      <c r="DP169" s="52"/>
      <c r="DQ169" s="52"/>
      <c r="DR169" s="52"/>
      <c r="DS169" s="52"/>
      <c r="DT169" s="52"/>
      <c r="DU169" s="52"/>
      <c r="DV169" s="52"/>
      <c r="DW169" s="52"/>
      <c r="DX169" s="52"/>
      <c r="DY169" s="52"/>
      <c r="DZ169" s="52"/>
      <c r="EA169" s="52"/>
      <c r="EB169" s="52"/>
      <c r="EC169" s="52"/>
      <c r="ED169" s="52"/>
      <c r="EE169" s="52"/>
      <c r="EF169" s="52"/>
      <c r="EG169" s="52"/>
      <c r="EH169" s="52"/>
      <c r="EI169" s="52"/>
      <c r="EJ169" s="52"/>
      <c r="EK169" s="52"/>
      <c r="EL169" s="52"/>
      <c r="EM169" s="52"/>
      <c r="EN169" s="52"/>
      <c r="EO169" s="52"/>
      <c r="EP169" s="52"/>
      <c r="EQ169" s="52"/>
      <c r="ER169" s="52"/>
      <c r="ES169" s="52"/>
      <c r="ET169" s="52"/>
      <c r="EU169" s="52"/>
      <c r="EV169" s="52"/>
      <c r="EW169" s="52"/>
      <c r="EX169" s="52"/>
      <c r="EY169" s="52"/>
      <c r="EZ169" s="52"/>
      <c r="FA169" s="52"/>
      <c r="FB169" s="128" t="n">
        <v>8</v>
      </c>
      <c r="FC169" s="128" t="n">
        <v>1</v>
      </c>
      <c r="FD169" s="131" t="s">
        <v>451</v>
      </c>
      <c r="FE169" s="131" t="s">
        <v>410</v>
      </c>
      <c r="FF169" s="131" t="s">
        <v>573</v>
      </c>
      <c r="FG169" s="131" t="s">
        <v>574</v>
      </c>
      <c r="FH169" s="131" t="s">
        <v>378</v>
      </c>
      <c r="FI169" s="52"/>
      <c r="FJ169" s="52"/>
      <c r="FK169" s="52"/>
      <c r="FL169" s="52"/>
      <c r="FM169" s="52"/>
      <c r="FN169" s="52"/>
      <c r="FO169" s="52"/>
      <c r="FP169" s="52"/>
      <c r="FQ169" s="52"/>
      <c r="FR169" s="52"/>
      <c r="FS169" s="52"/>
      <c r="FT169" s="52"/>
      <c r="FU169" s="52"/>
      <c r="FV169" s="52"/>
      <c r="FW169" s="52"/>
      <c r="FX169" s="52"/>
      <c r="FY169" s="52"/>
      <c r="FZ169" s="52"/>
      <c r="GA169" s="52"/>
      <c r="GB169" s="52"/>
      <c r="GC169" s="52"/>
      <c r="GD169" s="52"/>
      <c r="GE169" s="52"/>
      <c r="GF169" s="52"/>
      <c r="GG169" s="52"/>
      <c r="GH169" s="52"/>
      <c r="GI169" s="52"/>
      <c r="GJ169" s="52"/>
      <c r="GK169" s="52"/>
      <c r="GL169" s="52"/>
      <c r="GM169" s="52"/>
      <c r="GN169" s="52"/>
      <c r="GO169" s="52"/>
      <c r="GP169" s="52"/>
      <c r="GQ169" s="52"/>
      <c r="GR169" s="52"/>
      <c r="GS169" s="52"/>
      <c r="GT169" s="52"/>
      <c r="GU169" s="52"/>
      <c r="GV169" s="52"/>
      <c r="GW169" s="52"/>
      <c r="GX169" s="52"/>
      <c r="GY169" s="52"/>
      <c r="GZ169" s="52"/>
      <c r="HA169" s="52"/>
      <c r="HB169" s="52"/>
      <c r="HC169" s="52"/>
      <c r="HD169" s="52"/>
      <c r="HE169" s="52"/>
      <c r="HF169" s="52"/>
      <c r="HG169" s="52"/>
      <c r="HH169" s="52"/>
      <c r="HI169" s="52"/>
      <c r="HJ169" s="52"/>
      <c r="HK169" s="52"/>
      <c r="HL169" s="52"/>
      <c r="HM169" s="39" t="n">
        <v>8</v>
      </c>
      <c r="HN169" s="128" t="n">
        <v>1</v>
      </c>
      <c r="HO169" s="131" t="s">
        <v>451</v>
      </c>
      <c r="HP169" s="131" t="s">
        <v>410</v>
      </c>
      <c r="HQ169" s="131" t="s">
        <v>573</v>
      </c>
      <c r="HR169" s="131" t="s">
        <v>574</v>
      </c>
      <c r="HS169" s="131" t="s">
        <v>378</v>
      </c>
      <c r="HT169" s="39" t="n">
        <v>8</v>
      </c>
      <c r="HU169" s="128" t="n">
        <v>1</v>
      </c>
      <c r="HV169" s="131" t="s">
        <v>451</v>
      </c>
      <c r="HW169" s="131" t="s">
        <v>410</v>
      </c>
      <c r="HX169" s="131" t="s">
        <v>573</v>
      </c>
      <c r="HY169" s="131" t="s">
        <v>574</v>
      </c>
      <c r="HZ169" s="131" t="s">
        <v>378</v>
      </c>
    </row>
    <row r="170" customFormat="false" ht="12.8" hidden="true" customHeight="false" outlineLevel="0" collapsed="false">
      <c r="A170" s="32" t="s">
        <v>311</v>
      </c>
      <c r="B170" s="33" t="s">
        <v>113</v>
      </c>
      <c r="C170" s="33" t="s">
        <v>315</v>
      </c>
      <c r="D170" s="33" t="s">
        <v>316</v>
      </c>
      <c r="E170" s="34" t="s">
        <v>84</v>
      </c>
      <c r="F170" s="35" t="s">
        <v>85</v>
      </c>
      <c r="G170" s="154" t="s">
        <v>651</v>
      </c>
      <c r="H170" s="150"/>
      <c r="I170" s="150" t="s">
        <v>553</v>
      </c>
      <c r="J170" s="148" t="s">
        <v>92</v>
      </c>
      <c r="K170" s="39" t="n">
        <v>13000</v>
      </c>
      <c r="L170" s="18" t="n">
        <v>5</v>
      </c>
      <c r="M170" s="18" t="n">
        <f aca="false">IF(AD170,1,0)+IF(AK170,1,0)+AN170+AU170+BB170+BI170+BP170+BW170+CD170+CK170+CR170+CY170+DF170+DM170+DT170+EA170+EH170+EO170+EV170+FC170+FJ170+FQ170+FX170+GE170+GL170+GS170+GZ170+HG170+HN170+HU170</f>
        <v>0</v>
      </c>
      <c r="N170" s="131"/>
      <c r="O170" s="147" t="n">
        <v>6000</v>
      </c>
      <c r="P170" s="147" t="n">
        <v>0</v>
      </c>
      <c r="Q170" s="147" t="n">
        <v>540</v>
      </c>
      <c r="R170" s="21" t="s">
        <v>652</v>
      </c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31"/>
      <c r="AD170" s="128"/>
      <c r="AE170" s="128"/>
      <c r="AF170" s="128"/>
      <c r="AG170" s="128"/>
      <c r="AH170" s="128"/>
      <c r="AI170" s="147"/>
      <c r="AJ170" s="128"/>
      <c r="AK170" s="128"/>
      <c r="AL170" s="147"/>
      <c r="AM170" s="131"/>
      <c r="AN170" s="128"/>
      <c r="AO170" s="131"/>
      <c r="AP170" s="131"/>
      <c r="AQ170" s="131"/>
      <c r="AR170" s="131"/>
      <c r="AS170" s="131"/>
      <c r="AT170" s="131"/>
      <c r="AU170" s="131"/>
      <c r="AV170" s="131"/>
      <c r="AW170" s="131"/>
      <c r="AX170" s="131"/>
      <c r="AY170" s="131"/>
      <c r="AZ170" s="131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128" t="n">
        <v>6</v>
      </c>
      <c r="BW170" s="128" t="n">
        <v>1</v>
      </c>
      <c r="BX170" s="131" t="s">
        <v>415</v>
      </c>
      <c r="BY170" s="131" t="s">
        <v>584</v>
      </c>
      <c r="BZ170" s="131" t="s">
        <v>579</v>
      </c>
      <c r="CA170" s="131" t="s">
        <v>449</v>
      </c>
      <c r="CB170" s="131" t="s">
        <v>597</v>
      </c>
      <c r="CC170" s="52"/>
      <c r="CD170" s="52"/>
      <c r="CE170" s="52"/>
      <c r="CF170" s="52"/>
      <c r="CG170" s="52"/>
      <c r="CH170" s="52"/>
      <c r="CI170" s="52"/>
      <c r="CJ170" s="16"/>
      <c r="CK170" s="16"/>
      <c r="CL170" s="16"/>
      <c r="CM170" s="16"/>
      <c r="CN170" s="16"/>
      <c r="CO170" s="16"/>
      <c r="CP170" s="16"/>
      <c r="CQ170" s="52"/>
      <c r="CR170" s="52"/>
      <c r="CS170" s="52"/>
      <c r="CT170" s="52"/>
      <c r="CU170" s="52"/>
      <c r="CV170" s="52"/>
      <c r="CW170" s="52"/>
      <c r="CX170" s="128" t="n">
        <v>6</v>
      </c>
      <c r="CY170" s="128" t="n">
        <v>2</v>
      </c>
      <c r="CZ170" s="131" t="s">
        <v>390</v>
      </c>
      <c r="DA170" s="131" t="s">
        <v>391</v>
      </c>
      <c r="DB170" s="131" t="s">
        <v>410</v>
      </c>
      <c r="DC170" s="131" t="s">
        <v>411</v>
      </c>
      <c r="DD170" s="131" t="s">
        <v>399</v>
      </c>
      <c r="DE170" s="52"/>
      <c r="DF170" s="52"/>
      <c r="DG170" s="52"/>
      <c r="DH170" s="52"/>
      <c r="DI170" s="52"/>
      <c r="DJ170" s="52"/>
      <c r="DK170" s="52"/>
      <c r="DL170" s="52"/>
      <c r="DM170" s="52"/>
      <c r="DN170" s="52"/>
      <c r="DO170" s="52"/>
      <c r="DP170" s="52"/>
      <c r="DQ170" s="52"/>
      <c r="DR170" s="52"/>
      <c r="DS170" s="52"/>
      <c r="DT170" s="52"/>
      <c r="DU170" s="52"/>
      <c r="DV170" s="52"/>
      <c r="DW170" s="52"/>
      <c r="DX170" s="52"/>
      <c r="DY170" s="52"/>
      <c r="DZ170" s="52"/>
      <c r="EA170" s="52"/>
      <c r="EB170" s="52"/>
      <c r="EC170" s="52"/>
      <c r="ED170" s="52"/>
      <c r="EE170" s="52"/>
      <c r="EF170" s="52"/>
      <c r="EG170" s="52"/>
      <c r="EH170" s="52"/>
      <c r="EI170" s="52"/>
      <c r="EJ170" s="52"/>
      <c r="EK170" s="52"/>
      <c r="EL170" s="52"/>
      <c r="EM170" s="52"/>
      <c r="EN170" s="52"/>
      <c r="EO170" s="52"/>
      <c r="EP170" s="52"/>
      <c r="EQ170" s="52"/>
      <c r="ER170" s="52"/>
      <c r="ES170" s="52"/>
      <c r="ET170" s="52"/>
      <c r="EU170" s="52"/>
      <c r="EV170" s="52"/>
      <c r="EW170" s="52"/>
      <c r="EX170" s="52"/>
      <c r="EY170" s="52"/>
      <c r="EZ170" s="52"/>
      <c r="FA170" s="52"/>
      <c r="FB170" s="128" t="n">
        <v>6</v>
      </c>
      <c r="FC170" s="128" t="n">
        <v>1</v>
      </c>
      <c r="FD170" s="131" t="s">
        <v>451</v>
      </c>
      <c r="FE170" s="131" t="s">
        <v>410</v>
      </c>
      <c r="FF170" s="131" t="s">
        <v>452</v>
      </c>
      <c r="FG170" s="131" t="s">
        <v>453</v>
      </c>
      <c r="FH170" s="131" t="s">
        <v>378</v>
      </c>
      <c r="FI170" s="52"/>
      <c r="FJ170" s="52"/>
      <c r="FK170" s="52"/>
      <c r="FL170" s="52"/>
      <c r="FM170" s="52"/>
      <c r="FN170" s="52"/>
      <c r="FO170" s="52"/>
      <c r="FP170" s="52"/>
      <c r="FQ170" s="52"/>
      <c r="FR170" s="52"/>
      <c r="FS170" s="52"/>
      <c r="FT170" s="52"/>
      <c r="FU170" s="52"/>
      <c r="FV170" s="52"/>
      <c r="FW170" s="52"/>
      <c r="FX170" s="52"/>
      <c r="FY170" s="52"/>
      <c r="FZ170" s="52"/>
      <c r="GA170" s="52"/>
      <c r="GB170" s="52"/>
      <c r="GC170" s="52"/>
      <c r="GD170" s="52"/>
      <c r="GE170" s="52"/>
      <c r="GF170" s="52"/>
      <c r="GG170" s="52"/>
      <c r="GH170" s="52"/>
      <c r="GI170" s="52"/>
      <c r="GJ170" s="52"/>
      <c r="GK170" s="52"/>
      <c r="GL170" s="52"/>
      <c r="GM170" s="52"/>
      <c r="GN170" s="52"/>
      <c r="GO170" s="52"/>
      <c r="GP170" s="52"/>
      <c r="GQ170" s="52"/>
      <c r="GR170" s="52"/>
      <c r="GS170" s="52"/>
      <c r="GT170" s="52"/>
      <c r="GU170" s="52"/>
      <c r="GV170" s="52"/>
      <c r="GW170" s="52"/>
      <c r="GX170" s="52"/>
      <c r="GY170" s="52"/>
      <c r="GZ170" s="52"/>
      <c r="HA170" s="52"/>
      <c r="HB170" s="52"/>
      <c r="HC170" s="52"/>
      <c r="HD170" s="52"/>
      <c r="HE170" s="52"/>
      <c r="HF170" s="52"/>
      <c r="HG170" s="52"/>
      <c r="HH170" s="52"/>
      <c r="HI170" s="52"/>
      <c r="HJ170" s="52"/>
      <c r="HK170" s="52"/>
      <c r="HL170" s="52"/>
      <c r="HM170" s="39" t="n">
        <v>6</v>
      </c>
      <c r="HN170" s="128" t="n">
        <v>2</v>
      </c>
      <c r="HO170" s="131" t="s">
        <v>451</v>
      </c>
      <c r="HP170" s="131" t="s">
        <v>410</v>
      </c>
      <c r="HQ170" s="131" t="s">
        <v>452</v>
      </c>
      <c r="HR170" s="131" t="s">
        <v>453</v>
      </c>
      <c r="HS170" s="131" t="s">
        <v>378</v>
      </c>
      <c r="HT170" s="39" t="n">
        <v>6</v>
      </c>
      <c r="HU170" s="128" t="n">
        <v>1</v>
      </c>
      <c r="HV170" s="131" t="s">
        <v>451</v>
      </c>
      <c r="HW170" s="131" t="s">
        <v>410</v>
      </c>
      <c r="HX170" s="162" t="s">
        <v>773</v>
      </c>
      <c r="HY170" s="131" t="s">
        <v>453</v>
      </c>
      <c r="HZ170" s="131" t="s">
        <v>378</v>
      </c>
    </row>
    <row r="171" customFormat="false" ht="12.8" hidden="true" customHeight="false" outlineLevel="0" collapsed="false">
      <c r="A171" s="152" t="s">
        <v>311</v>
      </c>
      <c r="B171" s="153" t="s">
        <v>158</v>
      </c>
      <c r="C171" s="153" t="s">
        <v>317</v>
      </c>
      <c r="D171" s="153" t="s">
        <v>318</v>
      </c>
      <c r="E171" s="130" t="s">
        <v>84</v>
      </c>
      <c r="F171" s="17" t="s">
        <v>85</v>
      </c>
      <c r="G171" s="154" t="s">
        <v>774</v>
      </c>
      <c r="H171" s="148" t="s">
        <v>92</v>
      </c>
      <c r="I171" s="150" t="s">
        <v>760</v>
      </c>
      <c r="J171" s="148" t="s">
        <v>92</v>
      </c>
      <c r="K171" s="39" t="n">
        <v>13000</v>
      </c>
      <c r="L171" s="18" t="n">
        <v>6</v>
      </c>
      <c r="M171" s="18" t="n">
        <f aca="false">IF(AD171,1,0)+IF(AK171,1,0)+AN171+AU171+BB171+BI171+BP171+BW171+CD171+CK171+CR171+CY171+DF171+DM171+DT171+EA171+EH171+EO171+EV171+FC171+FJ171+FQ171+FX171+GE171+GL171+GS171+GZ171+HG171+HN171+HU171</f>
        <v>0</v>
      </c>
      <c r="N171" s="131"/>
      <c r="O171" s="147" t="n">
        <v>16000</v>
      </c>
      <c r="P171" s="147" t="n">
        <v>0</v>
      </c>
      <c r="Q171" s="147" t="n">
        <v>3360</v>
      </c>
      <c r="R171" s="21" t="s">
        <v>734</v>
      </c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23" t="s">
        <v>739</v>
      </c>
      <c r="AD171" s="128" t="n">
        <v>15</v>
      </c>
      <c r="AE171" s="128"/>
      <c r="AF171" s="128" t="n">
        <v>90</v>
      </c>
      <c r="AG171" s="128" t="n">
        <v>30</v>
      </c>
      <c r="AH171" s="128" t="n">
        <v>15</v>
      </c>
      <c r="AI171" s="147" t="s">
        <v>740</v>
      </c>
      <c r="AJ171" s="128"/>
      <c r="AK171" s="128"/>
      <c r="AL171" s="147"/>
      <c r="AM171" s="128" t="n">
        <v>10</v>
      </c>
      <c r="AN171" s="128" t="n">
        <v>1</v>
      </c>
      <c r="AO171" s="131" t="s">
        <v>633</v>
      </c>
      <c r="AP171" s="131" t="s">
        <v>634</v>
      </c>
      <c r="AQ171" s="131" t="s">
        <v>635</v>
      </c>
      <c r="AR171" s="131" t="s">
        <v>636</v>
      </c>
      <c r="AS171" s="131" t="s">
        <v>563</v>
      </c>
      <c r="AT171" s="128" t="n">
        <v>10</v>
      </c>
      <c r="AU171" s="128" t="n">
        <v>1</v>
      </c>
      <c r="AV171" s="131" t="s">
        <v>383</v>
      </c>
      <c r="AW171" s="131" t="s">
        <v>574</v>
      </c>
      <c r="AX171" s="131" t="s">
        <v>467</v>
      </c>
      <c r="AY171" s="131" t="s">
        <v>468</v>
      </c>
      <c r="AZ171" s="131" t="s">
        <v>380</v>
      </c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16"/>
      <c r="CK171" s="16"/>
      <c r="CL171" s="16"/>
      <c r="CM171" s="16"/>
      <c r="CN171" s="16"/>
      <c r="CO171" s="16"/>
      <c r="CP171" s="16"/>
      <c r="CQ171" s="52"/>
      <c r="CR171" s="52"/>
      <c r="CS171" s="52"/>
      <c r="CT171" s="52"/>
      <c r="CU171" s="52"/>
      <c r="CV171" s="52"/>
      <c r="CW171" s="52"/>
      <c r="CX171" s="52"/>
      <c r="CY171" s="52"/>
      <c r="CZ171" s="52"/>
      <c r="DA171" s="52"/>
      <c r="DB171" s="52"/>
      <c r="DC171" s="52"/>
      <c r="DD171" s="52"/>
      <c r="DE171" s="52"/>
      <c r="DF171" s="52"/>
      <c r="DG171" s="52"/>
      <c r="DH171" s="52"/>
      <c r="DI171" s="52"/>
      <c r="DJ171" s="52"/>
      <c r="DK171" s="52"/>
      <c r="DL171" s="52"/>
      <c r="DM171" s="52"/>
      <c r="DN171" s="52"/>
      <c r="DO171" s="52"/>
      <c r="DP171" s="52"/>
      <c r="DQ171" s="52"/>
      <c r="DR171" s="52"/>
      <c r="DS171" s="128" t="n">
        <v>10</v>
      </c>
      <c r="DT171" s="128" t="n">
        <v>2</v>
      </c>
      <c r="DU171" s="131" t="s">
        <v>381</v>
      </c>
      <c r="DV171" s="131" t="s">
        <v>382</v>
      </c>
      <c r="DW171" s="131" t="s">
        <v>383</v>
      </c>
      <c r="DX171" s="131" t="s">
        <v>384</v>
      </c>
      <c r="DY171" s="131" t="s">
        <v>399</v>
      </c>
      <c r="DZ171" s="52"/>
      <c r="EA171" s="52"/>
      <c r="EB171" s="52"/>
      <c r="EC171" s="52"/>
      <c r="ED171" s="52"/>
      <c r="EE171" s="52"/>
      <c r="EF171" s="52"/>
      <c r="EG171" s="52"/>
      <c r="EH171" s="52"/>
      <c r="EI171" s="52"/>
      <c r="EJ171" s="52"/>
      <c r="EK171" s="52"/>
      <c r="EL171" s="52"/>
      <c r="EM171" s="52"/>
      <c r="EN171" s="52"/>
      <c r="EO171" s="52"/>
      <c r="EP171" s="52"/>
      <c r="EQ171" s="52"/>
      <c r="ER171" s="52"/>
      <c r="ES171" s="52"/>
      <c r="ET171" s="52"/>
      <c r="EU171" s="52"/>
      <c r="EV171" s="52"/>
      <c r="EW171" s="52"/>
      <c r="EX171" s="52"/>
      <c r="EY171" s="52"/>
      <c r="EZ171" s="52"/>
      <c r="FA171" s="52"/>
      <c r="FB171" s="128" t="n">
        <v>10</v>
      </c>
      <c r="FC171" s="128" t="n">
        <v>2</v>
      </c>
      <c r="FD171" s="131" t="s">
        <v>572</v>
      </c>
      <c r="FE171" s="131" t="s">
        <v>383</v>
      </c>
      <c r="FF171" s="131" t="s">
        <v>573</v>
      </c>
      <c r="FG171" s="131" t="s">
        <v>574</v>
      </c>
      <c r="FH171" s="131" t="s">
        <v>378</v>
      </c>
      <c r="FI171" s="52"/>
      <c r="FJ171" s="52"/>
      <c r="FK171" s="52"/>
      <c r="FL171" s="52"/>
      <c r="FM171" s="52"/>
      <c r="FN171" s="52"/>
      <c r="FO171" s="52"/>
      <c r="FP171" s="52"/>
      <c r="FQ171" s="52"/>
      <c r="FR171" s="52"/>
      <c r="FS171" s="52"/>
      <c r="FT171" s="52"/>
      <c r="FU171" s="52"/>
      <c r="FV171" s="52"/>
      <c r="FW171" s="52"/>
      <c r="FX171" s="52"/>
      <c r="FY171" s="52"/>
      <c r="FZ171" s="52"/>
      <c r="GA171" s="52"/>
      <c r="GB171" s="52"/>
      <c r="GC171" s="52"/>
      <c r="GD171" s="52"/>
      <c r="GE171" s="52"/>
      <c r="GF171" s="52"/>
      <c r="GG171" s="52"/>
      <c r="GH171" s="52"/>
      <c r="GI171" s="52"/>
      <c r="GJ171" s="52"/>
      <c r="GK171" s="52"/>
      <c r="GL171" s="52"/>
      <c r="GM171" s="52"/>
      <c r="GN171" s="52"/>
      <c r="GO171" s="52"/>
      <c r="GP171" s="52"/>
      <c r="GQ171" s="52"/>
      <c r="GR171" s="52"/>
      <c r="GS171" s="52"/>
      <c r="GT171" s="52"/>
      <c r="GU171" s="52"/>
      <c r="GV171" s="52"/>
      <c r="GW171" s="52"/>
      <c r="GX171" s="52"/>
      <c r="GY171" s="128" t="n">
        <v>10</v>
      </c>
      <c r="GZ171" s="128" t="n">
        <v>1</v>
      </c>
      <c r="HA171" s="131" t="s">
        <v>381</v>
      </c>
      <c r="HB171" s="131" t="s">
        <v>382</v>
      </c>
      <c r="HC171" s="131" t="s">
        <v>383</v>
      </c>
      <c r="HD171" s="131" t="s">
        <v>384</v>
      </c>
      <c r="HE171" s="131" t="s">
        <v>399</v>
      </c>
      <c r="HF171" s="52"/>
      <c r="HG171" s="52"/>
      <c r="HH171" s="52"/>
      <c r="HI171" s="52"/>
      <c r="HJ171" s="52"/>
      <c r="HK171" s="52"/>
      <c r="HL171" s="52"/>
      <c r="HM171" s="52"/>
      <c r="HN171" s="52"/>
      <c r="HO171" s="52"/>
      <c r="HP171" s="52"/>
      <c r="HQ171" s="52"/>
      <c r="HR171" s="52"/>
      <c r="HS171" s="52"/>
      <c r="HT171" s="39" t="n">
        <v>10</v>
      </c>
      <c r="HU171" s="128" t="n">
        <v>1</v>
      </c>
      <c r="HV171" s="131" t="s">
        <v>572</v>
      </c>
      <c r="HW171" s="131" t="s">
        <v>383</v>
      </c>
      <c r="HX171" s="131" t="s">
        <v>573</v>
      </c>
      <c r="HY171" s="131" t="s">
        <v>574</v>
      </c>
      <c r="HZ171" s="131" t="s">
        <v>378</v>
      </c>
    </row>
    <row r="172" customFormat="false" ht="12.8" hidden="true" customHeight="false" outlineLevel="0" collapsed="false">
      <c r="A172" s="152" t="s">
        <v>311</v>
      </c>
      <c r="B172" s="153" t="s">
        <v>158</v>
      </c>
      <c r="C172" s="153" t="s">
        <v>317</v>
      </c>
      <c r="D172" s="153" t="s">
        <v>318</v>
      </c>
      <c r="E172" s="130" t="s">
        <v>84</v>
      </c>
      <c r="F172" s="17" t="s">
        <v>85</v>
      </c>
      <c r="G172" s="154" t="s">
        <v>775</v>
      </c>
      <c r="H172" s="150"/>
      <c r="I172" s="150" t="s">
        <v>553</v>
      </c>
      <c r="J172" s="148" t="s">
        <v>92</v>
      </c>
      <c r="K172" s="39" t="n">
        <v>13000</v>
      </c>
      <c r="L172" s="18" t="n">
        <v>4</v>
      </c>
      <c r="M172" s="18" t="n">
        <f aca="false">IF(AD172,1,0)+IF(AK172,1,0)+AN172+AU172+BB172+BI172+BP172+BW172+CD172+CK172+CR172+CY172+DF172+DM172+DT172+EA172+EH172+EO172+EV172+FC172+FJ172+FQ172+FX172+GE172+GL172+GS172+GZ172+HG172+HN172+HU172</f>
        <v>0</v>
      </c>
      <c r="N172" s="131"/>
      <c r="O172" s="147" t="n">
        <v>12900</v>
      </c>
      <c r="P172" s="147" t="n">
        <v>1663</v>
      </c>
      <c r="Q172" s="147" t="n">
        <v>1539</v>
      </c>
      <c r="R172" s="21" t="s">
        <v>45</v>
      </c>
      <c r="S172" s="21" t="s">
        <v>46</v>
      </c>
      <c r="T172" s="18"/>
      <c r="U172" s="18"/>
      <c r="V172" s="18"/>
      <c r="W172" s="18"/>
      <c r="X172" s="18"/>
      <c r="Y172" s="18"/>
      <c r="Z172" s="18"/>
      <c r="AA172" s="18"/>
      <c r="AB172" s="18"/>
      <c r="AC172" s="131"/>
      <c r="AD172" s="128"/>
      <c r="AE172" s="128"/>
      <c r="AF172" s="128"/>
      <c r="AG172" s="128"/>
      <c r="AH172" s="128"/>
      <c r="AI172" s="147"/>
      <c r="AJ172" s="128"/>
      <c r="AK172" s="128"/>
      <c r="AL172" s="147"/>
      <c r="AM172" s="131"/>
      <c r="AN172" s="128"/>
      <c r="AO172" s="131"/>
      <c r="AP172" s="131"/>
      <c r="AQ172" s="131"/>
      <c r="AR172" s="131"/>
      <c r="AS172" s="131"/>
      <c r="AT172" s="131"/>
      <c r="AU172" s="131"/>
      <c r="AV172" s="131"/>
      <c r="AW172" s="131"/>
      <c r="AX172" s="131"/>
      <c r="AY172" s="131"/>
      <c r="AZ172" s="131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128" t="n">
        <v>10</v>
      </c>
      <c r="BW172" s="128" t="n">
        <v>1</v>
      </c>
      <c r="BX172" s="131" t="s">
        <v>399</v>
      </c>
      <c r="BY172" s="131" t="s">
        <v>615</v>
      </c>
      <c r="BZ172" s="131" t="s">
        <v>380</v>
      </c>
      <c r="CA172" s="131" t="s">
        <v>596</v>
      </c>
      <c r="CB172" s="131" t="s">
        <v>597</v>
      </c>
      <c r="CC172" s="52"/>
      <c r="CD172" s="52"/>
      <c r="CE172" s="52"/>
      <c r="CF172" s="52"/>
      <c r="CG172" s="52"/>
      <c r="CH172" s="52"/>
      <c r="CI172" s="52"/>
      <c r="CJ172" s="16"/>
      <c r="CK172" s="16"/>
      <c r="CL172" s="16"/>
      <c r="CM172" s="16"/>
      <c r="CN172" s="16"/>
      <c r="CO172" s="16"/>
      <c r="CP172" s="16"/>
      <c r="CQ172" s="52"/>
      <c r="CR172" s="52"/>
      <c r="CS172" s="52"/>
      <c r="CT172" s="52"/>
      <c r="CU172" s="52"/>
      <c r="CV172" s="52"/>
      <c r="CW172" s="52"/>
      <c r="CX172" s="52"/>
      <c r="CY172" s="52"/>
      <c r="CZ172" s="52"/>
      <c r="DA172" s="52"/>
      <c r="DB172" s="52"/>
      <c r="DC172" s="52"/>
      <c r="DD172" s="52"/>
      <c r="DE172" s="128" t="n">
        <v>10</v>
      </c>
      <c r="DF172" s="128" t="n">
        <v>2</v>
      </c>
      <c r="DG172" s="131" t="s">
        <v>381</v>
      </c>
      <c r="DH172" s="131" t="s">
        <v>382</v>
      </c>
      <c r="DI172" s="131" t="s">
        <v>383</v>
      </c>
      <c r="DJ172" s="131" t="s">
        <v>384</v>
      </c>
      <c r="DK172" s="131" t="s">
        <v>399</v>
      </c>
      <c r="DL172" s="52"/>
      <c r="DM172" s="52"/>
      <c r="DN172" s="52"/>
      <c r="DO172" s="52"/>
      <c r="DP172" s="52"/>
      <c r="DQ172" s="52"/>
      <c r="DR172" s="52"/>
      <c r="DS172" s="52"/>
      <c r="DT172" s="52"/>
      <c r="DU172" s="52"/>
      <c r="DV172" s="52"/>
      <c r="DW172" s="52"/>
      <c r="DX172" s="52"/>
      <c r="DY172" s="52"/>
      <c r="DZ172" s="52"/>
      <c r="EA172" s="52"/>
      <c r="EB172" s="52"/>
      <c r="EC172" s="52"/>
      <c r="ED172" s="52"/>
      <c r="EE172" s="52"/>
      <c r="EF172" s="52"/>
      <c r="EG172" s="52"/>
      <c r="EH172" s="52"/>
      <c r="EI172" s="52"/>
      <c r="EJ172" s="52"/>
      <c r="EK172" s="52"/>
      <c r="EL172" s="52"/>
      <c r="EM172" s="52"/>
      <c r="EN172" s="52"/>
      <c r="EO172" s="52"/>
      <c r="EP172" s="52"/>
      <c r="EQ172" s="52"/>
      <c r="ER172" s="52"/>
      <c r="ES172" s="52"/>
      <c r="ET172" s="52"/>
      <c r="EU172" s="52"/>
      <c r="EV172" s="52"/>
      <c r="EW172" s="52"/>
      <c r="EX172" s="52"/>
      <c r="EY172" s="52"/>
      <c r="EZ172" s="52"/>
      <c r="FA172" s="52"/>
      <c r="FB172" s="128" t="n">
        <v>10</v>
      </c>
      <c r="FC172" s="128" t="n">
        <v>1</v>
      </c>
      <c r="FD172" s="131" t="s">
        <v>572</v>
      </c>
      <c r="FE172" s="131" t="s">
        <v>383</v>
      </c>
      <c r="FF172" s="131" t="s">
        <v>573</v>
      </c>
      <c r="FG172" s="131" t="s">
        <v>574</v>
      </c>
      <c r="FH172" s="131" t="s">
        <v>378</v>
      </c>
      <c r="FI172" s="52"/>
      <c r="FJ172" s="52"/>
      <c r="FK172" s="52"/>
      <c r="FL172" s="52"/>
      <c r="FM172" s="52"/>
      <c r="FN172" s="52"/>
      <c r="FO172" s="52"/>
      <c r="FP172" s="52"/>
      <c r="FQ172" s="52"/>
      <c r="FR172" s="52"/>
      <c r="FS172" s="52"/>
      <c r="FT172" s="52"/>
      <c r="FU172" s="52"/>
      <c r="FV172" s="52"/>
      <c r="FW172" s="52"/>
      <c r="FX172" s="52"/>
      <c r="FY172" s="52"/>
      <c r="FZ172" s="52"/>
      <c r="GA172" s="52"/>
      <c r="GB172" s="52"/>
      <c r="GC172" s="52"/>
      <c r="GD172" s="52"/>
      <c r="GE172" s="52"/>
      <c r="GF172" s="52"/>
      <c r="GG172" s="52"/>
      <c r="GH172" s="52"/>
      <c r="GI172" s="52"/>
      <c r="GJ172" s="52"/>
      <c r="GK172" s="52"/>
      <c r="GL172" s="52"/>
      <c r="GM172" s="52"/>
      <c r="GN172" s="52"/>
      <c r="GO172" s="52"/>
      <c r="GP172" s="52"/>
      <c r="GQ172" s="52"/>
      <c r="GR172" s="52"/>
      <c r="GS172" s="52"/>
      <c r="GT172" s="52"/>
      <c r="GU172" s="52"/>
      <c r="GV172" s="52"/>
      <c r="GW172" s="52"/>
      <c r="GX172" s="52"/>
      <c r="GY172" s="52"/>
      <c r="GZ172" s="52"/>
      <c r="HA172" s="52"/>
      <c r="HB172" s="52"/>
      <c r="HC172" s="52"/>
      <c r="HD172" s="52"/>
      <c r="HE172" s="52"/>
      <c r="HF172" s="39" t="n">
        <v>10</v>
      </c>
      <c r="HG172" s="128" t="n">
        <v>2</v>
      </c>
      <c r="HH172" s="131" t="s">
        <v>572</v>
      </c>
      <c r="HI172" s="131" t="s">
        <v>383</v>
      </c>
      <c r="HJ172" s="131" t="s">
        <v>573</v>
      </c>
      <c r="HK172" s="131" t="s">
        <v>574</v>
      </c>
      <c r="HL172" s="131" t="s">
        <v>378</v>
      </c>
      <c r="HM172" s="52"/>
      <c r="HN172" s="52"/>
      <c r="HO172" s="52"/>
      <c r="HP172" s="52"/>
      <c r="HQ172" s="52"/>
      <c r="HR172" s="52"/>
      <c r="HS172" s="52"/>
      <c r="HT172" s="131"/>
      <c r="HU172" s="128"/>
      <c r="HV172" s="131"/>
      <c r="HW172" s="131"/>
      <c r="HX172" s="131"/>
      <c r="HY172" s="131"/>
      <c r="HZ172" s="131"/>
    </row>
    <row r="173" customFormat="false" ht="12.8" hidden="true" customHeight="false" outlineLevel="0" collapsed="false">
      <c r="A173" s="152" t="s">
        <v>311</v>
      </c>
      <c r="B173" s="153" t="s">
        <v>158</v>
      </c>
      <c r="C173" s="153" t="s">
        <v>317</v>
      </c>
      <c r="D173" s="153" t="s">
        <v>318</v>
      </c>
      <c r="E173" s="130" t="s">
        <v>84</v>
      </c>
      <c r="F173" s="17" t="s">
        <v>85</v>
      </c>
      <c r="G173" s="154" t="s">
        <v>776</v>
      </c>
      <c r="H173" s="148" t="s">
        <v>92</v>
      </c>
      <c r="I173" s="150" t="s">
        <v>765</v>
      </c>
      <c r="J173" s="148" t="s">
        <v>498</v>
      </c>
      <c r="K173" s="39" t="n">
        <v>13000</v>
      </c>
      <c r="L173" s="18"/>
      <c r="M173" s="18" t="n">
        <f aca="false">IF(AD173,1,0)+IF(AK173,1,0)+AN173+AU173+BB173+BI173+BP173+BW173+CD173+CK173+CR173+CY173+DF173+DM173+DT173+EA173+EH173+EO173+EV173+FC173+FJ173+FQ173+FX173+GE173+GL173+GS173+GZ173+HG173+HN173+HU173</f>
        <v>0</v>
      </c>
      <c r="N173" s="131"/>
      <c r="O173" s="147"/>
      <c r="P173" s="147"/>
      <c r="Q173" s="147"/>
      <c r="R173" s="12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31"/>
      <c r="AD173" s="128"/>
      <c r="AE173" s="128"/>
      <c r="AF173" s="128"/>
      <c r="AG173" s="128"/>
      <c r="AH173" s="128"/>
      <c r="AI173" s="147"/>
      <c r="AJ173" s="128"/>
      <c r="AK173" s="128"/>
      <c r="AL173" s="147"/>
      <c r="AM173" s="131"/>
      <c r="AN173" s="128"/>
      <c r="AO173" s="131"/>
      <c r="AP173" s="131"/>
      <c r="AQ173" s="131"/>
      <c r="AR173" s="131"/>
      <c r="AS173" s="131"/>
      <c r="AT173" s="131"/>
      <c r="AU173" s="131"/>
      <c r="AV173" s="131"/>
      <c r="AW173" s="131"/>
      <c r="AX173" s="131"/>
      <c r="AY173" s="131"/>
      <c r="AZ173" s="131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16"/>
      <c r="CK173" s="16"/>
      <c r="CL173" s="16"/>
      <c r="CM173" s="16"/>
      <c r="CN173" s="16"/>
      <c r="CO173" s="16"/>
      <c r="CP173" s="16"/>
      <c r="CQ173" s="52"/>
      <c r="CR173" s="52"/>
      <c r="CS173" s="52"/>
      <c r="CT173" s="52"/>
      <c r="CU173" s="52"/>
      <c r="CV173" s="52"/>
      <c r="CW173" s="52"/>
      <c r="CX173" s="52"/>
      <c r="CY173" s="52"/>
      <c r="CZ173" s="52"/>
      <c r="DA173" s="52"/>
      <c r="DB173" s="52"/>
      <c r="DC173" s="52"/>
      <c r="DD173" s="52"/>
      <c r="DE173" s="52"/>
      <c r="DF173" s="52"/>
      <c r="DG173" s="52"/>
      <c r="DH173" s="52"/>
      <c r="DI173" s="52"/>
      <c r="DJ173" s="52"/>
      <c r="DK173" s="52"/>
      <c r="DL173" s="52"/>
      <c r="DM173" s="52"/>
      <c r="DN173" s="52"/>
      <c r="DO173" s="52"/>
      <c r="DP173" s="52"/>
      <c r="DQ173" s="52"/>
      <c r="DR173" s="52"/>
      <c r="DS173" s="52"/>
      <c r="DT173" s="52"/>
      <c r="DU173" s="52"/>
      <c r="DV173" s="52"/>
      <c r="DW173" s="52"/>
      <c r="DX173" s="52"/>
      <c r="DY173" s="52"/>
      <c r="DZ173" s="52"/>
      <c r="EA173" s="52"/>
      <c r="EB173" s="52"/>
      <c r="EC173" s="52"/>
      <c r="ED173" s="52"/>
      <c r="EE173" s="52"/>
      <c r="EF173" s="52"/>
      <c r="EG173" s="52"/>
      <c r="EH173" s="52"/>
      <c r="EI173" s="52"/>
      <c r="EJ173" s="52"/>
      <c r="EK173" s="52"/>
      <c r="EL173" s="52"/>
      <c r="EM173" s="52"/>
      <c r="EN173" s="52"/>
      <c r="EO173" s="52"/>
      <c r="EP173" s="52"/>
      <c r="EQ173" s="52"/>
      <c r="ER173" s="52"/>
      <c r="ES173" s="52"/>
      <c r="ET173" s="52"/>
      <c r="EU173" s="52"/>
      <c r="EV173" s="52"/>
      <c r="EW173" s="52"/>
      <c r="EX173" s="52"/>
      <c r="EY173" s="52"/>
      <c r="EZ173" s="52"/>
      <c r="FA173" s="52"/>
      <c r="FB173" s="52"/>
      <c r="FC173" s="52"/>
      <c r="FD173" s="52"/>
      <c r="FE173" s="52"/>
      <c r="FF173" s="52"/>
      <c r="FG173" s="52"/>
      <c r="FH173" s="52"/>
      <c r="FI173" s="52"/>
      <c r="FJ173" s="52"/>
      <c r="FK173" s="52"/>
      <c r="FL173" s="52"/>
      <c r="FM173" s="52"/>
      <c r="FN173" s="52"/>
      <c r="FO173" s="52"/>
      <c r="FP173" s="52"/>
      <c r="FQ173" s="52"/>
      <c r="FR173" s="52"/>
      <c r="FS173" s="52"/>
      <c r="FT173" s="52"/>
      <c r="FU173" s="52"/>
      <c r="FV173" s="52"/>
      <c r="FW173" s="52"/>
      <c r="FX173" s="52"/>
      <c r="FY173" s="52"/>
      <c r="FZ173" s="52"/>
      <c r="GA173" s="52"/>
      <c r="GB173" s="52"/>
      <c r="GC173" s="52"/>
      <c r="GD173" s="52"/>
      <c r="GE173" s="52"/>
      <c r="GF173" s="52"/>
      <c r="GG173" s="52"/>
      <c r="GH173" s="52"/>
      <c r="GI173" s="52"/>
      <c r="GJ173" s="52"/>
      <c r="GK173" s="52"/>
      <c r="GL173" s="52"/>
      <c r="GM173" s="52"/>
      <c r="GN173" s="52"/>
      <c r="GO173" s="52"/>
      <c r="GP173" s="52"/>
      <c r="GQ173" s="52"/>
      <c r="GR173" s="52"/>
      <c r="GS173" s="52"/>
      <c r="GT173" s="52"/>
      <c r="GU173" s="52"/>
      <c r="GV173" s="52"/>
      <c r="GW173" s="52"/>
      <c r="GX173" s="52"/>
      <c r="GY173" s="52"/>
      <c r="GZ173" s="52"/>
      <c r="HA173" s="52"/>
      <c r="HB173" s="52"/>
      <c r="HC173" s="52"/>
      <c r="HD173" s="52"/>
      <c r="HE173" s="52"/>
      <c r="HF173" s="52"/>
      <c r="HG173" s="52"/>
      <c r="HH173" s="52"/>
      <c r="HI173" s="52"/>
      <c r="HJ173" s="52"/>
      <c r="HK173" s="52"/>
      <c r="HL173" s="52"/>
      <c r="HM173" s="52"/>
      <c r="HN173" s="52"/>
      <c r="HO173" s="52"/>
      <c r="HP173" s="52"/>
      <c r="HQ173" s="52"/>
      <c r="HR173" s="52"/>
      <c r="HS173" s="52"/>
      <c r="HT173" s="131"/>
      <c r="HU173" s="128"/>
      <c r="HV173" s="131"/>
      <c r="HW173" s="131"/>
      <c r="HX173" s="131"/>
      <c r="HY173" s="131"/>
      <c r="HZ173" s="131"/>
    </row>
    <row r="174" customFormat="false" ht="12.8" hidden="true" customHeight="false" outlineLevel="0" collapsed="false">
      <c r="A174" s="152" t="s">
        <v>311</v>
      </c>
      <c r="B174" s="153" t="s">
        <v>158</v>
      </c>
      <c r="C174" s="153" t="s">
        <v>317</v>
      </c>
      <c r="D174" s="153" t="s">
        <v>318</v>
      </c>
      <c r="E174" s="130" t="s">
        <v>84</v>
      </c>
      <c r="F174" s="17" t="s">
        <v>85</v>
      </c>
      <c r="G174" s="154" t="s">
        <v>775</v>
      </c>
      <c r="H174" s="150"/>
      <c r="I174" s="150" t="s">
        <v>559</v>
      </c>
      <c r="J174" s="148" t="s">
        <v>498</v>
      </c>
      <c r="K174" s="39" t="n">
        <v>13000</v>
      </c>
      <c r="L174" s="18"/>
      <c r="M174" s="18" t="n">
        <f aca="false">IF(AD174,1,0)+IF(AK174,1,0)+AN174+AU174+BB174+BI174+BP174+BW174+CD174+CK174+CR174+CY174+DF174+DM174+DT174+EA174+EH174+EO174+EV174+FC174+FJ174+FQ174+FX174+GE174+GL174+GS174+GZ174+HG174+HN174+HU174</f>
        <v>0</v>
      </c>
      <c r="N174" s="131"/>
      <c r="O174" s="147"/>
      <c r="P174" s="147"/>
      <c r="Q174" s="147"/>
      <c r="R174" s="12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31"/>
      <c r="AD174" s="128"/>
      <c r="AE174" s="128"/>
      <c r="AF174" s="128"/>
      <c r="AG174" s="128"/>
      <c r="AH174" s="128"/>
      <c r="AI174" s="147"/>
      <c r="AJ174" s="128"/>
      <c r="AK174" s="128"/>
      <c r="AL174" s="147"/>
      <c r="AM174" s="131"/>
      <c r="AN174" s="128"/>
      <c r="AO174" s="131"/>
      <c r="AP174" s="131"/>
      <c r="AQ174" s="131"/>
      <c r="AR174" s="131"/>
      <c r="AS174" s="131"/>
      <c r="AT174" s="131"/>
      <c r="AU174" s="131"/>
      <c r="AV174" s="131"/>
      <c r="AW174" s="131"/>
      <c r="AX174" s="131"/>
      <c r="AY174" s="131"/>
      <c r="AZ174" s="131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16"/>
      <c r="CK174" s="16"/>
      <c r="CL174" s="16"/>
      <c r="CM174" s="16"/>
      <c r="CN174" s="16"/>
      <c r="CO174" s="16"/>
      <c r="CP174" s="16"/>
      <c r="CQ174" s="52"/>
      <c r="CR174" s="52"/>
      <c r="CS174" s="52"/>
      <c r="CT174" s="52"/>
      <c r="CU174" s="52"/>
      <c r="CV174" s="52"/>
      <c r="CW174" s="52"/>
      <c r="CX174" s="52"/>
      <c r="CY174" s="52"/>
      <c r="CZ174" s="52"/>
      <c r="DA174" s="52"/>
      <c r="DB174" s="52"/>
      <c r="DC174" s="52"/>
      <c r="DD174" s="52"/>
      <c r="DE174" s="52"/>
      <c r="DF174" s="52"/>
      <c r="DG174" s="52"/>
      <c r="DH174" s="52"/>
      <c r="DI174" s="52"/>
      <c r="DJ174" s="52"/>
      <c r="DK174" s="52"/>
      <c r="DL174" s="52"/>
      <c r="DM174" s="52"/>
      <c r="DN174" s="52"/>
      <c r="DO174" s="52"/>
      <c r="DP174" s="52"/>
      <c r="DQ174" s="52"/>
      <c r="DR174" s="52"/>
      <c r="DS174" s="52"/>
      <c r="DT174" s="52"/>
      <c r="DU174" s="52"/>
      <c r="DV174" s="52"/>
      <c r="DW174" s="52"/>
      <c r="DX174" s="52"/>
      <c r="DY174" s="52"/>
      <c r="DZ174" s="52"/>
      <c r="EA174" s="52"/>
      <c r="EB174" s="52"/>
      <c r="EC174" s="52"/>
      <c r="ED174" s="52"/>
      <c r="EE174" s="52"/>
      <c r="EF174" s="52"/>
      <c r="EG174" s="52"/>
      <c r="EH174" s="52"/>
      <c r="EI174" s="52"/>
      <c r="EJ174" s="52"/>
      <c r="EK174" s="52"/>
      <c r="EL174" s="52"/>
      <c r="EM174" s="52"/>
      <c r="EN174" s="52"/>
      <c r="EO174" s="52"/>
      <c r="EP174" s="52"/>
      <c r="EQ174" s="52"/>
      <c r="ER174" s="52"/>
      <c r="ES174" s="52"/>
      <c r="ET174" s="52"/>
      <c r="EU174" s="52"/>
      <c r="EV174" s="52"/>
      <c r="EW174" s="52"/>
      <c r="EX174" s="52"/>
      <c r="EY174" s="52"/>
      <c r="EZ174" s="52"/>
      <c r="FA174" s="52"/>
      <c r="FB174" s="52"/>
      <c r="FC174" s="52"/>
      <c r="FD174" s="52"/>
      <c r="FE174" s="52"/>
      <c r="FF174" s="52"/>
      <c r="FG174" s="52"/>
      <c r="FH174" s="52"/>
      <c r="FI174" s="52"/>
      <c r="FJ174" s="52"/>
      <c r="FK174" s="52"/>
      <c r="FL174" s="52"/>
      <c r="FM174" s="52"/>
      <c r="FN174" s="52"/>
      <c r="FO174" s="52"/>
      <c r="FP174" s="52"/>
      <c r="FQ174" s="52"/>
      <c r="FR174" s="52"/>
      <c r="FS174" s="52"/>
      <c r="FT174" s="52"/>
      <c r="FU174" s="52"/>
      <c r="FV174" s="52"/>
      <c r="FW174" s="52"/>
      <c r="FX174" s="52"/>
      <c r="FY174" s="52"/>
      <c r="FZ174" s="52"/>
      <c r="GA174" s="52"/>
      <c r="GB174" s="52"/>
      <c r="GC174" s="52"/>
      <c r="GD174" s="52"/>
      <c r="GE174" s="52"/>
      <c r="GF174" s="52"/>
      <c r="GG174" s="52"/>
      <c r="GH174" s="52"/>
      <c r="GI174" s="52"/>
      <c r="GJ174" s="52"/>
      <c r="GK174" s="52"/>
      <c r="GL174" s="52"/>
      <c r="GM174" s="52"/>
      <c r="GN174" s="52"/>
      <c r="GO174" s="52"/>
      <c r="GP174" s="52"/>
      <c r="GQ174" s="52"/>
      <c r="GR174" s="52"/>
      <c r="GS174" s="52"/>
      <c r="GT174" s="52"/>
      <c r="GU174" s="52"/>
      <c r="GV174" s="52"/>
      <c r="GW174" s="52"/>
      <c r="GX174" s="52"/>
      <c r="GY174" s="52"/>
      <c r="GZ174" s="52"/>
      <c r="HA174" s="52"/>
      <c r="HB174" s="52"/>
      <c r="HC174" s="52"/>
      <c r="HD174" s="52"/>
      <c r="HE174" s="52"/>
      <c r="HF174" s="52"/>
      <c r="HG174" s="52"/>
      <c r="HH174" s="52"/>
      <c r="HI174" s="52"/>
      <c r="HJ174" s="52"/>
      <c r="HK174" s="52"/>
      <c r="HL174" s="52"/>
      <c r="HM174" s="52"/>
      <c r="HN174" s="52"/>
      <c r="HO174" s="52"/>
      <c r="HP174" s="52"/>
      <c r="HQ174" s="52"/>
      <c r="HR174" s="52"/>
      <c r="HS174" s="52"/>
      <c r="HT174" s="131"/>
      <c r="HU174" s="128"/>
      <c r="HV174" s="131"/>
      <c r="HW174" s="131"/>
      <c r="HX174" s="131"/>
      <c r="HY174" s="131"/>
      <c r="HZ174" s="131"/>
    </row>
    <row r="175" customFormat="false" ht="12.8" hidden="true" customHeight="false" outlineLevel="0" collapsed="false">
      <c r="A175" s="152" t="s">
        <v>311</v>
      </c>
      <c r="B175" s="153" t="s">
        <v>158</v>
      </c>
      <c r="C175" s="153" t="s">
        <v>317</v>
      </c>
      <c r="D175" s="153" t="s">
        <v>318</v>
      </c>
      <c r="E175" s="130" t="s">
        <v>84</v>
      </c>
      <c r="F175" s="17" t="s">
        <v>85</v>
      </c>
      <c r="G175" s="154" t="s">
        <v>775</v>
      </c>
      <c r="H175" s="150"/>
      <c r="I175" s="150" t="s">
        <v>569</v>
      </c>
      <c r="J175" s="148" t="s">
        <v>498</v>
      </c>
      <c r="K175" s="39" t="n">
        <v>13000</v>
      </c>
      <c r="L175" s="18"/>
      <c r="M175" s="18" t="n">
        <f aca="false">IF(AD175,1,0)+IF(AK175,1,0)+AN175+AU175+BB175+BI175+BP175+BW175+CD175+CK175+CR175+CY175+DF175+DM175+DT175+EA175+EH175+EO175+EV175+FC175+FJ175+FQ175+FX175+GE175+GL175+GS175+GZ175+HG175+HN175+HU175</f>
        <v>0</v>
      </c>
      <c r="N175" s="131"/>
      <c r="O175" s="147"/>
      <c r="P175" s="147"/>
      <c r="Q175" s="147"/>
      <c r="R175" s="12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31"/>
      <c r="AD175" s="128"/>
      <c r="AE175" s="128"/>
      <c r="AF175" s="128"/>
      <c r="AG175" s="128"/>
      <c r="AH175" s="128"/>
      <c r="AI175" s="147"/>
      <c r="AJ175" s="128"/>
      <c r="AK175" s="128"/>
      <c r="AL175" s="147"/>
      <c r="AM175" s="131"/>
      <c r="AN175" s="128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  <c r="AZ175" s="131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16"/>
      <c r="CK175" s="16"/>
      <c r="CL175" s="16"/>
      <c r="CM175" s="16"/>
      <c r="CN175" s="16"/>
      <c r="CO175" s="16"/>
      <c r="CP175" s="16"/>
      <c r="CQ175" s="52"/>
      <c r="CR175" s="52"/>
      <c r="CS175" s="52"/>
      <c r="CT175" s="52"/>
      <c r="CU175" s="52"/>
      <c r="CV175" s="52"/>
      <c r="CW175" s="52"/>
      <c r="CX175" s="52"/>
      <c r="CY175" s="52"/>
      <c r="CZ175" s="52"/>
      <c r="DA175" s="52"/>
      <c r="DB175" s="52"/>
      <c r="DC175" s="52"/>
      <c r="DD175" s="52"/>
      <c r="DE175" s="52"/>
      <c r="DF175" s="52"/>
      <c r="DG175" s="52"/>
      <c r="DH175" s="52"/>
      <c r="DI175" s="52"/>
      <c r="DJ175" s="52"/>
      <c r="DK175" s="52"/>
      <c r="DL175" s="52"/>
      <c r="DM175" s="52"/>
      <c r="DN175" s="52"/>
      <c r="DO175" s="52"/>
      <c r="DP175" s="52"/>
      <c r="DQ175" s="52"/>
      <c r="DR175" s="52"/>
      <c r="DS175" s="52"/>
      <c r="DT175" s="52"/>
      <c r="DU175" s="52"/>
      <c r="DV175" s="52"/>
      <c r="DW175" s="52"/>
      <c r="DX175" s="52"/>
      <c r="DY175" s="52"/>
      <c r="DZ175" s="52"/>
      <c r="EA175" s="52"/>
      <c r="EB175" s="52"/>
      <c r="EC175" s="52"/>
      <c r="ED175" s="52"/>
      <c r="EE175" s="52"/>
      <c r="EF175" s="52"/>
      <c r="EG175" s="52"/>
      <c r="EH175" s="52"/>
      <c r="EI175" s="52"/>
      <c r="EJ175" s="52"/>
      <c r="EK175" s="52"/>
      <c r="EL175" s="52"/>
      <c r="EM175" s="52"/>
      <c r="EN175" s="52"/>
      <c r="EO175" s="52"/>
      <c r="EP175" s="52"/>
      <c r="EQ175" s="52"/>
      <c r="ER175" s="52"/>
      <c r="ES175" s="52"/>
      <c r="ET175" s="52"/>
      <c r="EU175" s="52"/>
      <c r="EV175" s="52"/>
      <c r="EW175" s="52"/>
      <c r="EX175" s="52"/>
      <c r="EY175" s="52"/>
      <c r="EZ175" s="52"/>
      <c r="FA175" s="52"/>
      <c r="FB175" s="52"/>
      <c r="FC175" s="52"/>
      <c r="FD175" s="52"/>
      <c r="FE175" s="52"/>
      <c r="FF175" s="52"/>
      <c r="FG175" s="52"/>
      <c r="FH175" s="52"/>
      <c r="FI175" s="52"/>
      <c r="FJ175" s="52"/>
      <c r="FK175" s="52"/>
      <c r="FL175" s="52"/>
      <c r="FM175" s="52"/>
      <c r="FN175" s="52"/>
      <c r="FO175" s="52"/>
      <c r="FP175" s="52"/>
      <c r="FQ175" s="52"/>
      <c r="FR175" s="52"/>
      <c r="FS175" s="52"/>
      <c r="FT175" s="52"/>
      <c r="FU175" s="52"/>
      <c r="FV175" s="52"/>
      <c r="FW175" s="52"/>
      <c r="FX175" s="52"/>
      <c r="FY175" s="52"/>
      <c r="FZ175" s="52"/>
      <c r="GA175" s="52"/>
      <c r="GB175" s="52"/>
      <c r="GC175" s="52"/>
      <c r="GD175" s="52"/>
      <c r="GE175" s="52"/>
      <c r="GF175" s="52"/>
      <c r="GG175" s="52"/>
      <c r="GH175" s="52"/>
      <c r="GI175" s="52"/>
      <c r="GJ175" s="52"/>
      <c r="GK175" s="52"/>
      <c r="GL175" s="52"/>
      <c r="GM175" s="52"/>
      <c r="GN175" s="52"/>
      <c r="GO175" s="52"/>
      <c r="GP175" s="52"/>
      <c r="GQ175" s="52"/>
      <c r="GR175" s="52"/>
      <c r="GS175" s="52"/>
      <c r="GT175" s="52"/>
      <c r="GU175" s="52"/>
      <c r="GV175" s="52"/>
      <c r="GW175" s="52"/>
      <c r="GX175" s="52"/>
      <c r="GY175" s="52"/>
      <c r="GZ175" s="52"/>
      <c r="HA175" s="52"/>
      <c r="HB175" s="52"/>
      <c r="HC175" s="52"/>
      <c r="HD175" s="52"/>
      <c r="HE175" s="52"/>
      <c r="HF175" s="52"/>
      <c r="HG175" s="52"/>
      <c r="HH175" s="52"/>
      <c r="HI175" s="52"/>
      <c r="HJ175" s="52"/>
      <c r="HK175" s="52"/>
      <c r="HL175" s="52"/>
      <c r="HM175" s="52"/>
      <c r="HN175" s="52"/>
      <c r="HO175" s="52"/>
      <c r="HP175" s="52"/>
      <c r="HQ175" s="52"/>
      <c r="HR175" s="52"/>
      <c r="HS175" s="52"/>
      <c r="HT175" s="131"/>
      <c r="HU175" s="128"/>
      <c r="HV175" s="131"/>
      <c r="HW175" s="131"/>
      <c r="HX175" s="131"/>
      <c r="HY175" s="131"/>
      <c r="HZ175" s="131"/>
    </row>
    <row r="176" customFormat="false" ht="12.8" hidden="true" customHeight="false" outlineLevel="0" collapsed="false">
      <c r="A176" s="152" t="s">
        <v>311</v>
      </c>
      <c r="B176" s="153" t="s">
        <v>158</v>
      </c>
      <c r="C176" s="153" t="s">
        <v>317</v>
      </c>
      <c r="D176" s="153" t="s">
        <v>318</v>
      </c>
      <c r="E176" s="130" t="s">
        <v>84</v>
      </c>
      <c r="F176" s="17" t="s">
        <v>85</v>
      </c>
      <c r="G176" s="154" t="s">
        <v>777</v>
      </c>
      <c r="H176" s="150"/>
      <c r="I176" s="150" t="s">
        <v>576</v>
      </c>
      <c r="J176" s="148" t="s">
        <v>498</v>
      </c>
      <c r="K176" s="39" t="n">
        <v>13000</v>
      </c>
      <c r="L176" s="18"/>
      <c r="M176" s="18" t="n">
        <f aca="false">IF(AD176,1,0)+IF(AK176,1,0)+AN176+AU176+BB176+BI176+BP176+BW176+CD176+CK176+CR176+CY176+DF176+DM176+DT176+EA176+EH176+EO176+EV176+FC176+FJ176+FQ176+FX176+GE176+GL176+GS176+GZ176+HG176+HN176+HU176</f>
        <v>0</v>
      </c>
      <c r="N176" s="131"/>
      <c r="O176" s="147"/>
      <c r="P176" s="147"/>
      <c r="Q176" s="147"/>
      <c r="R176" s="12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31"/>
      <c r="AD176" s="128"/>
      <c r="AE176" s="128"/>
      <c r="AF176" s="128"/>
      <c r="AG176" s="128"/>
      <c r="AH176" s="128"/>
      <c r="AI176" s="147"/>
      <c r="AJ176" s="128"/>
      <c r="AK176" s="128"/>
      <c r="AL176" s="147"/>
      <c r="AM176" s="131"/>
      <c r="AN176" s="128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  <c r="AZ176" s="131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  <c r="CE176" s="52"/>
      <c r="CF176" s="52"/>
      <c r="CG176" s="52"/>
      <c r="CH176" s="52"/>
      <c r="CI176" s="52"/>
      <c r="CJ176" s="16"/>
      <c r="CK176" s="16"/>
      <c r="CL176" s="16"/>
      <c r="CM176" s="16"/>
      <c r="CN176" s="16"/>
      <c r="CO176" s="16"/>
      <c r="CP176" s="16"/>
      <c r="CQ176" s="52"/>
      <c r="CR176" s="52"/>
      <c r="CS176" s="52"/>
      <c r="CT176" s="52"/>
      <c r="CU176" s="52"/>
      <c r="CV176" s="52"/>
      <c r="CW176" s="52"/>
      <c r="CX176" s="52"/>
      <c r="CY176" s="52"/>
      <c r="CZ176" s="52"/>
      <c r="DA176" s="52"/>
      <c r="DB176" s="52"/>
      <c r="DC176" s="52"/>
      <c r="DD176" s="52"/>
      <c r="DE176" s="52"/>
      <c r="DF176" s="52"/>
      <c r="DG176" s="52"/>
      <c r="DH176" s="52"/>
      <c r="DI176" s="52"/>
      <c r="DJ176" s="52"/>
      <c r="DK176" s="52"/>
      <c r="DL176" s="52"/>
      <c r="DM176" s="52"/>
      <c r="DN176" s="52"/>
      <c r="DO176" s="52"/>
      <c r="DP176" s="52"/>
      <c r="DQ176" s="52"/>
      <c r="DR176" s="52"/>
      <c r="DS176" s="52"/>
      <c r="DT176" s="52"/>
      <c r="DU176" s="52"/>
      <c r="DV176" s="52"/>
      <c r="DW176" s="52"/>
      <c r="DX176" s="52"/>
      <c r="DY176" s="52"/>
      <c r="DZ176" s="52"/>
      <c r="EA176" s="52"/>
      <c r="EB176" s="52"/>
      <c r="EC176" s="52"/>
      <c r="ED176" s="52"/>
      <c r="EE176" s="52"/>
      <c r="EF176" s="52"/>
      <c r="EG176" s="52"/>
      <c r="EH176" s="52"/>
      <c r="EI176" s="52"/>
      <c r="EJ176" s="52"/>
      <c r="EK176" s="52"/>
      <c r="EL176" s="52"/>
      <c r="EM176" s="52"/>
      <c r="EN176" s="52"/>
      <c r="EO176" s="52"/>
      <c r="EP176" s="52"/>
      <c r="EQ176" s="52"/>
      <c r="ER176" s="52"/>
      <c r="ES176" s="52"/>
      <c r="ET176" s="52"/>
      <c r="EU176" s="52"/>
      <c r="EV176" s="52"/>
      <c r="EW176" s="52"/>
      <c r="EX176" s="52"/>
      <c r="EY176" s="52"/>
      <c r="EZ176" s="52"/>
      <c r="FA176" s="52"/>
      <c r="FB176" s="52"/>
      <c r="FC176" s="52"/>
      <c r="FD176" s="52"/>
      <c r="FE176" s="52"/>
      <c r="FF176" s="52"/>
      <c r="FG176" s="52"/>
      <c r="FH176" s="52"/>
      <c r="FI176" s="52"/>
      <c r="FJ176" s="52"/>
      <c r="FK176" s="52"/>
      <c r="FL176" s="52"/>
      <c r="FM176" s="52"/>
      <c r="FN176" s="52"/>
      <c r="FO176" s="52"/>
      <c r="FP176" s="52"/>
      <c r="FQ176" s="52"/>
      <c r="FR176" s="52"/>
      <c r="FS176" s="52"/>
      <c r="FT176" s="52"/>
      <c r="FU176" s="52"/>
      <c r="FV176" s="52"/>
      <c r="FW176" s="52"/>
      <c r="FX176" s="52"/>
      <c r="FY176" s="52"/>
      <c r="FZ176" s="52"/>
      <c r="GA176" s="52"/>
      <c r="GB176" s="52"/>
      <c r="GC176" s="52"/>
      <c r="GD176" s="52"/>
      <c r="GE176" s="52"/>
      <c r="GF176" s="52"/>
      <c r="GG176" s="52"/>
      <c r="GH176" s="52"/>
      <c r="GI176" s="52"/>
      <c r="GJ176" s="52"/>
      <c r="GK176" s="52"/>
      <c r="GL176" s="52"/>
      <c r="GM176" s="52"/>
      <c r="GN176" s="52"/>
      <c r="GO176" s="52"/>
      <c r="GP176" s="52"/>
      <c r="GQ176" s="52"/>
      <c r="GR176" s="52"/>
      <c r="GS176" s="52"/>
      <c r="GT176" s="52"/>
      <c r="GU176" s="52"/>
      <c r="GV176" s="52"/>
      <c r="GW176" s="52"/>
      <c r="GX176" s="52"/>
      <c r="GY176" s="52"/>
      <c r="GZ176" s="52"/>
      <c r="HA176" s="52"/>
      <c r="HB176" s="52"/>
      <c r="HC176" s="52"/>
      <c r="HD176" s="52"/>
      <c r="HE176" s="52"/>
      <c r="HF176" s="52"/>
      <c r="HG176" s="52"/>
      <c r="HH176" s="52"/>
      <c r="HI176" s="52"/>
      <c r="HJ176" s="52"/>
      <c r="HK176" s="52"/>
      <c r="HL176" s="52"/>
      <c r="HM176" s="52"/>
      <c r="HN176" s="52"/>
      <c r="HO176" s="52"/>
      <c r="HP176" s="52"/>
      <c r="HQ176" s="52"/>
      <c r="HR176" s="52"/>
      <c r="HS176" s="52"/>
      <c r="HT176" s="131"/>
      <c r="HU176" s="128"/>
      <c r="HV176" s="131"/>
      <c r="HW176" s="131"/>
      <c r="HX176" s="131"/>
      <c r="HY176" s="131"/>
      <c r="HZ176" s="131"/>
    </row>
    <row r="177" customFormat="false" ht="12.8" hidden="true" customHeight="false" outlineLevel="0" collapsed="false">
      <c r="A177" s="152" t="s">
        <v>311</v>
      </c>
      <c r="B177" s="153" t="s">
        <v>158</v>
      </c>
      <c r="C177" s="153" t="s">
        <v>317</v>
      </c>
      <c r="D177" s="153" t="s">
        <v>318</v>
      </c>
      <c r="E177" s="130" t="s">
        <v>84</v>
      </c>
      <c r="F177" s="17" t="s">
        <v>85</v>
      </c>
      <c r="G177" s="154" t="s">
        <v>778</v>
      </c>
      <c r="H177" s="150"/>
      <c r="I177" s="150" t="s">
        <v>767</v>
      </c>
      <c r="J177" s="148" t="s">
        <v>498</v>
      </c>
      <c r="K177" s="39" t="n">
        <v>13000</v>
      </c>
      <c r="L177" s="18"/>
      <c r="M177" s="18" t="n">
        <f aca="false">IF(AD177,1,0)+IF(AK177,1,0)+AN177+AU177+BB177+BI177+BP177+BW177+CD177+CK177+CR177+CY177+DF177+DM177+DT177+EA177+EH177+EO177+EV177+FC177+FJ177+FQ177+FX177+GE177+GL177+GS177+GZ177+HG177+HN177+HU177</f>
        <v>0</v>
      </c>
      <c r="N177" s="131"/>
      <c r="O177" s="147"/>
      <c r="P177" s="147"/>
      <c r="Q177" s="147"/>
      <c r="R177" s="12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31"/>
      <c r="AD177" s="128"/>
      <c r="AE177" s="128"/>
      <c r="AF177" s="128"/>
      <c r="AG177" s="128"/>
      <c r="AH177" s="128"/>
      <c r="AI177" s="147"/>
      <c r="AJ177" s="128"/>
      <c r="AK177" s="128"/>
      <c r="AL177" s="147"/>
      <c r="AM177" s="131"/>
      <c r="AN177" s="128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  <c r="AY177" s="131"/>
      <c r="AZ177" s="131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  <c r="CE177" s="52"/>
      <c r="CF177" s="52"/>
      <c r="CG177" s="52"/>
      <c r="CH177" s="52"/>
      <c r="CI177" s="52"/>
      <c r="CJ177" s="16"/>
      <c r="CK177" s="16"/>
      <c r="CL177" s="16"/>
      <c r="CM177" s="16"/>
      <c r="CN177" s="16"/>
      <c r="CO177" s="16"/>
      <c r="CP177" s="16"/>
      <c r="CQ177" s="52"/>
      <c r="CR177" s="52"/>
      <c r="CS177" s="52"/>
      <c r="CT177" s="52"/>
      <c r="CU177" s="52"/>
      <c r="CV177" s="52"/>
      <c r="CW177" s="52"/>
      <c r="CX177" s="52"/>
      <c r="CY177" s="52"/>
      <c r="CZ177" s="52"/>
      <c r="DA177" s="52"/>
      <c r="DB177" s="52"/>
      <c r="DC177" s="52"/>
      <c r="DD177" s="52"/>
      <c r="DE177" s="52"/>
      <c r="DF177" s="52"/>
      <c r="DG177" s="52"/>
      <c r="DH177" s="52"/>
      <c r="DI177" s="52"/>
      <c r="DJ177" s="52"/>
      <c r="DK177" s="52"/>
      <c r="DL177" s="52"/>
      <c r="DM177" s="52"/>
      <c r="DN177" s="52"/>
      <c r="DO177" s="52"/>
      <c r="DP177" s="52"/>
      <c r="DQ177" s="52"/>
      <c r="DR177" s="52"/>
      <c r="DS177" s="52"/>
      <c r="DT177" s="52"/>
      <c r="DU177" s="52"/>
      <c r="DV177" s="52"/>
      <c r="DW177" s="52"/>
      <c r="DX177" s="52"/>
      <c r="DY177" s="52"/>
      <c r="DZ177" s="52"/>
      <c r="EA177" s="52"/>
      <c r="EB177" s="52"/>
      <c r="EC177" s="52"/>
      <c r="ED177" s="52"/>
      <c r="EE177" s="52"/>
      <c r="EF177" s="52"/>
      <c r="EG177" s="52"/>
      <c r="EH177" s="52"/>
      <c r="EI177" s="52"/>
      <c r="EJ177" s="52"/>
      <c r="EK177" s="52"/>
      <c r="EL177" s="52"/>
      <c r="EM177" s="52"/>
      <c r="EN177" s="52"/>
      <c r="EO177" s="52"/>
      <c r="EP177" s="52"/>
      <c r="EQ177" s="52"/>
      <c r="ER177" s="52"/>
      <c r="ES177" s="52"/>
      <c r="ET177" s="52"/>
      <c r="EU177" s="52"/>
      <c r="EV177" s="52"/>
      <c r="EW177" s="52"/>
      <c r="EX177" s="52"/>
      <c r="EY177" s="52"/>
      <c r="EZ177" s="52"/>
      <c r="FA177" s="52"/>
      <c r="FB177" s="52"/>
      <c r="FC177" s="52"/>
      <c r="FD177" s="52"/>
      <c r="FE177" s="52"/>
      <c r="FF177" s="52"/>
      <c r="FG177" s="52"/>
      <c r="FH177" s="52"/>
      <c r="FI177" s="52"/>
      <c r="FJ177" s="52"/>
      <c r="FK177" s="52"/>
      <c r="FL177" s="52"/>
      <c r="FM177" s="52"/>
      <c r="FN177" s="52"/>
      <c r="FO177" s="52"/>
      <c r="FP177" s="52"/>
      <c r="FQ177" s="52"/>
      <c r="FR177" s="52"/>
      <c r="FS177" s="52"/>
      <c r="FT177" s="52"/>
      <c r="FU177" s="52"/>
      <c r="FV177" s="52"/>
      <c r="FW177" s="52"/>
      <c r="FX177" s="52"/>
      <c r="FY177" s="52"/>
      <c r="FZ177" s="52"/>
      <c r="GA177" s="52"/>
      <c r="GB177" s="52"/>
      <c r="GC177" s="52"/>
      <c r="GD177" s="52"/>
      <c r="GE177" s="52"/>
      <c r="GF177" s="52"/>
      <c r="GG177" s="52"/>
      <c r="GH177" s="52"/>
      <c r="GI177" s="52"/>
      <c r="GJ177" s="52"/>
      <c r="GK177" s="52"/>
      <c r="GL177" s="52"/>
      <c r="GM177" s="52"/>
      <c r="GN177" s="52"/>
      <c r="GO177" s="52"/>
      <c r="GP177" s="52"/>
      <c r="GQ177" s="52"/>
      <c r="GR177" s="52"/>
      <c r="GS177" s="52"/>
      <c r="GT177" s="52"/>
      <c r="GU177" s="52"/>
      <c r="GV177" s="52"/>
      <c r="GW177" s="52"/>
      <c r="GX177" s="52"/>
      <c r="GY177" s="52"/>
      <c r="GZ177" s="52"/>
      <c r="HA177" s="52"/>
      <c r="HB177" s="52"/>
      <c r="HC177" s="52"/>
      <c r="HD177" s="52"/>
      <c r="HE177" s="52"/>
      <c r="HF177" s="52"/>
      <c r="HG177" s="52"/>
      <c r="HH177" s="52"/>
      <c r="HI177" s="52"/>
      <c r="HJ177" s="52"/>
      <c r="HK177" s="52"/>
      <c r="HL177" s="52"/>
      <c r="HM177" s="52"/>
      <c r="HN177" s="52"/>
      <c r="HO177" s="52"/>
      <c r="HP177" s="52"/>
      <c r="HQ177" s="52"/>
      <c r="HR177" s="52"/>
      <c r="HS177" s="52"/>
      <c r="HT177" s="131"/>
      <c r="HU177" s="128"/>
      <c r="HV177" s="131"/>
      <c r="HW177" s="131"/>
      <c r="HX177" s="131"/>
      <c r="HY177" s="131"/>
      <c r="HZ177" s="131"/>
    </row>
    <row r="178" customFormat="false" ht="12.8" hidden="true" customHeight="false" outlineLevel="0" collapsed="false">
      <c r="A178" s="152" t="s">
        <v>311</v>
      </c>
      <c r="B178" s="153" t="s">
        <v>158</v>
      </c>
      <c r="C178" s="153" t="s">
        <v>317</v>
      </c>
      <c r="D178" s="153" t="s">
        <v>318</v>
      </c>
      <c r="E178" s="130" t="s">
        <v>84</v>
      </c>
      <c r="F178" s="17" t="s">
        <v>85</v>
      </c>
      <c r="G178" s="154" t="s">
        <v>779</v>
      </c>
      <c r="H178" s="150"/>
      <c r="I178" s="150" t="s">
        <v>771</v>
      </c>
      <c r="J178" s="148" t="s">
        <v>498</v>
      </c>
      <c r="K178" s="39" t="n">
        <v>13000</v>
      </c>
      <c r="L178" s="18"/>
      <c r="M178" s="18" t="n">
        <f aca="false">IF(AD178,1,0)+IF(AK178,1,0)+AN178+AU178+BB178+BI178+BP178+BW178+CD178+CK178+CR178+CY178+DF178+DM178+DT178+EA178+EH178+EO178+EV178+FC178+FJ178+FQ178+FX178+GE178+GL178+GS178+GZ178+HG178+HN178+HU178</f>
        <v>0</v>
      </c>
      <c r="N178" s="131"/>
      <c r="O178" s="147"/>
      <c r="P178" s="147"/>
      <c r="Q178" s="147"/>
      <c r="R178" s="12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31"/>
      <c r="AD178" s="128"/>
      <c r="AE178" s="128"/>
      <c r="AF178" s="128"/>
      <c r="AG178" s="128"/>
      <c r="AH178" s="128"/>
      <c r="AI178" s="147"/>
      <c r="AJ178" s="128"/>
      <c r="AK178" s="128"/>
      <c r="AL178" s="147"/>
      <c r="AM178" s="131"/>
      <c r="AN178" s="128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  <c r="AY178" s="131"/>
      <c r="AZ178" s="131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16"/>
      <c r="CK178" s="16"/>
      <c r="CL178" s="16"/>
      <c r="CM178" s="16"/>
      <c r="CN178" s="16"/>
      <c r="CO178" s="16"/>
      <c r="CP178" s="16"/>
      <c r="CQ178" s="52"/>
      <c r="CR178" s="52"/>
      <c r="CS178" s="52"/>
      <c r="CT178" s="52"/>
      <c r="CU178" s="52"/>
      <c r="CV178" s="52"/>
      <c r="CW178" s="52"/>
      <c r="CX178" s="52"/>
      <c r="CY178" s="52"/>
      <c r="CZ178" s="52"/>
      <c r="DA178" s="52"/>
      <c r="DB178" s="52"/>
      <c r="DC178" s="52"/>
      <c r="DD178" s="52"/>
      <c r="DE178" s="52"/>
      <c r="DF178" s="52"/>
      <c r="DG178" s="52"/>
      <c r="DH178" s="52"/>
      <c r="DI178" s="52"/>
      <c r="DJ178" s="52"/>
      <c r="DK178" s="52"/>
      <c r="DL178" s="52"/>
      <c r="DM178" s="52"/>
      <c r="DN178" s="52"/>
      <c r="DO178" s="52"/>
      <c r="DP178" s="52"/>
      <c r="DQ178" s="52"/>
      <c r="DR178" s="52"/>
      <c r="DS178" s="52"/>
      <c r="DT178" s="52"/>
      <c r="DU178" s="52"/>
      <c r="DV178" s="52"/>
      <c r="DW178" s="52"/>
      <c r="DX178" s="52"/>
      <c r="DY178" s="52"/>
      <c r="DZ178" s="52"/>
      <c r="EA178" s="52"/>
      <c r="EB178" s="52"/>
      <c r="EC178" s="52"/>
      <c r="ED178" s="52"/>
      <c r="EE178" s="52"/>
      <c r="EF178" s="52"/>
      <c r="EG178" s="52"/>
      <c r="EH178" s="52"/>
      <c r="EI178" s="52"/>
      <c r="EJ178" s="52"/>
      <c r="EK178" s="52"/>
      <c r="EL178" s="52"/>
      <c r="EM178" s="52"/>
      <c r="EN178" s="52"/>
      <c r="EO178" s="52"/>
      <c r="EP178" s="52"/>
      <c r="EQ178" s="52"/>
      <c r="ER178" s="52"/>
      <c r="ES178" s="52"/>
      <c r="ET178" s="52"/>
      <c r="EU178" s="52"/>
      <c r="EV178" s="52"/>
      <c r="EW178" s="52"/>
      <c r="EX178" s="52"/>
      <c r="EY178" s="52"/>
      <c r="EZ178" s="52"/>
      <c r="FA178" s="52"/>
      <c r="FB178" s="52"/>
      <c r="FC178" s="52"/>
      <c r="FD178" s="52"/>
      <c r="FE178" s="52"/>
      <c r="FF178" s="52"/>
      <c r="FG178" s="52"/>
      <c r="FH178" s="52"/>
      <c r="FI178" s="52"/>
      <c r="FJ178" s="52"/>
      <c r="FK178" s="52"/>
      <c r="FL178" s="52"/>
      <c r="FM178" s="52"/>
      <c r="FN178" s="52"/>
      <c r="FO178" s="52"/>
      <c r="FP178" s="52"/>
      <c r="FQ178" s="52"/>
      <c r="FR178" s="52"/>
      <c r="FS178" s="52"/>
      <c r="FT178" s="52"/>
      <c r="FU178" s="52"/>
      <c r="FV178" s="52"/>
      <c r="FW178" s="52"/>
      <c r="FX178" s="52"/>
      <c r="FY178" s="52"/>
      <c r="FZ178" s="52"/>
      <c r="GA178" s="52"/>
      <c r="GB178" s="52"/>
      <c r="GC178" s="52"/>
      <c r="GD178" s="52"/>
      <c r="GE178" s="52"/>
      <c r="GF178" s="52"/>
      <c r="GG178" s="52"/>
      <c r="GH178" s="52"/>
      <c r="GI178" s="52"/>
      <c r="GJ178" s="52"/>
      <c r="GK178" s="52"/>
      <c r="GL178" s="52"/>
      <c r="GM178" s="52"/>
      <c r="GN178" s="52"/>
      <c r="GO178" s="52"/>
      <c r="GP178" s="52"/>
      <c r="GQ178" s="52"/>
      <c r="GR178" s="52"/>
      <c r="GS178" s="52"/>
      <c r="GT178" s="52"/>
      <c r="GU178" s="52"/>
      <c r="GV178" s="52"/>
      <c r="GW178" s="52"/>
      <c r="GX178" s="52"/>
      <c r="GY178" s="52"/>
      <c r="GZ178" s="52"/>
      <c r="HA178" s="52"/>
      <c r="HB178" s="52"/>
      <c r="HC178" s="52"/>
      <c r="HD178" s="52"/>
      <c r="HE178" s="52"/>
      <c r="HF178" s="52"/>
      <c r="HG178" s="52"/>
      <c r="HH178" s="52"/>
      <c r="HI178" s="52"/>
      <c r="HJ178" s="52"/>
      <c r="HK178" s="52"/>
      <c r="HL178" s="52"/>
      <c r="HM178" s="52"/>
      <c r="HN178" s="52"/>
      <c r="HO178" s="52"/>
      <c r="HP178" s="52"/>
      <c r="HQ178" s="52"/>
      <c r="HR178" s="52"/>
      <c r="HS178" s="52"/>
      <c r="HT178" s="131"/>
      <c r="HU178" s="128"/>
      <c r="HV178" s="131"/>
      <c r="HW178" s="131"/>
      <c r="HX178" s="131"/>
      <c r="HY178" s="131"/>
      <c r="HZ178" s="131"/>
    </row>
    <row r="179" customFormat="false" ht="12.8" hidden="true" customHeight="false" outlineLevel="0" collapsed="false">
      <c r="A179" s="152" t="s">
        <v>311</v>
      </c>
      <c r="B179" s="153" t="s">
        <v>158</v>
      </c>
      <c r="C179" s="153" t="s">
        <v>317</v>
      </c>
      <c r="D179" s="153" t="s">
        <v>318</v>
      </c>
      <c r="E179" s="130" t="s">
        <v>84</v>
      </c>
      <c r="F179" s="17" t="s">
        <v>85</v>
      </c>
      <c r="G179" s="154" t="s">
        <v>780</v>
      </c>
      <c r="H179" s="150"/>
      <c r="I179" s="150" t="s">
        <v>500</v>
      </c>
      <c r="J179" s="148" t="s">
        <v>498</v>
      </c>
      <c r="K179" s="39" t="n">
        <v>13000</v>
      </c>
      <c r="L179" s="18"/>
      <c r="M179" s="18" t="n">
        <f aca="false">IF(AD179,1,0)+IF(AK179,1,0)+AN179+AU179+BB179+BI179+BP179+BW179+CD179+CK179+CR179+CY179+DF179+DM179+DT179+EA179+EH179+EO179+EV179+FC179+FJ179+FQ179+FX179+GE179+GL179+GS179+GZ179+HG179+HN179+HU179</f>
        <v>0</v>
      </c>
      <c r="N179" s="131"/>
      <c r="O179" s="147"/>
      <c r="P179" s="147"/>
      <c r="Q179" s="147"/>
      <c r="R179" s="12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31"/>
      <c r="AD179" s="128"/>
      <c r="AE179" s="128"/>
      <c r="AF179" s="128"/>
      <c r="AG179" s="128"/>
      <c r="AH179" s="128"/>
      <c r="AI179" s="147"/>
      <c r="AJ179" s="128"/>
      <c r="AK179" s="128"/>
      <c r="AL179" s="147"/>
      <c r="AM179" s="131"/>
      <c r="AN179" s="128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  <c r="AY179" s="131"/>
      <c r="AZ179" s="131"/>
      <c r="BA179" s="52"/>
      <c r="BB179" s="52"/>
      <c r="BC179" s="52"/>
      <c r="BD179" s="52"/>
      <c r="BE179" s="52"/>
      <c r="BF179" s="52"/>
      <c r="BG179" s="52"/>
      <c r="BH179" s="128" t="n">
        <v>10</v>
      </c>
      <c r="BI179" s="128" t="n">
        <v>1</v>
      </c>
      <c r="BJ179" s="131" t="s">
        <v>719</v>
      </c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16"/>
      <c r="CK179" s="16"/>
      <c r="CL179" s="16"/>
      <c r="CM179" s="16"/>
      <c r="CN179" s="16"/>
      <c r="CO179" s="16"/>
      <c r="CP179" s="16"/>
      <c r="CQ179" s="52"/>
      <c r="CR179" s="52"/>
      <c r="CS179" s="52"/>
      <c r="CT179" s="52"/>
      <c r="CU179" s="52"/>
      <c r="CV179" s="52"/>
      <c r="CW179" s="52"/>
      <c r="CX179" s="52"/>
      <c r="CY179" s="52"/>
      <c r="CZ179" s="52"/>
      <c r="DA179" s="52"/>
      <c r="DB179" s="52"/>
      <c r="DC179" s="52"/>
      <c r="DD179" s="52"/>
      <c r="DE179" s="52"/>
      <c r="DF179" s="52"/>
      <c r="DG179" s="52"/>
      <c r="DH179" s="52"/>
      <c r="DI179" s="52"/>
      <c r="DJ179" s="52"/>
      <c r="DK179" s="52"/>
      <c r="DL179" s="52"/>
      <c r="DM179" s="52"/>
      <c r="DN179" s="52"/>
      <c r="DO179" s="52"/>
      <c r="DP179" s="52"/>
      <c r="DQ179" s="52"/>
      <c r="DR179" s="52"/>
      <c r="DS179" s="52"/>
      <c r="DT179" s="52"/>
      <c r="DU179" s="52"/>
      <c r="DV179" s="52"/>
      <c r="DW179" s="52"/>
      <c r="DX179" s="52"/>
      <c r="DY179" s="52"/>
      <c r="DZ179" s="52"/>
      <c r="EA179" s="52"/>
      <c r="EB179" s="52"/>
      <c r="EC179" s="52"/>
      <c r="ED179" s="52"/>
      <c r="EE179" s="52"/>
      <c r="EF179" s="52"/>
      <c r="EG179" s="52"/>
      <c r="EH179" s="52"/>
      <c r="EI179" s="52"/>
      <c r="EJ179" s="52"/>
      <c r="EK179" s="52"/>
      <c r="EL179" s="52"/>
      <c r="EM179" s="52"/>
      <c r="EN179" s="52"/>
      <c r="EO179" s="52"/>
      <c r="EP179" s="52"/>
      <c r="EQ179" s="52"/>
      <c r="ER179" s="52"/>
      <c r="ES179" s="52"/>
      <c r="ET179" s="52"/>
      <c r="EU179" s="52"/>
      <c r="EV179" s="52"/>
      <c r="EW179" s="52"/>
      <c r="EX179" s="52"/>
      <c r="EY179" s="52"/>
      <c r="EZ179" s="52"/>
      <c r="FA179" s="52"/>
      <c r="FB179" s="52"/>
      <c r="FC179" s="52"/>
      <c r="FD179" s="52"/>
      <c r="FE179" s="52"/>
      <c r="FF179" s="52"/>
      <c r="FG179" s="52"/>
      <c r="FH179" s="52"/>
      <c r="FI179" s="52"/>
      <c r="FJ179" s="52"/>
      <c r="FK179" s="52"/>
      <c r="FL179" s="52"/>
      <c r="FM179" s="52"/>
      <c r="FN179" s="52"/>
      <c r="FO179" s="52"/>
      <c r="FP179" s="52"/>
      <c r="FQ179" s="52"/>
      <c r="FR179" s="52"/>
      <c r="FS179" s="52"/>
      <c r="FT179" s="52"/>
      <c r="FU179" s="52"/>
      <c r="FV179" s="52"/>
      <c r="FW179" s="52"/>
      <c r="FX179" s="52"/>
      <c r="FY179" s="52"/>
      <c r="FZ179" s="52"/>
      <c r="GA179" s="52"/>
      <c r="GB179" s="52"/>
      <c r="GC179" s="52"/>
      <c r="GD179" s="52"/>
      <c r="GE179" s="52"/>
      <c r="GF179" s="52"/>
      <c r="GG179" s="52"/>
      <c r="GH179" s="52"/>
      <c r="GI179" s="52"/>
      <c r="GJ179" s="52"/>
      <c r="GK179" s="52"/>
      <c r="GL179" s="52"/>
      <c r="GM179" s="52"/>
      <c r="GN179" s="52"/>
      <c r="GO179" s="52"/>
      <c r="GP179" s="52"/>
      <c r="GQ179" s="52"/>
      <c r="GR179" s="52"/>
      <c r="GS179" s="52"/>
      <c r="GT179" s="52"/>
      <c r="GU179" s="52"/>
      <c r="GV179" s="52"/>
      <c r="GW179" s="52"/>
      <c r="GX179" s="52"/>
      <c r="GY179" s="52"/>
      <c r="GZ179" s="52"/>
      <c r="HA179" s="52"/>
      <c r="HB179" s="52"/>
      <c r="HC179" s="52"/>
      <c r="HD179" s="52"/>
      <c r="HE179" s="52"/>
      <c r="HF179" s="52"/>
      <c r="HG179" s="52"/>
      <c r="HH179" s="52"/>
      <c r="HI179" s="52"/>
      <c r="HJ179" s="52"/>
      <c r="HK179" s="52"/>
      <c r="HL179" s="52"/>
      <c r="HM179" s="52"/>
      <c r="HN179" s="52"/>
      <c r="HO179" s="52"/>
      <c r="HP179" s="52"/>
      <c r="HQ179" s="52"/>
      <c r="HR179" s="52"/>
      <c r="HS179" s="52"/>
      <c r="HT179" s="131"/>
      <c r="HU179" s="128"/>
      <c r="HV179" s="131"/>
      <c r="HW179" s="131"/>
      <c r="HX179" s="131"/>
      <c r="HY179" s="131"/>
      <c r="HZ179" s="131"/>
    </row>
    <row r="180" customFormat="false" ht="12.8" hidden="true" customHeight="false" outlineLevel="0" collapsed="false">
      <c r="A180" s="152" t="s">
        <v>311</v>
      </c>
      <c r="B180" s="153" t="s">
        <v>81</v>
      </c>
      <c r="C180" s="153" t="s">
        <v>322</v>
      </c>
      <c r="D180" s="153" t="s">
        <v>323</v>
      </c>
      <c r="E180" s="130" t="s">
        <v>84</v>
      </c>
      <c r="F180" s="17" t="s">
        <v>85</v>
      </c>
      <c r="G180" s="154" t="s">
        <v>781</v>
      </c>
      <c r="H180" s="150"/>
      <c r="I180" s="150" t="s">
        <v>553</v>
      </c>
      <c r="J180" s="148" t="s">
        <v>92</v>
      </c>
      <c r="K180" s="39" t="n">
        <v>13000</v>
      </c>
      <c r="L180" s="18" t="n">
        <v>5</v>
      </c>
      <c r="M180" s="18" t="n">
        <f aca="false">IF(AD180,1,0)+IF(AK180,1,0)+AN180+AU180+BB180+BI180+BP180+BW180+CD180+CK180+CR180+CY180+DF180+DM180+DT180+EA180+EH180+EO180+EV180+FC180+FJ180+FQ180+FX180+GE180+GL180+GS180+GZ180+HG180+HN180+HU180</f>
        <v>0</v>
      </c>
      <c r="N180" s="131"/>
      <c r="O180" s="147" t="n">
        <v>14700</v>
      </c>
      <c r="P180" s="147" t="n">
        <v>1720</v>
      </c>
      <c r="Q180" s="147" t="n">
        <v>3075</v>
      </c>
      <c r="R180" s="21" t="s">
        <v>44</v>
      </c>
      <c r="S180" s="21" t="s">
        <v>44</v>
      </c>
      <c r="T180" s="21" t="s">
        <v>44</v>
      </c>
      <c r="U180" s="18"/>
      <c r="V180" s="18"/>
      <c r="W180" s="18"/>
      <c r="X180" s="18"/>
      <c r="Y180" s="18"/>
      <c r="Z180" s="18"/>
      <c r="AA180" s="18"/>
      <c r="AB180" s="18"/>
      <c r="AC180" s="131"/>
      <c r="AD180" s="128"/>
      <c r="AE180" s="128"/>
      <c r="AF180" s="128"/>
      <c r="AG180" s="128"/>
      <c r="AH180" s="128"/>
      <c r="AI180" s="147"/>
      <c r="AJ180" s="128"/>
      <c r="AK180" s="128"/>
      <c r="AL180" s="147"/>
      <c r="AM180" s="131"/>
      <c r="AN180" s="128"/>
      <c r="AO180" s="131"/>
      <c r="AP180" s="131"/>
      <c r="AQ180" s="131"/>
      <c r="AR180" s="131"/>
      <c r="AS180" s="131"/>
      <c r="AT180" s="131"/>
      <c r="AU180" s="131"/>
      <c r="AV180" s="131"/>
      <c r="AW180" s="131"/>
      <c r="AX180" s="131"/>
      <c r="AY180" s="131"/>
      <c r="AZ180" s="131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  <c r="CE180" s="52"/>
      <c r="CF180" s="52"/>
      <c r="CG180" s="52"/>
      <c r="CH180" s="52"/>
      <c r="CI180" s="52"/>
      <c r="CJ180" s="16"/>
      <c r="CK180" s="16"/>
      <c r="CL180" s="16"/>
      <c r="CM180" s="16"/>
      <c r="CN180" s="16"/>
      <c r="CO180" s="16"/>
      <c r="CP180" s="16"/>
      <c r="CQ180" s="128" t="n">
        <v>10</v>
      </c>
      <c r="CR180" s="128" t="n">
        <v>2</v>
      </c>
      <c r="CS180" s="131" t="s">
        <v>381</v>
      </c>
      <c r="CT180" s="131" t="s">
        <v>382</v>
      </c>
      <c r="CU180" s="131" t="s">
        <v>383</v>
      </c>
      <c r="CV180" s="131" t="s">
        <v>384</v>
      </c>
      <c r="CW180" s="131" t="s">
        <v>399</v>
      </c>
      <c r="CX180" s="52"/>
      <c r="CY180" s="52"/>
      <c r="CZ180" s="52"/>
      <c r="DA180" s="52"/>
      <c r="DB180" s="52"/>
      <c r="DC180" s="52"/>
      <c r="DD180" s="52"/>
      <c r="DE180" s="52"/>
      <c r="DF180" s="52"/>
      <c r="DG180" s="52"/>
      <c r="DH180" s="52"/>
      <c r="DI180" s="52"/>
      <c r="DJ180" s="52"/>
      <c r="DK180" s="52"/>
      <c r="DL180" s="52"/>
      <c r="DM180" s="52"/>
      <c r="DN180" s="52"/>
      <c r="DO180" s="52"/>
      <c r="DP180" s="52"/>
      <c r="DQ180" s="52"/>
      <c r="DR180" s="52"/>
      <c r="DS180" s="52"/>
      <c r="DT180" s="52"/>
      <c r="DU180" s="52"/>
      <c r="DV180" s="52"/>
      <c r="DW180" s="52"/>
      <c r="DX180" s="52"/>
      <c r="DY180" s="52"/>
      <c r="DZ180" s="52"/>
      <c r="EA180" s="52"/>
      <c r="EB180" s="52"/>
      <c r="EC180" s="52"/>
      <c r="ED180" s="52"/>
      <c r="EE180" s="52"/>
      <c r="EF180" s="52"/>
      <c r="EG180" s="52"/>
      <c r="EH180" s="52"/>
      <c r="EI180" s="52"/>
      <c r="EJ180" s="52"/>
      <c r="EK180" s="52"/>
      <c r="EL180" s="52"/>
      <c r="EM180" s="52"/>
      <c r="EN180" s="52"/>
      <c r="EO180" s="52"/>
      <c r="EP180" s="52"/>
      <c r="EQ180" s="52"/>
      <c r="ER180" s="52"/>
      <c r="ES180" s="52"/>
      <c r="ET180" s="52"/>
      <c r="EU180" s="128" t="s">
        <v>782</v>
      </c>
      <c r="EV180" s="128" t="n">
        <v>1</v>
      </c>
      <c r="EW180" s="131" t="s">
        <v>381</v>
      </c>
      <c r="EX180" s="131" t="s">
        <v>382</v>
      </c>
      <c r="EY180" s="131" t="s">
        <v>383</v>
      </c>
      <c r="EZ180" s="131" t="s">
        <v>384</v>
      </c>
      <c r="FA180" s="131" t="s">
        <v>399</v>
      </c>
      <c r="FB180" s="128" t="n">
        <v>10</v>
      </c>
      <c r="FC180" s="128" t="n">
        <v>2</v>
      </c>
      <c r="FD180" s="131" t="s">
        <v>572</v>
      </c>
      <c r="FE180" s="131" t="s">
        <v>383</v>
      </c>
      <c r="FF180" s="131" t="s">
        <v>573</v>
      </c>
      <c r="FG180" s="131" t="s">
        <v>574</v>
      </c>
      <c r="FH180" s="131" t="s">
        <v>378</v>
      </c>
      <c r="FI180" s="52"/>
      <c r="FJ180" s="52"/>
      <c r="FK180" s="52"/>
      <c r="FL180" s="52"/>
      <c r="FM180" s="52"/>
      <c r="FN180" s="52"/>
      <c r="FO180" s="52"/>
      <c r="FP180" s="52"/>
      <c r="FQ180" s="52"/>
      <c r="FR180" s="52"/>
      <c r="FS180" s="52"/>
      <c r="FT180" s="52"/>
      <c r="FU180" s="52"/>
      <c r="FV180" s="52"/>
      <c r="FW180" s="52"/>
      <c r="FX180" s="52"/>
      <c r="FY180" s="52"/>
      <c r="FZ180" s="52"/>
      <c r="GA180" s="52"/>
      <c r="GB180" s="52"/>
      <c r="GC180" s="52"/>
      <c r="GD180" s="52"/>
      <c r="GE180" s="52"/>
      <c r="GF180" s="52"/>
      <c r="GG180" s="52"/>
      <c r="GH180" s="52"/>
      <c r="GI180" s="52"/>
      <c r="GJ180" s="52"/>
      <c r="GK180" s="52"/>
      <c r="GL180" s="52"/>
      <c r="GM180" s="52"/>
      <c r="GN180" s="52"/>
      <c r="GO180" s="52"/>
      <c r="GP180" s="52"/>
      <c r="GQ180" s="52"/>
      <c r="GR180" s="52"/>
      <c r="GS180" s="52"/>
      <c r="GT180" s="52"/>
      <c r="GU180" s="52"/>
      <c r="GV180" s="52"/>
      <c r="GW180" s="52"/>
      <c r="GX180" s="52"/>
      <c r="GY180" s="52"/>
      <c r="GZ180" s="52"/>
      <c r="HA180" s="52"/>
      <c r="HB180" s="52"/>
      <c r="HC180" s="52"/>
      <c r="HD180" s="52"/>
      <c r="HE180" s="52"/>
      <c r="HF180" s="39" t="n">
        <v>10</v>
      </c>
      <c r="HG180" s="128" t="n">
        <v>1</v>
      </c>
      <c r="HH180" s="131" t="s">
        <v>572</v>
      </c>
      <c r="HI180" s="131" t="s">
        <v>383</v>
      </c>
      <c r="HJ180" s="131" t="s">
        <v>573</v>
      </c>
      <c r="HK180" s="131" t="s">
        <v>574</v>
      </c>
      <c r="HL180" s="131" t="s">
        <v>378</v>
      </c>
      <c r="HM180" s="39" t="n">
        <v>10</v>
      </c>
      <c r="HN180" s="128" t="n">
        <v>1</v>
      </c>
      <c r="HO180" s="131" t="s">
        <v>572</v>
      </c>
      <c r="HP180" s="131" t="s">
        <v>383</v>
      </c>
      <c r="HQ180" s="131" t="s">
        <v>573</v>
      </c>
      <c r="HR180" s="131" t="s">
        <v>574</v>
      </c>
      <c r="HS180" s="131" t="s">
        <v>378</v>
      </c>
      <c r="HT180" s="131"/>
      <c r="HU180" s="128"/>
      <c r="HV180" s="131"/>
      <c r="HW180" s="131"/>
      <c r="HX180" s="131"/>
      <c r="HY180" s="131"/>
      <c r="HZ180" s="131"/>
    </row>
    <row r="181" customFormat="false" ht="12.8" hidden="true" customHeight="false" outlineLevel="0" collapsed="false">
      <c r="A181" s="152" t="s">
        <v>311</v>
      </c>
      <c r="B181" s="153" t="s">
        <v>81</v>
      </c>
      <c r="C181" s="153" t="s">
        <v>322</v>
      </c>
      <c r="D181" s="153" t="s">
        <v>323</v>
      </c>
      <c r="E181" s="130" t="s">
        <v>84</v>
      </c>
      <c r="F181" s="17" t="s">
        <v>85</v>
      </c>
      <c r="G181" s="154" t="s">
        <v>651</v>
      </c>
      <c r="H181" s="148" t="s">
        <v>92</v>
      </c>
      <c r="I181" s="150" t="s">
        <v>760</v>
      </c>
      <c r="J181" s="148" t="s">
        <v>92</v>
      </c>
      <c r="K181" s="39" t="n">
        <v>13000</v>
      </c>
      <c r="L181" s="18" t="n">
        <v>7</v>
      </c>
      <c r="M181" s="18" t="n">
        <f aca="false">IF(AD181,1,0)+IF(AK181,1,0)+AN181+AU181+BB181+BI181+BP181+BW181+CD181+CK181+CR181+CY181+DF181+DM181+DT181+EA181+EH181+EO181+EV181+FC181+FJ181+FQ181+FX181+GE181+GL181+GS181+GZ181+HG181+HN181+HU181</f>
        <v>0</v>
      </c>
      <c r="N181" s="131"/>
      <c r="O181" s="147" t="n">
        <v>13000</v>
      </c>
      <c r="P181" s="147" t="n">
        <v>0</v>
      </c>
      <c r="Q181" s="147" t="n">
        <v>11310</v>
      </c>
      <c r="R181" s="21" t="s">
        <v>652</v>
      </c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23" t="s">
        <v>618</v>
      </c>
      <c r="AD181" s="128" t="n">
        <v>12</v>
      </c>
      <c r="AE181" s="128"/>
      <c r="AF181" s="128" t="n">
        <v>60</v>
      </c>
      <c r="AG181" s="128" t="n">
        <v>15</v>
      </c>
      <c r="AH181" s="128" t="n">
        <v>10</v>
      </c>
      <c r="AI181" s="147" t="s">
        <v>619</v>
      </c>
      <c r="AJ181" s="128"/>
      <c r="AK181" s="128"/>
      <c r="AL181" s="147"/>
      <c r="AM181" s="128" t="n">
        <v>8</v>
      </c>
      <c r="AN181" s="128" t="n">
        <v>2</v>
      </c>
      <c r="AO181" s="131" t="s">
        <v>560</v>
      </c>
      <c r="AP181" s="131" t="s">
        <v>561</v>
      </c>
      <c r="AQ181" s="131" t="s">
        <v>562</v>
      </c>
      <c r="AR181" s="131" t="s">
        <v>563</v>
      </c>
      <c r="AS181" s="131"/>
      <c r="AT181" s="131"/>
      <c r="AU181" s="131"/>
      <c r="AV181" s="131"/>
      <c r="AW181" s="131"/>
      <c r="AX181" s="131"/>
      <c r="AY181" s="131"/>
      <c r="AZ181" s="131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128" t="n">
        <v>8</v>
      </c>
      <c r="BW181" s="128" t="n">
        <v>1</v>
      </c>
      <c r="BX181" s="131" t="s">
        <v>783</v>
      </c>
      <c r="BY181" s="131" t="s">
        <v>784</v>
      </c>
      <c r="BZ181" s="131" t="s">
        <v>785</v>
      </c>
      <c r="CA181" s="131" t="s">
        <v>597</v>
      </c>
      <c r="CB181" s="131"/>
      <c r="CC181" s="52"/>
      <c r="CD181" s="52"/>
      <c r="CE181" s="52"/>
      <c r="CF181" s="52"/>
      <c r="CG181" s="52"/>
      <c r="CH181" s="52"/>
      <c r="CI181" s="52"/>
      <c r="CJ181" s="16"/>
      <c r="CK181" s="16"/>
      <c r="CL181" s="16"/>
      <c r="CM181" s="16"/>
      <c r="CN181" s="16"/>
      <c r="CO181" s="16"/>
      <c r="CP181" s="16"/>
      <c r="CQ181" s="52"/>
      <c r="CR181" s="52"/>
      <c r="CS181" s="52"/>
      <c r="CT181" s="52"/>
      <c r="CU181" s="52"/>
      <c r="CV181" s="52"/>
      <c r="CW181" s="52"/>
      <c r="CX181" s="128" t="n">
        <v>8</v>
      </c>
      <c r="CY181" s="128" t="n">
        <v>2</v>
      </c>
      <c r="CZ181" s="131" t="s">
        <v>557</v>
      </c>
      <c r="DA181" s="131" t="s">
        <v>398</v>
      </c>
      <c r="DB181" s="131" t="s">
        <v>377</v>
      </c>
      <c r="DC181" s="131" t="s">
        <v>399</v>
      </c>
      <c r="DD181" s="52"/>
      <c r="DE181" s="52"/>
      <c r="DF181" s="52"/>
      <c r="DG181" s="52"/>
      <c r="DH181" s="52"/>
      <c r="DI181" s="52"/>
      <c r="DJ181" s="52"/>
      <c r="DK181" s="52"/>
      <c r="DL181" s="52"/>
      <c r="DM181" s="52"/>
      <c r="DN181" s="52"/>
      <c r="DO181" s="52"/>
      <c r="DP181" s="52"/>
      <c r="DQ181" s="52"/>
      <c r="DR181" s="52"/>
      <c r="DS181" s="52"/>
      <c r="DT181" s="52"/>
      <c r="DU181" s="52"/>
      <c r="DV181" s="52"/>
      <c r="DW181" s="52"/>
      <c r="DX181" s="52"/>
      <c r="DY181" s="52"/>
      <c r="DZ181" s="52"/>
      <c r="EA181" s="52"/>
      <c r="EB181" s="52"/>
      <c r="EC181" s="52"/>
      <c r="ED181" s="52"/>
      <c r="EE181" s="52"/>
      <c r="EF181" s="52"/>
      <c r="EG181" s="52"/>
      <c r="EH181" s="52"/>
      <c r="EI181" s="52"/>
      <c r="EJ181" s="52"/>
      <c r="EK181" s="52"/>
      <c r="EL181" s="52"/>
      <c r="EM181" s="52"/>
      <c r="EN181" s="128" t="n">
        <v>8</v>
      </c>
      <c r="EO181" s="128" t="n">
        <v>1</v>
      </c>
      <c r="EP181" s="131" t="s">
        <v>377</v>
      </c>
      <c r="EQ181" s="131" t="s">
        <v>378</v>
      </c>
      <c r="ER181" s="131" t="s">
        <v>379</v>
      </c>
      <c r="ES181" s="131" t="s">
        <v>380</v>
      </c>
      <c r="ET181" s="52"/>
      <c r="EU181" s="52"/>
      <c r="EV181" s="52"/>
      <c r="EW181" s="52"/>
      <c r="EX181" s="52"/>
      <c r="EY181" s="52"/>
      <c r="EZ181" s="52"/>
      <c r="FA181" s="52"/>
      <c r="FB181" s="128" t="n">
        <v>8</v>
      </c>
      <c r="FC181" s="39" t="n">
        <v>1</v>
      </c>
      <c r="FD181" s="114" t="s">
        <v>385</v>
      </c>
      <c r="FE181" s="114" t="s">
        <v>377</v>
      </c>
      <c r="FF181" s="114" t="s">
        <v>386</v>
      </c>
      <c r="FG181" s="114" t="s">
        <v>378</v>
      </c>
      <c r="FH181" s="52"/>
      <c r="FI181" s="52"/>
      <c r="FJ181" s="52"/>
      <c r="FK181" s="52"/>
      <c r="FL181" s="52"/>
      <c r="FM181" s="52"/>
      <c r="FN181" s="52"/>
      <c r="FO181" s="52"/>
      <c r="FP181" s="52"/>
      <c r="FQ181" s="52"/>
      <c r="FR181" s="52"/>
      <c r="FS181" s="52"/>
      <c r="FT181" s="52"/>
      <c r="FU181" s="52"/>
      <c r="FV181" s="52"/>
      <c r="FW181" s="52"/>
      <c r="FX181" s="52"/>
      <c r="FY181" s="52"/>
      <c r="FZ181" s="52"/>
      <c r="GA181" s="52"/>
      <c r="GB181" s="52"/>
      <c r="GC181" s="52"/>
      <c r="GD181" s="52"/>
      <c r="GE181" s="52"/>
      <c r="GF181" s="52"/>
      <c r="GG181" s="52"/>
      <c r="GH181" s="52"/>
      <c r="GI181" s="52"/>
      <c r="GJ181" s="52"/>
      <c r="GK181" s="52"/>
      <c r="GL181" s="52"/>
      <c r="GM181" s="52"/>
      <c r="GN181" s="52"/>
      <c r="GO181" s="52"/>
      <c r="GP181" s="52"/>
      <c r="GQ181" s="52"/>
      <c r="GR181" s="52"/>
      <c r="GS181" s="52"/>
      <c r="GT181" s="52"/>
      <c r="GU181" s="52"/>
      <c r="GV181" s="52"/>
      <c r="GW181" s="52"/>
      <c r="GX181" s="52"/>
      <c r="GY181" s="52"/>
      <c r="GZ181" s="52"/>
      <c r="HA181" s="52"/>
      <c r="HB181" s="52"/>
      <c r="HC181" s="52"/>
      <c r="HD181" s="52"/>
      <c r="HE181" s="52"/>
      <c r="HF181" s="52"/>
      <c r="HG181" s="52"/>
      <c r="HH181" s="52"/>
      <c r="HI181" s="52"/>
      <c r="HJ181" s="52"/>
      <c r="HK181" s="52"/>
      <c r="HL181" s="52"/>
      <c r="HM181" s="128" t="n">
        <v>8</v>
      </c>
      <c r="HN181" s="39" t="n">
        <v>2</v>
      </c>
      <c r="HO181" s="114" t="s">
        <v>385</v>
      </c>
      <c r="HP181" s="114" t="s">
        <v>377</v>
      </c>
      <c r="HQ181" s="114" t="s">
        <v>386</v>
      </c>
      <c r="HR181" s="114" t="s">
        <v>378</v>
      </c>
      <c r="HS181" s="52"/>
      <c r="HT181" s="131"/>
      <c r="HU181" s="128"/>
      <c r="HV181" s="131"/>
      <c r="HW181" s="131"/>
      <c r="HX181" s="131"/>
      <c r="HY181" s="131"/>
      <c r="HZ181" s="131"/>
    </row>
    <row r="182" customFormat="false" ht="12.8" hidden="true" customHeight="false" outlineLevel="0" collapsed="false">
      <c r="A182" s="152" t="s">
        <v>311</v>
      </c>
      <c r="B182" s="153" t="s">
        <v>81</v>
      </c>
      <c r="C182" s="153" t="s">
        <v>322</v>
      </c>
      <c r="D182" s="153" t="s">
        <v>323</v>
      </c>
      <c r="E182" s="130" t="s">
        <v>84</v>
      </c>
      <c r="F182" s="17" t="s">
        <v>85</v>
      </c>
      <c r="G182" s="154" t="s">
        <v>779</v>
      </c>
      <c r="H182" s="148" t="s">
        <v>92</v>
      </c>
      <c r="I182" s="150" t="s">
        <v>765</v>
      </c>
      <c r="J182" s="148" t="s">
        <v>498</v>
      </c>
      <c r="K182" s="39" t="n">
        <v>13000</v>
      </c>
      <c r="L182" s="18"/>
      <c r="M182" s="18" t="n">
        <f aca="false">IF(AD182,1,0)+IF(AK182,1,0)+AN182+AU182+BB182+BI182+BP182+BW182+CD182+CK182+CR182+CY182+DF182+DM182+DT182+EA182+EH182+EO182+EV182+FC182+FJ182+FQ182+FX182+GE182+GL182+GS182+GZ182+HG182+HN182+HU182</f>
        <v>0</v>
      </c>
      <c r="N182" s="131"/>
      <c r="O182" s="147"/>
      <c r="P182" s="147"/>
      <c r="Q182" s="147"/>
      <c r="R182" s="12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31"/>
      <c r="AD182" s="128"/>
      <c r="AE182" s="128"/>
      <c r="AF182" s="128"/>
      <c r="AG182" s="128"/>
      <c r="AH182" s="128"/>
      <c r="AI182" s="147"/>
      <c r="AJ182" s="128"/>
      <c r="AK182" s="128"/>
      <c r="AL182" s="147"/>
      <c r="AM182" s="131"/>
      <c r="AN182" s="128"/>
      <c r="AO182" s="131"/>
      <c r="AP182" s="131"/>
      <c r="AQ182" s="131"/>
      <c r="AR182" s="131"/>
      <c r="AS182" s="131"/>
      <c r="AT182" s="131"/>
      <c r="AU182" s="131"/>
      <c r="AV182" s="131"/>
      <c r="AW182" s="131"/>
      <c r="AX182" s="131"/>
      <c r="AY182" s="131"/>
      <c r="AZ182" s="131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  <c r="CE182" s="52"/>
      <c r="CF182" s="52"/>
      <c r="CG182" s="52"/>
      <c r="CH182" s="52"/>
      <c r="CI182" s="52"/>
      <c r="CJ182" s="16"/>
      <c r="CK182" s="16"/>
      <c r="CL182" s="16"/>
      <c r="CM182" s="16"/>
      <c r="CN182" s="16"/>
      <c r="CO182" s="16"/>
      <c r="CP182" s="16"/>
      <c r="CQ182" s="52"/>
      <c r="CR182" s="52"/>
      <c r="CS182" s="52"/>
      <c r="CT182" s="52"/>
      <c r="CU182" s="52"/>
      <c r="CV182" s="52"/>
      <c r="CW182" s="52"/>
      <c r="CX182" s="52"/>
      <c r="CY182" s="52"/>
      <c r="CZ182" s="52"/>
      <c r="DA182" s="52"/>
      <c r="DB182" s="52"/>
      <c r="DC182" s="52"/>
      <c r="DD182" s="52"/>
      <c r="DE182" s="52"/>
      <c r="DF182" s="52"/>
      <c r="DG182" s="52"/>
      <c r="DH182" s="52"/>
      <c r="DI182" s="52"/>
      <c r="DJ182" s="52"/>
      <c r="DK182" s="52"/>
      <c r="DL182" s="52"/>
      <c r="DM182" s="52"/>
      <c r="DN182" s="52"/>
      <c r="DO182" s="52"/>
      <c r="DP182" s="52"/>
      <c r="DQ182" s="52"/>
      <c r="DR182" s="52"/>
      <c r="DS182" s="52"/>
      <c r="DT182" s="52"/>
      <c r="DU182" s="52"/>
      <c r="DV182" s="52"/>
      <c r="DW182" s="52"/>
      <c r="DX182" s="52"/>
      <c r="DY182" s="52"/>
      <c r="DZ182" s="52"/>
      <c r="EA182" s="52"/>
      <c r="EB182" s="52"/>
      <c r="EC182" s="52"/>
      <c r="ED182" s="52"/>
      <c r="EE182" s="52"/>
      <c r="EF182" s="52"/>
      <c r="EG182" s="52"/>
      <c r="EH182" s="52"/>
      <c r="EI182" s="52"/>
      <c r="EJ182" s="52"/>
      <c r="EK182" s="52"/>
      <c r="EL182" s="52"/>
      <c r="EM182" s="52"/>
      <c r="EN182" s="52"/>
      <c r="EO182" s="52"/>
      <c r="EP182" s="52"/>
      <c r="EQ182" s="52"/>
      <c r="ER182" s="52"/>
      <c r="ES182" s="52"/>
      <c r="ET182" s="52"/>
      <c r="EU182" s="52"/>
      <c r="EV182" s="52"/>
      <c r="EW182" s="52"/>
      <c r="EX182" s="52"/>
      <c r="EY182" s="52"/>
      <c r="EZ182" s="52"/>
      <c r="FA182" s="52"/>
      <c r="FB182" s="52"/>
      <c r="FC182" s="52"/>
      <c r="FD182" s="52"/>
      <c r="FE182" s="52"/>
      <c r="FF182" s="52"/>
      <c r="FG182" s="52"/>
      <c r="FH182" s="52"/>
      <c r="FI182" s="52"/>
      <c r="FJ182" s="52"/>
      <c r="FK182" s="52"/>
      <c r="FL182" s="52"/>
      <c r="FM182" s="52"/>
      <c r="FN182" s="52"/>
      <c r="FO182" s="52"/>
      <c r="FP182" s="52"/>
      <c r="FQ182" s="52"/>
      <c r="FR182" s="52"/>
      <c r="FS182" s="52"/>
      <c r="FT182" s="52"/>
      <c r="FU182" s="52"/>
      <c r="FV182" s="52"/>
      <c r="FW182" s="52"/>
      <c r="FX182" s="52"/>
      <c r="FY182" s="52"/>
      <c r="FZ182" s="52"/>
      <c r="GA182" s="52"/>
      <c r="GB182" s="52"/>
      <c r="GC182" s="52"/>
      <c r="GD182" s="52"/>
      <c r="GE182" s="52"/>
      <c r="GF182" s="52"/>
      <c r="GG182" s="52"/>
      <c r="GH182" s="52"/>
      <c r="GI182" s="52"/>
      <c r="GJ182" s="52"/>
      <c r="GK182" s="52"/>
      <c r="GL182" s="52"/>
      <c r="GM182" s="52"/>
      <c r="GN182" s="52"/>
      <c r="GO182" s="52"/>
      <c r="GP182" s="52"/>
      <c r="GQ182" s="52"/>
      <c r="GR182" s="52"/>
      <c r="GS182" s="52"/>
      <c r="GT182" s="52"/>
      <c r="GU182" s="52"/>
      <c r="GV182" s="52"/>
      <c r="GW182" s="52"/>
      <c r="GX182" s="52"/>
      <c r="GY182" s="52"/>
      <c r="GZ182" s="52"/>
      <c r="HA182" s="52"/>
      <c r="HB182" s="52"/>
      <c r="HC182" s="52"/>
      <c r="HD182" s="52"/>
      <c r="HE182" s="52"/>
      <c r="HF182" s="52"/>
      <c r="HG182" s="52"/>
      <c r="HH182" s="52"/>
      <c r="HI182" s="52"/>
      <c r="HJ182" s="52"/>
      <c r="HK182" s="52"/>
      <c r="HL182" s="52"/>
      <c r="HM182" s="52"/>
      <c r="HN182" s="52"/>
      <c r="HO182" s="52"/>
      <c r="HP182" s="52"/>
      <c r="HQ182" s="52"/>
      <c r="HR182" s="52"/>
      <c r="HS182" s="52"/>
      <c r="HT182" s="131"/>
      <c r="HU182" s="128"/>
      <c r="HV182" s="131"/>
      <c r="HW182" s="131"/>
      <c r="HX182" s="131"/>
      <c r="HY182" s="131"/>
      <c r="HZ182" s="131"/>
    </row>
    <row r="183" customFormat="false" ht="12.8" hidden="true" customHeight="false" outlineLevel="0" collapsed="false">
      <c r="A183" s="152" t="s">
        <v>311</v>
      </c>
      <c r="B183" s="153" t="s">
        <v>81</v>
      </c>
      <c r="C183" s="153" t="s">
        <v>322</v>
      </c>
      <c r="D183" s="153" t="s">
        <v>323</v>
      </c>
      <c r="E183" s="130" t="s">
        <v>84</v>
      </c>
      <c r="F183" s="17" t="s">
        <v>85</v>
      </c>
      <c r="G183" s="154" t="s">
        <v>781</v>
      </c>
      <c r="H183" s="150"/>
      <c r="I183" s="150" t="s">
        <v>559</v>
      </c>
      <c r="J183" s="148" t="s">
        <v>498</v>
      </c>
      <c r="K183" s="39" t="n">
        <v>13000</v>
      </c>
      <c r="L183" s="18"/>
      <c r="M183" s="18" t="n">
        <f aca="false">IF(AD183,1,0)+IF(AK183,1,0)+AN183+AU183+BB183+BI183+BP183+BW183+CD183+CK183+CR183+CY183+DF183+DM183+DT183+EA183+EH183+EO183+EV183+FC183+FJ183+FQ183+FX183+GE183+GL183+GS183+GZ183+HG183+HN183+HU183</f>
        <v>0</v>
      </c>
      <c r="N183" s="131"/>
      <c r="O183" s="147"/>
      <c r="P183" s="147"/>
      <c r="Q183" s="147"/>
      <c r="R183" s="12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31"/>
      <c r="AD183" s="128"/>
      <c r="AE183" s="128"/>
      <c r="AF183" s="128"/>
      <c r="AG183" s="128"/>
      <c r="AH183" s="128"/>
      <c r="AI183" s="147"/>
      <c r="AJ183" s="128"/>
      <c r="AK183" s="128"/>
      <c r="AL183" s="147"/>
      <c r="AM183" s="131"/>
      <c r="AN183" s="128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  <c r="CE183" s="52"/>
      <c r="CF183" s="52"/>
      <c r="CG183" s="52"/>
      <c r="CH183" s="52"/>
      <c r="CI183" s="52"/>
      <c r="CJ183" s="16"/>
      <c r="CK183" s="16"/>
      <c r="CL183" s="16"/>
      <c r="CM183" s="16"/>
      <c r="CN183" s="16"/>
      <c r="CO183" s="16"/>
      <c r="CP183" s="16"/>
      <c r="CQ183" s="52"/>
      <c r="CR183" s="52"/>
      <c r="CS183" s="52"/>
      <c r="CT183" s="52"/>
      <c r="CU183" s="52"/>
      <c r="CV183" s="52"/>
      <c r="CW183" s="52"/>
      <c r="CX183" s="52"/>
      <c r="CY183" s="52"/>
      <c r="CZ183" s="52"/>
      <c r="DA183" s="52"/>
      <c r="DB183" s="52"/>
      <c r="DC183" s="52"/>
      <c r="DD183" s="52"/>
      <c r="DE183" s="52"/>
      <c r="DF183" s="52"/>
      <c r="DG183" s="52"/>
      <c r="DH183" s="52"/>
      <c r="DI183" s="52"/>
      <c r="DJ183" s="52"/>
      <c r="DK183" s="52"/>
      <c r="DL183" s="52"/>
      <c r="DM183" s="52"/>
      <c r="DN183" s="52"/>
      <c r="DO183" s="52"/>
      <c r="DP183" s="52"/>
      <c r="DQ183" s="52"/>
      <c r="DR183" s="52"/>
      <c r="DS183" s="52"/>
      <c r="DT183" s="52"/>
      <c r="DU183" s="52"/>
      <c r="DV183" s="52"/>
      <c r="DW183" s="52"/>
      <c r="DX183" s="52"/>
      <c r="DY183" s="52"/>
      <c r="DZ183" s="52"/>
      <c r="EA183" s="52"/>
      <c r="EB183" s="52"/>
      <c r="EC183" s="52"/>
      <c r="ED183" s="52"/>
      <c r="EE183" s="52"/>
      <c r="EF183" s="52"/>
      <c r="EG183" s="52"/>
      <c r="EH183" s="52"/>
      <c r="EI183" s="52"/>
      <c r="EJ183" s="52"/>
      <c r="EK183" s="52"/>
      <c r="EL183" s="52"/>
      <c r="EM183" s="52"/>
      <c r="EN183" s="52"/>
      <c r="EO183" s="52"/>
      <c r="EP183" s="52"/>
      <c r="EQ183" s="52"/>
      <c r="ER183" s="52"/>
      <c r="ES183" s="52"/>
      <c r="ET183" s="52"/>
      <c r="EU183" s="52"/>
      <c r="EV183" s="52"/>
      <c r="EW183" s="52"/>
      <c r="EX183" s="52"/>
      <c r="EY183" s="52"/>
      <c r="EZ183" s="52"/>
      <c r="FA183" s="52"/>
      <c r="FB183" s="52"/>
      <c r="FC183" s="52"/>
      <c r="FD183" s="52"/>
      <c r="FE183" s="52"/>
      <c r="FF183" s="52"/>
      <c r="FG183" s="52"/>
      <c r="FH183" s="52"/>
      <c r="FI183" s="52"/>
      <c r="FJ183" s="52"/>
      <c r="FK183" s="52"/>
      <c r="FL183" s="52"/>
      <c r="FM183" s="52"/>
      <c r="FN183" s="52"/>
      <c r="FO183" s="52"/>
      <c r="FP183" s="52"/>
      <c r="FQ183" s="52"/>
      <c r="FR183" s="52"/>
      <c r="FS183" s="52"/>
      <c r="FT183" s="52"/>
      <c r="FU183" s="52"/>
      <c r="FV183" s="52"/>
      <c r="FW183" s="52"/>
      <c r="FX183" s="52"/>
      <c r="FY183" s="52"/>
      <c r="FZ183" s="52"/>
      <c r="GA183" s="52"/>
      <c r="GB183" s="52"/>
      <c r="GC183" s="52"/>
      <c r="GD183" s="52"/>
      <c r="GE183" s="52"/>
      <c r="GF183" s="52"/>
      <c r="GG183" s="52"/>
      <c r="GH183" s="52"/>
      <c r="GI183" s="52"/>
      <c r="GJ183" s="52"/>
      <c r="GK183" s="52"/>
      <c r="GL183" s="52"/>
      <c r="GM183" s="52"/>
      <c r="GN183" s="52"/>
      <c r="GO183" s="52"/>
      <c r="GP183" s="52"/>
      <c r="GQ183" s="52"/>
      <c r="GR183" s="52"/>
      <c r="GS183" s="52"/>
      <c r="GT183" s="52"/>
      <c r="GU183" s="52"/>
      <c r="GV183" s="52"/>
      <c r="GW183" s="52"/>
      <c r="GX183" s="52"/>
      <c r="GY183" s="52"/>
      <c r="GZ183" s="52"/>
      <c r="HA183" s="52"/>
      <c r="HB183" s="52"/>
      <c r="HC183" s="52"/>
      <c r="HD183" s="52"/>
      <c r="HE183" s="52"/>
      <c r="HF183" s="52"/>
      <c r="HG183" s="52"/>
      <c r="HH183" s="52"/>
      <c r="HI183" s="52"/>
      <c r="HJ183" s="52"/>
      <c r="HK183" s="52"/>
      <c r="HL183" s="52"/>
      <c r="HM183" s="52"/>
      <c r="HN183" s="52"/>
      <c r="HO183" s="52"/>
      <c r="HP183" s="52"/>
      <c r="HQ183" s="52"/>
      <c r="HR183" s="52"/>
      <c r="HS183" s="52"/>
      <c r="HT183" s="131"/>
      <c r="HU183" s="128"/>
      <c r="HV183" s="131"/>
      <c r="HW183" s="131"/>
      <c r="HX183" s="131"/>
      <c r="HY183" s="131"/>
      <c r="HZ183" s="131"/>
    </row>
    <row r="184" customFormat="false" ht="12.8" hidden="true" customHeight="false" outlineLevel="0" collapsed="false">
      <c r="A184" s="152" t="s">
        <v>311</v>
      </c>
      <c r="B184" s="153" t="s">
        <v>81</v>
      </c>
      <c r="C184" s="153" t="s">
        <v>322</v>
      </c>
      <c r="D184" s="153" t="s">
        <v>323</v>
      </c>
      <c r="E184" s="130" t="s">
        <v>84</v>
      </c>
      <c r="F184" s="17" t="s">
        <v>85</v>
      </c>
      <c r="G184" s="154" t="s">
        <v>781</v>
      </c>
      <c r="H184" s="150"/>
      <c r="I184" s="150" t="s">
        <v>569</v>
      </c>
      <c r="J184" s="148" t="s">
        <v>498</v>
      </c>
      <c r="K184" s="39" t="n">
        <v>13000</v>
      </c>
      <c r="L184" s="18"/>
      <c r="M184" s="18" t="n">
        <f aca="false">IF(AD184,1,0)+IF(AK184,1,0)+AN184+AU184+BB184+BI184+BP184+BW184+CD184+CK184+CR184+CY184+DF184+DM184+DT184+EA184+EH184+EO184+EV184+FC184+FJ184+FQ184+FX184+GE184+GL184+GS184+GZ184+HG184+HN184+HU184</f>
        <v>0</v>
      </c>
      <c r="N184" s="131"/>
      <c r="O184" s="147"/>
      <c r="P184" s="147"/>
      <c r="Q184" s="147"/>
      <c r="R184" s="12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31"/>
      <c r="AD184" s="128"/>
      <c r="AE184" s="128"/>
      <c r="AF184" s="128"/>
      <c r="AG184" s="128"/>
      <c r="AH184" s="128"/>
      <c r="AI184" s="147"/>
      <c r="AJ184" s="128"/>
      <c r="AK184" s="128"/>
      <c r="AL184" s="147"/>
      <c r="AM184" s="131"/>
      <c r="AN184" s="128"/>
      <c r="AO184" s="131"/>
      <c r="AP184" s="131"/>
      <c r="AQ184" s="131"/>
      <c r="AR184" s="131"/>
      <c r="AS184" s="131"/>
      <c r="AT184" s="131"/>
      <c r="AU184" s="131"/>
      <c r="AV184" s="131"/>
      <c r="AW184" s="131"/>
      <c r="AX184" s="131"/>
      <c r="AY184" s="131"/>
      <c r="AZ184" s="131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  <c r="CE184" s="52"/>
      <c r="CF184" s="52"/>
      <c r="CG184" s="52"/>
      <c r="CH184" s="52"/>
      <c r="CI184" s="52"/>
      <c r="CJ184" s="16"/>
      <c r="CK184" s="16"/>
      <c r="CL184" s="16"/>
      <c r="CM184" s="16"/>
      <c r="CN184" s="16"/>
      <c r="CO184" s="16"/>
      <c r="CP184" s="16"/>
      <c r="CQ184" s="52"/>
      <c r="CR184" s="52"/>
      <c r="CS184" s="52"/>
      <c r="CT184" s="52"/>
      <c r="CU184" s="52"/>
      <c r="CV184" s="52"/>
      <c r="CW184" s="52"/>
      <c r="CX184" s="52"/>
      <c r="CY184" s="52"/>
      <c r="CZ184" s="52"/>
      <c r="DA184" s="52"/>
      <c r="DB184" s="52"/>
      <c r="DC184" s="52"/>
      <c r="DD184" s="52"/>
      <c r="DE184" s="52"/>
      <c r="DF184" s="52"/>
      <c r="DG184" s="52"/>
      <c r="DH184" s="52"/>
      <c r="DI184" s="52"/>
      <c r="DJ184" s="52"/>
      <c r="DK184" s="52"/>
      <c r="DL184" s="52"/>
      <c r="DM184" s="52"/>
      <c r="DN184" s="52"/>
      <c r="DO184" s="52"/>
      <c r="DP184" s="52"/>
      <c r="DQ184" s="52"/>
      <c r="DR184" s="52"/>
      <c r="DS184" s="52"/>
      <c r="DT184" s="52"/>
      <c r="DU184" s="52"/>
      <c r="DV184" s="52"/>
      <c r="DW184" s="52"/>
      <c r="DX184" s="52"/>
      <c r="DY184" s="52"/>
      <c r="DZ184" s="52"/>
      <c r="EA184" s="52"/>
      <c r="EB184" s="52"/>
      <c r="EC184" s="52"/>
      <c r="ED184" s="52"/>
      <c r="EE184" s="52"/>
      <c r="EF184" s="52"/>
      <c r="EG184" s="52"/>
      <c r="EH184" s="52"/>
      <c r="EI184" s="52"/>
      <c r="EJ184" s="52"/>
      <c r="EK184" s="52"/>
      <c r="EL184" s="52"/>
      <c r="EM184" s="52"/>
      <c r="EN184" s="52"/>
      <c r="EO184" s="52"/>
      <c r="EP184" s="52"/>
      <c r="EQ184" s="52"/>
      <c r="ER184" s="52"/>
      <c r="ES184" s="52"/>
      <c r="ET184" s="52"/>
      <c r="EU184" s="52"/>
      <c r="EV184" s="52"/>
      <c r="EW184" s="52"/>
      <c r="EX184" s="52"/>
      <c r="EY184" s="52"/>
      <c r="EZ184" s="52"/>
      <c r="FA184" s="52"/>
      <c r="FB184" s="52"/>
      <c r="FC184" s="52"/>
      <c r="FD184" s="52"/>
      <c r="FE184" s="52"/>
      <c r="FF184" s="52"/>
      <c r="FG184" s="52"/>
      <c r="FH184" s="52"/>
      <c r="FI184" s="52"/>
      <c r="FJ184" s="52"/>
      <c r="FK184" s="52"/>
      <c r="FL184" s="52"/>
      <c r="FM184" s="52"/>
      <c r="FN184" s="52"/>
      <c r="FO184" s="52"/>
      <c r="FP184" s="52"/>
      <c r="FQ184" s="52"/>
      <c r="FR184" s="52"/>
      <c r="FS184" s="52"/>
      <c r="FT184" s="52"/>
      <c r="FU184" s="52"/>
      <c r="FV184" s="52"/>
      <c r="FW184" s="52"/>
      <c r="FX184" s="52"/>
      <c r="FY184" s="52"/>
      <c r="FZ184" s="52"/>
      <c r="GA184" s="52"/>
      <c r="GB184" s="52"/>
      <c r="GC184" s="52"/>
      <c r="GD184" s="52"/>
      <c r="GE184" s="52"/>
      <c r="GF184" s="52"/>
      <c r="GG184" s="52"/>
      <c r="GH184" s="52"/>
      <c r="GI184" s="52"/>
      <c r="GJ184" s="52"/>
      <c r="GK184" s="52"/>
      <c r="GL184" s="52"/>
      <c r="GM184" s="52"/>
      <c r="GN184" s="52"/>
      <c r="GO184" s="52"/>
      <c r="GP184" s="52"/>
      <c r="GQ184" s="52"/>
      <c r="GR184" s="52"/>
      <c r="GS184" s="52"/>
      <c r="GT184" s="52"/>
      <c r="GU184" s="52"/>
      <c r="GV184" s="52"/>
      <c r="GW184" s="52"/>
      <c r="GX184" s="52"/>
      <c r="GY184" s="52"/>
      <c r="GZ184" s="52"/>
      <c r="HA184" s="52"/>
      <c r="HB184" s="52"/>
      <c r="HC184" s="52"/>
      <c r="HD184" s="52"/>
      <c r="HE184" s="52"/>
      <c r="HF184" s="52"/>
      <c r="HG184" s="52"/>
      <c r="HH184" s="52"/>
      <c r="HI184" s="52"/>
      <c r="HJ184" s="52"/>
      <c r="HK184" s="52"/>
      <c r="HL184" s="52"/>
      <c r="HM184" s="52"/>
      <c r="HN184" s="52"/>
      <c r="HO184" s="52"/>
      <c r="HP184" s="52"/>
      <c r="HQ184" s="52"/>
      <c r="HR184" s="52"/>
      <c r="HS184" s="52"/>
      <c r="HT184" s="131"/>
      <c r="HU184" s="128"/>
      <c r="HV184" s="131"/>
      <c r="HW184" s="131"/>
      <c r="HX184" s="131"/>
      <c r="HY184" s="131"/>
      <c r="HZ184" s="131"/>
    </row>
    <row r="185" customFormat="false" ht="12.8" hidden="true" customHeight="false" outlineLevel="0" collapsed="false">
      <c r="A185" s="152" t="s">
        <v>311</v>
      </c>
      <c r="B185" s="153" t="s">
        <v>81</v>
      </c>
      <c r="C185" s="153" t="s">
        <v>322</v>
      </c>
      <c r="D185" s="153" t="s">
        <v>323</v>
      </c>
      <c r="E185" s="130" t="s">
        <v>84</v>
      </c>
      <c r="F185" s="17" t="s">
        <v>85</v>
      </c>
      <c r="G185" s="154" t="s">
        <v>786</v>
      </c>
      <c r="H185" s="150"/>
      <c r="I185" s="150" t="s">
        <v>576</v>
      </c>
      <c r="J185" s="148" t="s">
        <v>498</v>
      </c>
      <c r="K185" s="39" t="n">
        <v>13000</v>
      </c>
      <c r="L185" s="18"/>
      <c r="M185" s="18" t="n">
        <f aca="false">IF(AD185,1,0)+IF(AK185,1,0)+AN185+AU185+BB185+BI185+BP185+BW185+CD185+CK185+CR185+CY185+DF185+DM185+DT185+EA185+EH185+EO185+EV185+FC185+FJ185+FQ185+FX185+GE185+GL185+GS185+GZ185+HG185+HN185+HU185</f>
        <v>0</v>
      </c>
      <c r="N185" s="131"/>
      <c r="O185" s="147"/>
      <c r="P185" s="147"/>
      <c r="Q185" s="147"/>
      <c r="R185" s="12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31"/>
      <c r="AD185" s="128"/>
      <c r="AE185" s="128"/>
      <c r="AF185" s="128"/>
      <c r="AG185" s="128"/>
      <c r="AH185" s="128"/>
      <c r="AI185" s="147"/>
      <c r="AJ185" s="128"/>
      <c r="AK185" s="128"/>
      <c r="AL185" s="147"/>
      <c r="AM185" s="131"/>
      <c r="AN185" s="128"/>
      <c r="AO185" s="131"/>
      <c r="AP185" s="131"/>
      <c r="AQ185" s="131"/>
      <c r="AR185" s="131"/>
      <c r="AS185" s="131"/>
      <c r="AT185" s="131"/>
      <c r="AU185" s="131"/>
      <c r="AV185" s="131"/>
      <c r="AW185" s="131"/>
      <c r="AX185" s="131"/>
      <c r="AY185" s="131"/>
      <c r="AZ185" s="131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  <c r="CE185" s="52"/>
      <c r="CF185" s="52"/>
      <c r="CG185" s="52"/>
      <c r="CH185" s="52"/>
      <c r="CI185" s="52"/>
      <c r="CJ185" s="16"/>
      <c r="CK185" s="16"/>
      <c r="CL185" s="16"/>
      <c r="CM185" s="16"/>
      <c r="CN185" s="16"/>
      <c r="CO185" s="16"/>
      <c r="CP185" s="16"/>
      <c r="CQ185" s="52"/>
      <c r="CR185" s="52"/>
      <c r="CS185" s="52"/>
      <c r="CT185" s="52"/>
      <c r="CU185" s="52"/>
      <c r="CV185" s="52"/>
      <c r="CW185" s="52"/>
      <c r="CX185" s="52"/>
      <c r="CY185" s="52"/>
      <c r="CZ185" s="52"/>
      <c r="DA185" s="52"/>
      <c r="DB185" s="52"/>
      <c r="DC185" s="52"/>
      <c r="DD185" s="52"/>
      <c r="DE185" s="52"/>
      <c r="DF185" s="52"/>
      <c r="DG185" s="52"/>
      <c r="DH185" s="52"/>
      <c r="DI185" s="52"/>
      <c r="DJ185" s="52"/>
      <c r="DK185" s="52"/>
      <c r="DL185" s="52"/>
      <c r="DM185" s="52"/>
      <c r="DN185" s="52"/>
      <c r="DO185" s="52"/>
      <c r="DP185" s="52"/>
      <c r="DQ185" s="52"/>
      <c r="DR185" s="52"/>
      <c r="DS185" s="52"/>
      <c r="DT185" s="52"/>
      <c r="DU185" s="52"/>
      <c r="DV185" s="52"/>
      <c r="DW185" s="52"/>
      <c r="DX185" s="52"/>
      <c r="DY185" s="52"/>
      <c r="DZ185" s="52"/>
      <c r="EA185" s="52"/>
      <c r="EB185" s="52"/>
      <c r="EC185" s="52"/>
      <c r="ED185" s="52"/>
      <c r="EE185" s="52"/>
      <c r="EF185" s="52"/>
      <c r="EG185" s="52"/>
      <c r="EH185" s="52"/>
      <c r="EI185" s="52"/>
      <c r="EJ185" s="52"/>
      <c r="EK185" s="52"/>
      <c r="EL185" s="52"/>
      <c r="EM185" s="52"/>
      <c r="EN185" s="52"/>
      <c r="EO185" s="52"/>
      <c r="EP185" s="52"/>
      <c r="EQ185" s="52"/>
      <c r="ER185" s="52"/>
      <c r="ES185" s="52"/>
      <c r="ET185" s="52"/>
      <c r="EU185" s="52"/>
      <c r="EV185" s="52"/>
      <c r="EW185" s="52"/>
      <c r="EX185" s="52"/>
      <c r="EY185" s="52"/>
      <c r="EZ185" s="52"/>
      <c r="FA185" s="52"/>
      <c r="FB185" s="52"/>
      <c r="FC185" s="52"/>
      <c r="FD185" s="52"/>
      <c r="FE185" s="52"/>
      <c r="FF185" s="52"/>
      <c r="FG185" s="52"/>
      <c r="FH185" s="52"/>
      <c r="FI185" s="52"/>
      <c r="FJ185" s="52"/>
      <c r="FK185" s="52"/>
      <c r="FL185" s="52"/>
      <c r="FM185" s="52"/>
      <c r="FN185" s="52"/>
      <c r="FO185" s="52"/>
      <c r="FP185" s="52"/>
      <c r="FQ185" s="52"/>
      <c r="FR185" s="52"/>
      <c r="FS185" s="52"/>
      <c r="FT185" s="52"/>
      <c r="FU185" s="52"/>
      <c r="FV185" s="52"/>
      <c r="FW185" s="52"/>
      <c r="FX185" s="52"/>
      <c r="FY185" s="52"/>
      <c r="FZ185" s="52"/>
      <c r="GA185" s="52"/>
      <c r="GB185" s="52"/>
      <c r="GC185" s="52"/>
      <c r="GD185" s="52"/>
      <c r="GE185" s="52"/>
      <c r="GF185" s="52"/>
      <c r="GG185" s="52"/>
      <c r="GH185" s="52"/>
      <c r="GI185" s="52"/>
      <c r="GJ185" s="52"/>
      <c r="GK185" s="52"/>
      <c r="GL185" s="52"/>
      <c r="GM185" s="52"/>
      <c r="GN185" s="52"/>
      <c r="GO185" s="52"/>
      <c r="GP185" s="52"/>
      <c r="GQ185" s="52"/>
      <c r="GR185" s="52"/>
      <c r="GS185" s="52"/>
      <c r="GT185" s="52"/>
      <c r="GU185" s="52"/>
      <c r="GV185" s="52"/>
      <c r="GW185" s="52"/>
      <c r="GX185" s="52"/>
      <c r="GY185" s="52"/>
      <c r="GZ185" s="52"/>
      <c r="HA185" s="52"/>
      <c r="HB185" s="52"/>
      <c r="HC185" s="52"/>
      <c r="HD185" s="52"/>
      <c r="HE185" s="52"/>
      <c r="HF185" s="52"/>
      <c r="HG185" s="52"/>
      <c r="HH185" s="52"/>
      <c r="HI185" s="52"/>
      <c r="HJ185" s="52"/>
      <c r="HK185" s="52"/>
      <c r="HL185" s="52"/>
      <c r="HM185" s="52"/>
      <c r="HN185" s="52"/>
      <c r="HO185" s="52"/>
      <c r="HP185" s="52"/>
      <c r="HQ185" s="52"/>
      <c r="HR185" s="52"/>
      <c r="HS185" s="52"/>
      <c r="HT185" s="131"/>
      <c r="HU185" s="128"/>
      <c r="HV185" s="131"/>
      <c r="HW185" s="131"/>
      <c r="HX185" s="131"/>
      <c r="HY185" s="131"/>
      <c r="HZ185" s="131"/>
    </row>
    <row r="186" customFormat="false" ht="12.8" hidden="true" customHeight="false" outlineLevel="0" collapsed="false">
      <c r="A186" s="152" t="s">
        <v>311</v>
      </c>
      <c r="B186" s="153" t="s">
        <v>81</v>
      </c>
      <c r="C186" s="153" t="s">
        <v>322</v>
      </c>
      <c r="D186" s="153" t="s">
        <v>323</v>
      </c>
      <c r="E186" s="130" t="s">
        <v>84</v>
      </c>
      <c r="F186" s="17" t="s">
        <v>85</v>
      </c>
      <c r="G186" s="154" t="s">
        <v>787</v>
      </c>
      <c r="H186" s="150"/>
      <c r="I186" s="150" t="s">
        <v>505</v>
      </c>
      <c r="J186" s="148" t="s">
        <v>498</v>
      </c>
      <c r="K186" s="39" t="n">
        <v>13000</v>
      </c>
      <c r="L186" s="18"/>
      <c r="M186" s="18" t="n">
        <f aca="false">IF(AD186,1,0)+IF(AK186,1,0)+AN186+AU186+BB186+BI186+BP186+BW186+CD186+CK186+CR186+CY186+DF186+DM186+DT186+EA186+EH186+EO186+EV186+FC186+FJ186+FQ186+FX186+GE186+GL186+GS186+GZ186+HG186+HN186+HU186</f>
        <v>0</v>
      </c>
      <c r="N186" s="131"/>
      <c r="O186" s="147"/>
      <c r="P186" s="147"/>
      <c r="Q186" s="147"/>
      <c r="R186" s="12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31"/>
      <c r="AD186" s="128"/>
      <c r="AE186" s="128"/>
      <c r="AF186" s="128"/>
      <c r="AG186" s="128"/>
      <c r="AH186" s="128"/>
      <c r="AI186" s="147"/>
      <c r="AJ186" s="128"/>
      <c r="AK186" s="128"/>
      <c r="AL186" s="147"/>
      <c r="AM186" s="131"/>
      <c r="AN186" s="128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  <c r="CE186" s="52"/>
      <c r="CF186" s="52"/>
      <c r="CG186" s="52"/>
      <c r="CH186" s="52"/>
      <c r="CI186" s="52"/>
      <c r="CJ186" s="16"/>
      <c r="CK186" s="16"/>
      <c r="CL186" s="16"/>
      <c r="CM186" s="16"/>
      <c r="CN186" s="16"/>
      <c r="CO186" s="16"/>
      <c r="CP186" s="16"/>
      <c r="CQ186" s="52"/>
      <c r="CR186" s="52"/>
      <c r="CS186" s="52"/>
      <c r="CT186" s="52"/>
      <c r="CU186" s="52"/>
      <c r="CV186" s="52"/>
      <c r="CW186" s="52"/>
      <c r="CX186" s="52"/>
      <c r="CY186" s="52"/>
      <c r="CZ186" s="52"/>
      <c r="DA186" s="52"/>
      <c r="DB186" s="52"/>
      <c r="DC186" s="52"/>
      <c r="DD186" s="52"/>
      <c r="DE186" s="52"/>
      <c r="DF186" s="52"/>
      <c r="DG186" s="52"/>
      <c r="DH186" s="52"/>
      <c r="DI186" s="52"/>
      <c r="DJ186" s="52"/>
      <c r="DK186" s="52"/>
      <c r="DL186" s="52"/>
      <c r="DM186" s="52"/>
      <c r="DN186" s="52"/>
      <c r="DO186" s="52"/>
      <c r="DP186" s="52"/>
      <c r="DQ186" s="52"/>
      <c r="DR186" s="52"/>
      <c r="DS186" s="52"/>
      <c r="DT186" s="52"/>
      <c r="DU186" s="52"/>
      <c r="DV186" s="52"/>
      <c r="DW186" s="52"/>
      <c r="DX186" s="52"/>
      <c r="DY186" s="52"/>
      <c r="DZ186" s="52"/>
      <c r="EA186" s="52"/>
      <c r="EB186" s="52"/>
      <c r="EC186" s="52"/>
      <c r="ED186" s="52"/>
      <c r="EE186" s="52"/>
      <c r="EF186" s="52"/>
      <c r="EG186" s="52"/>
      <c r="EH186" s="52"/>
      <c r="EI186" s="52"/>
      <c r="EJ186" s="52"/>
      <c r="EK186" s="52"/>
      <c r="EL186" s="52"/>
      <c r="EM186" s="52"/>
      <c r="EN186" s="52"/>
      <c r="EO186" s="52"/>
      <c r="EP186" s="52"/>
      <c r="EQ186" s="52"/>
      <c r="ER186" s="52"/>
      <c r="ES186" s="52"/>
      <c r="ET186" s="52"/>
      <c r="EU186" s="52"/>
      <c r="EV186" s="52"/>
      <c r="EW186" s="52"/>
      <c r="EX186" s="52"/>
      <c r="EY186" s="52"/>
      <c r="EZ186" s="52"/>
      <c r="FA186" s="52"/>
      <c r="FB186" s="52"/>
      <c r="FC186" s="52"/>
      <c r="FD186" s="52"/>
      <c r="FE186" s="52"/>
      <c r="FF186" s="52"/>
      <c r="FG186" s="52"/>
      <c r="FH186" s="52"/>
      <c r="FI186" s="52"/>
      <c r="FJ186" s="52"/>
      <c r="FK186" s="52"/>
      <c r="FL186" s="52"/>
      <c r="FM186" s="52"/>
      <c r="FN186" s="52"/>
      <c r="FO186" s="52"/>
      <c r="FP186" s="52"/>
      <c r="FQ186" s="52"/>
      <c r="FR186" s="52"/>
      <c r="FS186" s="52"/>
      <c r="FT186" s="52"/>
      <c r="FU186" s="52"/>
      <c r="FV186" s="52"/>
      <c r="FW186" s="52"/>
      <c r="FX186" s="52"/>
      <c r="FY186" s="52"/>
      <c r="FZ186" s="52"/>
      <c r="GA186" s="52"/>
      <c r="GB186" s="52"/>
      <c r="GC186" s="52"/>
      <c r="GD186" s="52"/>
      <c r="GE186" s="52"/>
      <c r="GF186" s="52"/>
      <c r="GG186" s="52"/>
      <c r="GH186" s="52"/>
      <c r="GI186" s="52"/>
      <c r="GJ186" s="52"/>
      <c r="GK186" s="52"/>
      <c r="GL186" s="52"/>
      <c r="GM186" s="52"/>
      <c r="GN186" s="52"/>
      <c r="GO186" s="52"/>
      <c r="GP186" s="52"/>
      <c r="GQ186" s="52"/>
      <c r="GR186" s="52"/>
      <c r="GS186" s="52"/>
      <c r="GT186" s="52"/>
      <c r="GU186" s="52"/>
      <c r="GV186" s="52"/>
      <c r="GW186" s="52"/>
      <c r="GX186" s="52"/>
      <c r="GY186" s="52"/>
      <c r="GZ186" s="52"/>
      <c r="HA186" s="52"/>
      <c r="HB186" s="52"/>
      <c r="HC186" s="52"/>
      <c r="HD186" s="52"/>
      <c r="HE186" s="52"/>
      <c r="HF186" s="52"/>
      <c r="HG186" s="52"/>
      <c r="HH186" s="52"/>
      <c r="HI186" s="52"/>
      <c r="HJ186" s="52"/>
      <c r="HK186" s="52"/>
      <c r="HL186" s="52"/>
      <c r="HM186" s="52"/>
      <c r="HN186" s="52"/>
      <c r="HO186" s="52"/>
      <c r="HP186" s="52"/>
      <c r="HQ186" s="52"/>
      <c r="HR186" s="52"/>
      <c r="HS186" s="52"/>
      <c r="HT186" s="131"/>
      <c r="HU186" s="128"/>
      <c r="HV186" s="131"/>
      <c r="HW186" s="131"/>
      <c r="HX186" s="131"/>
      <c r="HY186" s="131"/>
      <c r="HZ186" s="131"/>
    </row>
    <row r="187" customFormat="false" ht="12.8" hidden="true" customHeight="false" outlineLevel="0" collapsed="false">
      <c r="A187" s="152" t="s">
        <v>311</v>
      </c>
      <c r="B187" s="153" t="s">
        <v>81</v>
      </c>
      <c r="C187" s="153" t="s">
        <v>322</v>
      </c>
      <c r="D187" s="153" t="s">
        <v>323</v>
      </c>
      <c r="E187" s="130" t="s">
        <v>84</v>
      </c>
      <c r="F187" s="17" t="s">
        <v>85</v>
      </c>
      <c r="G187" s="154" t="s">
        <v>788</v>
      </c>
      <c r="H187" s="150"/>
      <c r="I187" s="150" t="s">
        <v>502</v>
      </c>
      <c r="J187" s="148" t="s">
        <v>498</v>
      </c>
      <c r="K187" s="39" t="n">
        <v>13000</v>
      </c>
      <c r="L187" s="18"/>
      <c r="M187" s="18" t="n">
        <f aca="false">IF(AD187,1,0)+IF(AK187,1,0)+AN187+AU187+BB187+BI187+BP187+BW187+CD187+CK187+CR187+CY187+DF187+DM187+DT187+EA187+EH187+EO187+EV187+FC187+FJ187+FQ187+FX187+GE187+GL187+GS187+GZ187+HG187+HN187+HU187</f>
        <v>0</v>
      </c>
      <c r="N187" s="131"/>
      <c r="O187" s="147"/>
      <c r="P187" s="147"/>
      <c r="Q187" s="147"/>
      <c r="R187" s="12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31"/>
      <c r="AD187" s="128"/>
      <c r="AE187" s="128"/>
      <c r="AF187" s="128"/>
      <c r="AG187" s="128"/>
      <c r="AH187" s="128"/>
      <c r="AI187" s="147"/>
      <c r="AJ187" s="128"/>
      <c r="AK187" s="128"/>
      <c r="AL187" s="147"/>
      <c r="AM187" s="131"/>
      <c r="AN187" s="128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  <c r="AZ187" s="131"/>
      <c r="BA187" s="52"/>
      <c r="BB187" s="52"/>
      <c r="BC187" s="52"/>
      <c r="BD187" s="52"/>
      <c r="BE187" s="52"/>
      <c r="BF187" s="52"/>
      <c r="BG187" s="52"/>
      <c r="BH187" s="128" t="n">
        <v>10</v>
      </c>
      <c r="BI187" s="128" t="n">
        <v>1</v>
      </c>
      <c r="BJ187" s="131" t="s">
        <v>719</v>
      </c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  <c r="CE187" s="52"/>
      <c r="CF187" s="52"/>
      <c r="CG187" s="52"/>
      <c r="CH187" s="52"/>
      <c r="CI187" s="52"/>
      <c r="CJ187" s="16"/>
      <c r="CK187" s="16"/>
      <c r="CL187" s="16"/>
      <c r="CM187" s="16"/>
      <c r="CN187" s="16"/>
      <c r="CO187" s="16"/>
      <c r="CP187" s="16"/>
      <c r="CQ187" s="52"/>
      <c r="CR187" s="52"/>
      <c r="CS187" s="52"/>
      <c r="CT187" s="52"/>
      <c r="CU187" s="52"/>
      <c r="CV187" s="52"/>
      <c r="CW187" s="52"/>
      <c r="CX187" s="52"/>
      <c r="CY187" s="52"/>
      <c r="CZ187" s="52"/>
      <c r="DA187" s="52"/>
      <c r="DB187" s="52"/>
      <c r="DC187" s="52"/>
      <c r="DD187" s="52"/>
      <c r="DE187" s="52"/>
      <c r="DF187" s="52"/>
      <c r="DG187" s="52"/>
      <c r="DH187" s="52"/>
      <c r="DI187" s="52"/>
      <c r="DJ187" s="52"/>
      <c r="DK187" s="52"/>
      <c r="DL187" s="52"/>
      <c r="DM187" s="52"/>
      <c r="DN187" s="52"/>
      <c r="DO187" s="52"/>
      <c r="DP187" s="52"/>
      <c r="DQ187" s="52"/>
      <c r="DR187" s="52"/>
      <c r="DS187" s="52"/>
      <c r="DT187" s="52"/>
      <c r="DU187" s="52"/>
      <c r="DV187" s="52"/>
      <c r="DW187" s="52"/>
      <c r="DX187" s="52"/>
      <c r="DY187" s="52"/>
      <c r="DZ187" s="52"/>
      <c r="EA187" s="52"/>
      <c r="EB187" s="52"/>
      <c r="EC187" s="52"/>
      <c r="ED187" s="52"/>
      <c r="EE187" s="52"/>
      <c r="EF187" s="52"/>
      <c r="EG187" s="52"/>
      <c r="EH187" s="52"/>
      <c r="EI187" s="52"/>
      <c r="EJ187" s="52"/>
      <c r="EK187" s="52"/>
      <c r="EL187" s="52"/>
      <c r="EM187" s="52"/>
      <c r="EN187" s="52"/>
      <c r="EO187" s="52"/>
      <c r="EP187" s="52"/>
      <c r="EQ187" s="52"/>
      <c r="ER187" s="52"/>
      <c r="ES187" s="52"/>
      <c r="ET187" s="52"/>
      <c r="EU187" s="52"/>
      <c r="EV187" s="52"/>
      <c r="EW187" s="52"/>
      <c r="EX187" s="52"/>
      <c r="EY187" s="52"/>
      <c r="EZ187" s="52"/>
      <c r="FA187" s="52"/>
      <c r="FB187" s="52"/>
      <c r="FC187" s="52"/>
      <c r="FD187" s="52"/>
      <c r="FE187" s="52"/>
      <c r="FF187" s="52"/>
      <c r="FG187" s="52"/>
      <c r="FH187" s="52"/>
      <c r="FI187" s="52"/>
      <c r="FJ187" s="52"/>
      <c r="FK187" s="52"/>
      <c r="FL187" s="52"/>
      <c r="FM187" s="52"/>
      <c r="FN187" s="52"/>
      <c r="FO187" s="52"/>
      <c r="FP187" s="52"/>
      <c r="FQ187" s="52"/>
      <c r="FR187" s="52"/>
      <c r="FS187" s="52"/>
      <c r="FT187" s="52"/>
      <c r="FU187" s="52"/>
      <c r="FV187" s="52"/>
      <c r="FW187" s="52"/>
      <c r="FX187" s="52"/>
      <c r="FY187" s="52"/>
      <c r="FZ187" s="52"/>
      <c r="GA187" s="52"/>
      <c r="GB187" s="52"/>
      <c r="GC187" s="52"/>
      <c r="GD187" s="52"/>
      <c r="GE187" s="52"/>
      <c r="GF187" s="52"/>
      <c r="GG187" s="52"/>
      <c r="GH187" s="52"/>
      <c r="GI187" s="52"/>
      <c r="GJ187" s="52"/>
      <c r="GK187" s="52"/>
      <c r="GL187" s="52"/>
      <c r="GM187" s="52"/>
      <c r="GN187" s="52"/>
      <c r="GO187" s="52"/>
      <c r="GP187" s="52"/>
      <c r="GQ187" s="52"/>
      <c r="GR187" s="52"/>
      <c r="GS187" s="52"/>
      <c r="GT187" s="52"/>
      <c r="GU187" s="52"/>
      <c r="GV187" s="52"/>
      <c r="GW187" s="52"/>
      <c r="GX187" s="52"/>
      <c r="GY187" s="52"/>
      <c r="GZ187" s="52"/>
      <c r="HA187" s="52"/>
      <c r="HB187" s="52"/>
      <c r="HC187" s="52"/>
      <c r="HD187" s="52"/>
      <c r="HE187" s="52"/>
      <c r="HF187" s="52"/>
      <c r="HG187" s="52"/>
      <c r="HH187" s="52"/>
      <c r="HI187" s="52"/>
      <c r="HJ187" s="52"/>
      <c r="HK187" s="52"/>
      <c r="HL187" s="52"/>
      <c r="HM187" s="52"/>
      <c r="HN187" s="52"/>
      <c r="HO187" s="52"/>
      <c r="HP187" s="52"/>
      <c r="HQ187" s="52"/>
      <c r="HR187" s="52"/>
      <c r="HS187" s="52"/>
      <c r="HT187" s="131"/>
      <c r="HU187" s="128"/>
      <c r="HV187" s="131"/>
      <c r="HW187" s="131"/>
      <c r="HX187" s="131"/>
      <c r="HY187" s="131"/>
      <c r="HZ187" s="131"/>
    </row>
    <row r="188" customFormat="false" ht="12.8" hidden="true" customHeight="false" outlineLevel="0" collapsed="false">
      <c r="A188" s="152" t="s">
        <v>311</v>
      </c>
      <c r="B188" s="153" t="s">
        <v>93</v>
      </c>
      <c r="C188" s="155" t="s">
        <v>325</v>
      </c>
      <c r="D188" s="153" t="s">
        <v>326</v>
      </c>
      <c r="E188" s="130" t="s">
        <v>84</v>
      </c>
      <c r="F188" s="17" t="s">
        <v>85</v>
      </c>
      <c r="G188" s="154" t="s">
        <v>789</v>
      </c>
      <c r="H188" s="148" t="s">
        <v>92</v>
      </c>
      <c r="I188" s="150" t="s">
        <v>760</v>
      </c>
      <c r="J188" s="148" t="s">
        <v>92</v>
      </c>
      <c r="K188" s="39" t="n">
        <v>13000</v>
      </c>
      <c r="L188" s="18" t="n">
        <v>7</v>
      </c>
      <c r="M188" s="18" t="n">
        <f aca="false">IF(AD188,1,0)+IF(AK188,1,0)+AN188+AU188+BB188+BI188+BP188+BW188+CD188+CK188+CR188+CY188+DF188+DM188+DT188+EA188+EH188+EO188+EV188+FC188+FJ188+FQ188+FX188+GE188+GL188+GS188+GZ188+HG188+HN188+HU188</f>
        <v>0</v>
      </c>
      <c r="N188" s="131"/>
      <c r="O188" s="147" t="n">
        <v>10500</v>
      </c>
      <c r="P188" s="147" t="n">
        <v>0</v>
      </c>
      <c r="Q188" s="147" t="n">
        <v>3360</v>
      </c>
      <c r="R188" s="21" t="s">
        <v>652</v>
      </c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23" t="s">
        <v>618</v>
      </c>
      <c r="AD188" s="128" t="n">
        <v>15</v>
      </c>
      <c r="AE188" s="128"/>
      <c r="AF188" s="128" t="n">
        <v>60</v>
      </c>
      <c r="AG188" s="128" t="n">
        <v>15</v>
      </c>
      <c r="AH188" s="128" t="n">
        <v>10</v>
      </c>
      <c r="AI188" s="147" t="s">
        <v>619</v>
      </c>
      <c r="AJ188" s="128"/>
      <c r="AK188" s="128"/>
      <c r="AL188" s="147"/>
      <c r="AM188" s="128" t="n">
        <v>8</v>
      </c>
      <c r="AN188" s="128" t="n">
        <v>2</v>
      </c>
      <c r="AO188" s="131" t="s">
        <v>560</v>
      </c>
      <c r="AP188" s="131" t="s">
        <v>561</v>
      </c>
      <c r="AQ188" s="131" t="s">
        <v>562</v>
      </c>
      <c r="AR188" s="131" t="s">
        <v>563</v>
      </c>
      <c r="AS188" s="131"/>
      <c r="AT188" s="131"/>
      <c r="AU188" s="131"/>
      <c r="AV188" s="131"/>
      <c r="AW188" s="131"/>
      <c r="AX188" s="131"/>
      <c r="AY188" s="131"/>
      <c r="AZ188" s="131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128" t="n">
        <v>8</v>
      </c>
      <c r="BW188" s="128" t="n">
        <v>1</v>
      </c>
      <c r="BX188" s="131" t="s">
        <v>783</v>
      </c>
      <c r="BY188" s="131" t="s">
        <v>784</v>
      </c>
      <c r="BZ188" s="131" t="s">
        <v>785</v>
      </c>
      <c r="CA188" s="131" t="s">
        <v>597</v>
      </c>
      <c r="CB188" s="52"/>
      <c r="CC188" s="52"/>
      <c r="CD188" s="52"/>
      <c r="CE188" s="52"/>
      <c r="CF188" s="52"/>
      <c r="CG188" s="52"/>
      <c r="CH188" s="52"/>
      <c r="CI188" s="52"/>
      <c r="CJ188" s="16"/>
      <c r="CK188" s="16"/>
      <c r="CL188" s="16"/>
      <c r="CM188" s="16"/>
      <c r="CN188" s="16"/>
      <c r="CO188" s="16"/>
      <c r="CP188" s="16"/>
      <c r="CQ188" s="52"/>
      <c r="CR188" s="52"/>
      <c r="CS188" s="52"/>
      <c r="CT188" s="52"/>
      <c r="CU188" s="52"/>
      <c r="CV188" s="52"/>
      <c r="CW188" s="52"/>
      <c r="CX188" s="128" t="n">
        <v>8</v>
      </c>
      <c r="CY188" s="128" t="n">
        <v>2</v>
      </c>
      <c r="CZ188" s="131" t="s">
        <v>557</v>
      </c>
      <c r="DA188" s="131" t="s">
        <v>398</v>
      </c>
      <c r="DB188" s="131" t="s">
        <v>377</v>
      </c>
      <c r="DC188" s="131" t="s">
        <v>399</v>
      </c>
      <c r="DD188" s="52"/>
      <c r="DE188" s="52"/>
      <c r="DF188" s="52"/>
      <c r="DG188" s="52"/>
      <c r="DH188" s="52"/>
      <c r="DI188" s="52"/>
      <c r="DJ188" s="52"/>
      <c r="DK188" s="52"/>
      <c r="DL188" s="52"/>
      <c r="DM188" s="52"/>
      <c r="DN188" s="52"/>
      <c r="DO188" s="52"/>
      <c r="DP188" s="52"/>
      <c r="DQ188" s="52"/>
      <c r="DR188" s="52"/>
      <c r="DS188" s="52"/>
      <c r="DT188" s="52"/>
      <c r="DU188" s="52"/>
      <c r="DV188" s="52"/>
      <c r="DW188" s="52"/>
      <c r="DX188" s="52"/>
      <c r="DY188" s="52"/>
      <c r="DZ188" s="52"/>
      <c r="EA188" s="52"/>
      <c r="EB188" s="52"/>
      <c r="EC188" s="52"/>
      <c r="ED188" s="52"/>
      <c r="EE188" s="52"/>
      <c r="EF188" s="52"/>
      <c r="EG188" s="52"/>
      <c r="EH188" s="52"/>
      <c r="EI188" s="52"/>
      <c r="EJ188" s="52"/>
      <c r="EK188" s="52"/>
      <c r="EL188" s="52"/>
      <c r="EM188" s="52"/>
      <c r="EN188" s="128" t="n">
        <v>8</v>
      </c>
      <c r="EO188" s="128" t="n">
        <v>1</v>
      </c>
      <c r="EP188" s="131" t="s">
        <v>377</v>
      </c>
      <c r="EQ188" s="131" t="s">
        <v>378</v>
      </c>
      <c r="ER188" s="131" t="s">
        <v>379</v>
      </c>
      <c r="ES188" s="131" t="s">
        <v>380</v>
      </c>
      <c r="ET188" s="52"/>
      <c r="EU188" s="52"/>
      <c r="EV188" s="52"/>
      <c r="EW188" s="52"/>
      <c r="EX188" s="52"/>
      <c r="EY188" s="52"/>
      <c r="EZ188" s="52"/>
      <c r="FA188" s="52"/>
      <c r="FB188" s="128" t="n">
        <v>8</v>
      </c>
      <c r="FC188" s="39" t="n">
        <v>1</v>
      </c>
      <c r="FD188" s="114" t="s">
        <v>385</v>
      </c>
      <c r="FE188" s="114" t="s">
        <v>377</v>
      </c>
      <c r="FF188" s="114" t="s">
        <v>386</v>
      </c>
      <c r="FG188" s="114" t="s">
        <v>378</v>
      </c>
      <c r="FH188" s="52"/>
      <c r="FI188" s="52"/>
      <c r="FJ188" s="52"/>
      <c r="FK188" s="52"/>
      <c r="FL188" s="52"/>
      <c r="FM188" s="52"/>
      <c r="FN188" s="52"/>
      <c r="FO188" s="52"/>
      <c r="FP188" s="52"/>
      <c r="FQ188" s="52"/>
      <c r="FR188" s="52"/>
      <c r="FS188" s="52"/>
      <c r="FT188" s="52"/>
      <c r="FU188" s="52"/>
      <c r="FV188" s="52"/>
      <c r="FW188" s="52"/>
      <c r="FX188" s="52"/>
      <c r="FY188" s="52"/>
      <c r="FZ188" s="52"/>
      <c r="GA188" s="52"/>
      <c r="GB188" s="52"/>
      <c r="GC188" s="52"/>
      <c r="GD188" s="52"/>
      <c r="GE188" s="52"/>
      <c r="GF188" s="52"/>
      <c r="GG188" s="52"/>
      <c r="GH188" s="52"/>
      <c r="GI188" s="52"/>
      <c r="GJ188" s="52"/>
      <c r="GK188" s="52"/>
      <c r="GL188" s="52"/>
      <c r="GM188" s="52"/>
      <c r="GN188" s="52"/>
      <c r="GO188" s="52"/>
      <c r="GP188" s="52"/>
      <c r="GQ188" s="52"/>
      <c r="GR188" s="52"/>
      <c r="GS188" s="52"/>
      <c r="GT188" s="52"/>
      <c r="GU188" s="52"/>
      <c r="GV188" s="52"/>
      <c r="GW188" s="52"/>
      <c r="GX188" s="52"/>
      <c r="GY188" s="52"/>
      <c r="GZ188" s="52"/>
      <c r="HA188" s="52"/>
      <c r="HB188" s="52"/>
      <c r="HC188" s="52"/>
      <c r="HD188" s="52"/>
      <c r="HE188" s="52"/>
      <c r="HF188" s="52"/>
      <c r="HG188" s="52"/>
      <c r="HH188" s="52"/>
      <c r="HI188" s="52"/>
      <c r="HJ188" s="52"/>
      <c r="HK188" s="52"/>
      <c r="HL188" s="52"/>
      <c r="HM188" s="128" t="n">
        <v>8</v>
      </c>
      <c r="HN188" s="39" t="n">
        <v>2</v>
      </c>
      <c r="HO188" s="114" t="s">
        <v>385</v>
      </c>
      <c r="HP188" s="114" t="s">
        <v>377</v>
      </c>
      <c r="HQ188" s="114" t="s">
        <v>386</v>
      </c>
      <c r="HR188" s="114" t="s">
        <v>378</v>
      </c>
      <c r="HS188" s="52"/>
      <c r="HT188" s="131"/>
      <c r="HU188" s="128"/>
      <c r="HV188" s="131"/>
      <c r="HW188" s="131"/>
      <c r="HX188" s="131"/>
      <c r="HY188" s="131"/>
      <c r="HZ188" s="131"/>
    </row>
    <row r="189" customFormat="false" ht="12.8" hidden="true" customHeight="false" outlineLevel="0" collapsed="false">
      <c r="A189" s="152" t="s">
        <v>311</v>
      </c>
      <c r="B189" s="153" t="s">
        <v>93</v>
      </c>
      <c r="C189" s="155" t="s">
        <v>325</v>
      </c>
      <c r="D189" s="153" t="s">
        <v>326</v>
      </c>
      <c r="E189" s="130" t="s">
        <v>84</v>
      </c>
      <c r="F189" s="17" t="s">
        <v>85</v>
      </c>
      <c r="G189" s="154" t="s">
        <v>790</v>
      </c>
      <c r="H189" s="150"/>
      <c r="I189" s="150" t="s">
        <v>553</v>
      </c>
      <c r="J189" s="148" t="s">
        <v>92</v>
      </c>
      <c r="K189" s="39" t="n">
        <v>13000</v>
      </c>
      <c r="L189" s="18" t="n">
        <v>5</v>
      </c>
      <c r="M189" s="18" t="n">
        <f aca="false">IF(AD189,1,0)+IF(AK189,1,0)+AN189+AU189+BB189+BI189+BP189+BW189+CD189+CK189+CR189+CY189+DF189+DM189+DT189+EA189+EH189+EO189+EV189+FC189+FJ189+FQ189+FX189+GE189+GL189+GS189+GZ189+HG189+HN189+HU189</f>
        <v>0</v>
      </c>
      <c r="N189" s="131"/>
      <c r="O189" s="147" t="n">
        <v>8700</v>
      </c>
      <c r="P189" s="147" t="n">
        <v>1440</v>
      </c>
      <c r="Q189" s="147" t="n">
        <v>1206</v>
      </c>
      <c r="R189" s="21" t="s">
        <v>44</v>
      </c>
      <c r="S189" s="21" t="s">
        <v>44</v>
      </c>
      <c r="T189" s="18"/>
      <c r="U189" s="18"/>
      <c r="V189" s="18"/>
      <c r="W189" s="18"/>
      <c r="X189" s="18"/>
      <c r="Y189" s="18"/>
      <c r="Z189" s="18"/>
      <c r="AA189" s="18"/>
      <c r="AB189" s="18"/>
      <c r="AC189" s="131"/>
      <c r="AD189" s="128"/>
      <c r="AE189" s="128"/>
      <c r="AF189" s="128"/>
      <c r="AG189" s="128"/>
      <c r="AH189" s="128"/>
      <c r="AI189" s="147"/>
      <c r="AJ189" s="128"/>
      <c r="AK189" s="128"/>
      <c r="AL189" s="147"/>
      <c r="AM189" s="131"/>
      <c r="AN189" s="128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  <c r="CE189" s="52"/>
      <c r="CF189" s="52"/>
      <c r="CG189" s="52"/>
      <c r="CH189" s="52"/>
      <c r="CI189" s="52"/>
      <c r="CJ189" s="16"/>
      <c r="CK189" s="16"/>
      <c r="CL189" s="16"/>
      <c r="CM189" s="16"/>
      <c r="CN189" s="16"/>
      <c r="CO189" s="16"/>
      <c r="CP189" s="16"/>
      <c r="CQ189" s="128" t="n">
        <v>6</v>
      </c>
      <c r="CR189" s="128" t="n">
        <v>2</v>
      </c>
      <c r="CS189" s="131" t="s">
        <v>390</v>
      </c>
      <c r="CT189" s="131" t="s">
        <v>391</v>
      </c>
      <c r="CU189" s="131" t="s">
        <v>410</v>
      </c>
      <c r="CV189" s="131" t="s">
        <v>411</v>
      </c>
      <c r="CW189" s="131" t="s">
        <v>399</v>
      </c>
      <c r="CX189" s="52"/>
      <c r="CY189" s="52"/>
      <c r="CZ189" s="52"/>
      <c r="DA189" s="52"/>
      <c r="DB189" s="52"/>
      <c r="DC189" s="52"/>
      <c r="DD189" s="52"/>
      <c r="DE189" s="52"/>
      <c r="DF189" s="52"/>
      <c r="DG189" s="52"/>
      <c r="DH189" s="52"/>
      <c r="DI189" s="52"/>
      <c r="DJ189" s="52"/>
      <c r="DK189" s="52"/>
      <c r="DL189" s="52"/>
      <c r="DM189" s="52"/>
      <c r="DN189" s="52"/>
      <c r="DO189" s="52"/>
      <c r="DP189" s="52"/>
      <c r="DQ189" s="52"/>
      <c r="DR189" s="52"/>
      <c r="DS189" s="52"/>
      <c r="DT189" s="52"/>
      <c r="DU189" s="52"/>
      <c r="DV189" s="52"/>
      <c r="DW189" s="52"/>
      <c r="DX189" s="52"/>
      <c r="DY189" s="52"/>
      <c r="DZ189" s="52"/>
      <c r="EA189" s="52"/>
      <c r="EB189" s="52"/>
      <c r="EC189" s="52"/>
      <c r="ED189" s="52"/>
      <c r="EE189" s="52"/>
      <c r="EF189" s="52"/>
      <c r="EG189" s="52"/>
      <c r="EH189" s="52"/>
      <c r="EI189" s="52"/>
      <c r="EJ189" s="52"/>
      <c r="EK189" s="52"/>
      <c r="EL189" s="52"/>
      <c r="EM189" s="52"/>
      <c r="EN189" s="52"/>
      <c r="EO189" s="52"/>
      <c r="EP189" s="52"/>
      <c r="EQ189" s="52"/>
      <c r="ER189" s="52"/>
      <c r="ES189" s="52"/>
      <c r="ET189" s="52"/>
      <c r="EU189" s="52"/>
      <c r="EV189" s="52"/>
      <c r="EW189" s="52"/>
      <c r="EX189" s="52"/>
      <c r="EY189" s="52"/>
      <c r="EZ189" s="52"/>
      <c r="FA189" s="52"/>
      <c r="FB189" s="128" t="n">
        <v>6</v>
      </c>
      <c r="FC189" s="128" t="n">
        <v>2</v>
      </c>
      <c r="FD189" s="131" t="s">
        <v>451</v>
      </c>
      <c r="FE189" s="131" t="s">
        <v>410</v>
      </c>
      <c r="FF189" s="131" t="s">
        <v>452</v>
      </c>
      <c r="FG189" s="131" t="s">
        <v>453</v>
      </c>
      <c r="FH189" s="131" t="s">
        <v>378</v>
      </c>
      <c r="FI189" s="52"/>
      <c r="FJ189" s="52"/>
      <c r="FK189" s="52"/>
      <c r="FL189" s="52"/>
      <c r="FM189" s="52"/>
      <c r="FN189" s="52"/>
      <c r="FO189" s="52"/>
      <c r="FP189" s="52"/>
      <c r="FQ189" s="52"/>
      <c r="FR189" s="52"/>
      <c r="FS189" s="52"/>
      <c r="FT189" s="52"/>
      <c r="FU189" s="52"/>
      <c r="FV189" s="52"/>
      <c r="FW189" s="52"/>
      <c r="FX189" s="52"/>
      <c r="FY189" s="52"/>
      <c r="FZ189" s="52"/>
      <c r="GA189" s="52"/>
      <c r="GB189" s="52"/>
      <c r="GC189" s="52"/>
      <c r="GD189" s="52"/>
      <c r="GE189" s="52"/>
      <c r="GF189" s="52"/>
      <c r="GG189" s="52"/>
      <c r="GH189" s="52"/>
      <c r="GI189" s="52"/>
      <c r="GJ189" s="52"/>
      <c r="GK189" s="52"/>
      <c r="GL189" s="52"/>
      <c r="GM189" s="52"/>
      <c r="GN189" s="52"/>
      <c r="GO189" s="52"/>
      <c r="GP189" s="52"/>
      <c r="GQ189" s="52"/>
      <c r="GR189" s="52"/>
      <c r="GS189" s="52"/>
      <c r="GT189" s="52"/>
      <c r="GU189" s="52"/>
      <c r="GV189" s="52"/>
      <c r="GW189" s="52"/>
      <c r="GX189" s="52"/>
      <c r="GY189" s="52"/>
      <c r="GZ189" s="52"/>
      <c r="HA189" s="52"/>
      <c r="HB189" s="52"/>
      <c r="HC189" s="52"/>
      <c r="HD189" s="52"/>
      <c r="HE189" s="52"/>
      <c r="HF189" s="39" t="n">
        <v>6</v>
      </c>
      <c r="HG189" s="128" t="n">
        <v>1</v>
      </c>
      <c r="HH189" s="131" t="s">
        <v>451</v>
      </c>
      <c r="HI189" s="131" t="s">
        <v>410</v>
      </c>
      <c r="HJ189" s="131" t="s">
        <v>452</v>
      </c>
      <c r="HK189" s="131" t="s">
        <v>453</v>
      </c>
      <c r="HL189" s="131" t="s">
        <v>378</v>
      </c>
      <c r="HM189" s="39" t="n">
        <v>6</v>
      </c>
      <c r="HN189" s="128" t="n">
        <v>1</v>
      </c>
      <c r="HO189" s="131" t="s">
        <v>451</v>
      </c>
      <c r="HP189" s="131" t="s">
        <v>410</v>
      </c>
      <c r="HQ189" s="131" t="s">
        <v>452</v>
      </c>
      <c r="HR189" s="131" t="s">
        <v>453</v>
      </c>
      <c r="HS189" s="131" t="s">
        <v>378</v>
      </c>
      <c r="HT189" s="39" t="n">
        <v>6</v>
      </c>
      <c r="HU189" s="128" t="n">
        <v>1</v>
      </c>
      <c r="HV189" s="131" t="s">
        <v>451</v>
      </c>
      <c r="HW189" s="131" t="s">
        <v>410</v>
      </c>
      <c r="HX189" s="131" t="s">
        <v>452</v>
      </c>
      <c r="HY189" s="131" t="s">
        <v>453</v>
      </c>
      <c r="HZ189" s="131" t="s">
        <v>378</v>
      </c>
    </row>
    <row r="190" customFormat="false" ht="12.8" hidden="true" customHeight="false" outlineLevel="0" collapsed="false">
      <c r="A190" s="152" t="s">
        <v>311</v>
      </c>
      <c r="B190" s="153" t="s">
        <v>93</v>
      </c>
      <c r="C190" s="155" t="s">
        <v>325</v>
      </c>
      <c r="D190" s="153" t="s">
        <v>326</v>
      </c>
      <c r="E190" s="130" t="s">
        <v>84</v>
      </c>
      <c r="F190" s="17" t="s">
        <v>85</v>
      </c>
      <c r="G190" s="154" t="s">
        <v>791</v>
      </c>
      <c r="H190" s="148" t="s">
        <v>92</v>
      </c>
      <c r="I190" s="150" t="s">
        <v>765</v>
      </c>
      <c r="J190" s="148" t="s">
        <v>498</v>
      </c>
      <c r="K190" s="39" t="n">
        <v>13000</v>
      </c>
      <c r="L190" s="18"/>
      <c r="M190" s="18" t="n">
        <f aca="false">IF(AD190,1,0)+IF(AK190,1,0)+AN190+AU190+BB190+BI190+BP190+BW190+CD190+CK190+CR190+CY190+DF190+DM190+DT190+EA190+EH190+EO190+EV190+FC190+FJ190+FQ190+FX190+GE190+GL190+GS190+GZ190+HG190+HN190+HU190</f>
        <v>0</v>
      </c>
      <c r="N190" s="131"/>
      <c r="O190" s="147"/>
      <c r="P190" s="147"/>
      <c r="Q190" s="147"/>
      <c r="R190" s="12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31"/>
      <c r="AD190" s="128"/>
      <c r="AE190" s="128"/>
      <c r="AF190" s="128"/>
      <c r="AG190" s="128"/>
      <c r="AH190" s="128"/>
      <c r="AI190" s="147"/>
      <c r="AJ190" s="128"/>
      <c r="AK190" s="128"/>
      <c r="AL190" s="147"/>
      <c r="AM190" s="131"/>
      <c r="AN190" s="128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  <c r="CE190" s="52"/>
      <c r="CF190" s="52"/>
      <c r="CG190" s="52"/>
      <c r="CH190" s="52"/>
      <c r="CI190" s="52"/>
      <c r="CJ190" s="16"/>
      <c r="CK190" s="16"/>
      <c r="CL190" s="16"/>
      <c r="CM190" s="16"/>
      <c r="CN190" s="16"/>
      <c r="CO190" s="16"/>
      <c r="CP190" s="16"/>
      <c r="CQ190" s="52"/>
      <c r="CR190" s="52"/>
      <c r="CS190" s="52"/>
      <c r="CT190" s="52"/>
      <c r="CU190" s="52"/>
      <c r="CV190" s="52"/>
      <c r="CW190" s="52"/>
      <c r="CX190" s="52"/>
      <c r="CY190" s="52"/>
      <c r="CZ190" s="52"/>
      <c r="DA190" s="52"/>
      <c r="DB190" s="52"/>
      <c r="DC190" s="52"/>
      <c r="DD190" s="52"/>
      <c r="DE190" s="52"/>
      <c r="DF190" s="52"/>
      <c r="DG190" s="52"/>
      <c r="DH190" s="52"/>
      <c r="DI190" s="52"/>
      <c r="DJ190" s="52"/>
      <c r="DK190" s="52"/>
      <c r="DL190" s="52"/>
      <c r="DM190" s="52"/>
      <c r="DN190" s="52"/>
      <c r="DO190" s="52"/>
      <c r="DP190" s="52"/>
      <c r="DQ190" s="52"/>
      <c r="DR190" s="52"/>
      <c r="DS190" s="52"/>
      <c r="DT190" s="52"/>
      <c r="DU190" s="52"/>
      <c r="DV190" s="52"/>
      <c r="DW190" s="52"/>
      <c r="DX190" s="52"/>
      <c r="DY190" s="52"/>
      <c r="DZ190" s="52"/>
      <c r="EA190" s="52"/>
      <c r="EB190" s="52"/>
      <c r="EC190" s="52"/>
      <c r="ED190" s="52"/>
      <c r="EE190" s="52"/>
      <c r="EF190" s="52"/>
      <c r="EG190" s="52"/>
      <c r="EH190" s="52"/>
      <c r="EI190" s="52"/>
      <c r="EJ190" s="52"/>
      <c r="EK190" s="52"/>
      <c r="EL190" s="52"/>
      <c r="EM190" s="52"/>
      <c r="EN190" s="52"/>
      <c r="EO190" s="52"/>
      <c r="EP190" s="52"/>
      <c r="EQ190" s="52"/>
      <c r="ER190" s="52"/>
      <c r="ES190" s="52"/>
      <c r="ET190" s="52"/>
      <c r="EU190" s="52"/>
      <c r="EV190" s="52"/>
      <c r="EW190" s="52"/>
      <c r="EX190" s="52"/>
      <c r="EY190" s="52"/>
      <c r="EZ190" s="52"/>
      <c r="FA190" s="52"/>
      <c r="FB190" s="52"/>
      <c r="FC190" s="52"/>
      <c r="FD190" s="52"/>
      <c r="FE190" s="52"/>
      <c r="FF190" s="52"/>
      <c r="FG190" s="52"/>
      <c r="FH190" s="52"/>
      <c r="FI190" s="52"/>
      <c r="FJ190" s="52"/>
      <c r="FK190" s="52"/>
      <c r="FL190" s="52"/>
      <c r="FM190" s="52"/>
      <c r="FN190" s="52"/>
      <c r="FO190" s="52"/>
      <c r="FP190" s="52"/>
      <c r="FQ190" s="52"/>
      <c r="FR190" s="52"/>
      <c r="FS190" s="52"/>
      <c r="FT190" s="52"/>
      <c r="FU190" s="52"/>
      <c r="FV190" s="52"/>
      <c r="FW190" s="52"/>
      <c r="FX190" s="52"/>
      <c r="FY190" s="52"/>
      <c r="FZ190" s="52"/>
      <c r="GA190" s="52"/>
      <c r="GB190" s="52"/>
      <c r="GC190" s="52"/>
      <c r="GD190" s="52"/>
      <c r="GE190" s="52"/>
      <c r="GF190" s="52"/>
      <c r="GG190" s="52"/>
      <c r="GH190" s="52"/>
      <c r="GI190" s="52"/>
      <c r="GJ190" s="52"/>
      <c r="GK190" s="52"/>
      <c r="GL190" s="52"/>
      <c r="GM190" s="52"/>
      <c r="GN190" s="52"/>
      <c r="GO190" s="52"/>
      <c r="GP190" s="52"/>
      <c r="GQ190" s="52"/>
      <c r="GR190" s="52"/>
      <c r="GS190" s="52"/>
      <c r="GT190" s="52"/>
      <c r="GU190" s="52"/>
      <c r="GV190" s="52"/>
      <c r="GW190" s="52"/>
      <c r="GX190" s="52"/>
      <c r="GY190" s="52"/>
      <c r="GZ190" s="52"/>
      <c r="HA190" s="52"/>
      <c r="HB190" s="52"/>
      <c r="HC190" s="52"/>
      <c r="HD190" s="52"/>
      <c r="HE190" s="52"/>
      <c r="HF190" s="52"/>
      <c r="HG190" s="52"/>
      <c r="HH190" s="52"/>
      <c r="HI190" s="52"/>
      <c r="HJ190" s="52"/>
      <c r="HK190" s="52"/>
      <c r="HL190" s="52"/>
      <c r="HM190" s="52"/>
      <c r="HN190" s="52"/>
      <c r="HO190" s="52"/>
      <c r="HP190" s="52"/>
      <c r="HQ190" s="52"/>
      <c r="HR190" s="52"/>
      <c r="HS190" s="52"/>
      <c r="HT190" s="131"/>
      <c r="HU190" s="128"/>
      <c r="HV190" s="131"/>
      <c r="HW190" s="131"/>
      <c r="HX190" s="131"/>
      <c r="HY190" s="131"/>
      <c r="HZ190" s="131"/>
    </row>
    <row r="191" customFormat="false" ht="12.8" hidden="true" customHeight="false" outlineLevel="0" collapsed="false">
      <c r="A191" s="152" t="s">
        <v>311</v>
      </c>
      <c r="B191" s="153" t="s">
        <v>93</v>
      </c>
      <c r="C191" s="155" t="s">
        <v>325</v>
      </c>
      <c r="D191" s="153" t="s">
        <v>326</v>
      </c>
      <c r="E191" s="130" t="s">
        <v>84</v>
      </c>
      <c r="F191" s="17" t="s">
        <v>85</v>
      </c>
      <c r="G191" s="154" t="s">
        <v>792</v>
      </c>
      <c r="H191" s="148" t="s">
        <v>92</v>
      </c>
      <c r="I191" s="150" t="s">
        <v>793</v>
      </c>
      <c r="J191" s="148" t="s">
        <v>498</v>
      </c>
      <c r="K191" s="39" t="n">
        <v>13000</v>
      </c>
      <c r="L191" s="18"/>
      <c r="M191" s="18" t="n">
        <f aca="false">IF(AD191,1,0)+IF(AK191,1,0)+AN191+AU191+BB191+BI191+BP191+BW191+CD191+CK191+CR191+CY191+DF191+DM191+DT191+EA191+EH191+EO191+EV191+FC191+FJ191+FQ191+FX191+GE191+GL191+GS191+GZ191+HG191+HN191+HU191</f>
        <v>0</v>
      </c>
      <c r="N191" s="131"/>
      <c r="O191" s="147"/>
      <c r="P191" s="147"/>
      <c r="Q191" s="147"/>
      <c r="R191" s="12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31"/>
      <c r="AD191" s="128"/>
      <c r="AE191" s="128"/>
      <c r="AF191" s="128"/>
      <c r="AG191" s="128"/>
      <c r="AH191" s="128"/>
      <c r="AI191" s="147"/>
      <c r="AJ191" s="128"/>
      <c r="AK191" s="128"/>
      <c r="AL191" s="147"/>
      <c r="AM191" s="131"/>
      <c r="AN191" s="128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52"/>
      <c r="CF191" s="52"/>
      <c r="CG191" s="52"/>
      <c r="CH191" s="52"/>
      <c r="CI191" s="52"/>
      <c r="CJ191" s="16"/>
      <c r="CK191" s="16"/>
      <c r="CL191" s="16"/>
      <c r="CM191" s="16"/>
      <c r="CN191" s="16"/>
      <c r="CO191" s="16"/>
      <c r="CP191" s="16"/>
      <c r="CQ191" s="52"/>
      <c r="CR191" s="52"/>
      <c r="CS191" s="52"/>
      <c r="CT191" s="52"/>
      <c r="CU191" s="52"/>
      <c r="CV191" s="52"/>
      <c r="CW191" s="52"/>
      <c r="CX191" s="52"/>
      <c r="CY191" s="52"/>
      <c r="CZ191" s="52"/>
      <c r="DA191" s="52"/>
      <c r="DB191" s="52"/>
      <c r="DC191" s="52"/>
      <c r="DD191" s="52"/>
      <c r="DE191" s="52"/>
      <c r="DF191" s="52"/>
      <c r="DG191" s="52"/>
      <c r="DH191" s="52"/>
      <c r="DI191" s="52"/>
      <c r="DJ191" s="52"/>
      <c r="DK191" s="52"/>
      <c r="DL191" s="52"/>
      <c r="DM191" s="52"/>
      <c r="DN191" s="52"/>
      <c r="DO191" s="52"/>
      <c r="DP191" s="52"/>
      <c r="DQ191" s="52"/>
      <c r="DR191" s="52"/>
      <c r="DS191" s="52"/>
      <c r="DT191" s="52"/>
      <c r="DU191" s="52"/>
      <c r="DV191" s="52"/>
      <c r="DW191" s="52"/>
      <c r="DX191" s="52"/>
      <c r="DY191" s="52"/>
      <c r="DZ191" s="52"/>
      <c r="EA191" s="52"/>
      <c r="EB191" s="52"/>
      <c r="EC191" s="52"/>
      <c r="ED191" s="52"/>
      <c r="EE191" s="52"/>
      <c r="EF191" s="52"/>
      <c r="EG191" s="52"/>
      <c r="EH191" s="52"/>
      <c r="EI191" s="52"/>
      <c r="EJ191" s="52"/>
      <c r="EK191" s="52"/>
      <c r="EL191" s="52"/>
      <c r="EM191" s="52"/>
      <c r="EN191" s="52"/>
      <c r="EO191" s="52"/>
      <c r="EP191" s="52"/>
      <c r="EQ191" s="52"/>
      <c r="ER191" s="52"/>
      <c r="ES191" s="52"/>
      <c r="ET191" s="52"/>
      <c r="EU191" s="52"/>
      <c r="EV191" s="52"/>
      <c r="EW191" s="52"/>
      <c r="EX191" s="52"/>
      <c r="EY191" s="52"/>
      <c r="EZ191" s="52"/>
      <c r="FA191" s="52"/>
      <c r="FB191" s="52"/>
      <c r="FC191" s="52"/>
      <c r="FD191" s="52"/>
      <c r="FE191" s="52"/>
      <c r="FF191" s="52"/>
      <c r="FG191" s="52"/>
      <c r="FH191" s="52"/>
      <c r="FI191" s="52"/>
      <c r="FJ191" s="52"/>
      <c r="FK191" s="52"/>
      <c r="FL191" s="52"/>
      <c r="FM191" s="52"/>
      <c r="FN191" s="52"/>
      <c r="FO191" s="52"/>
      <c r="FP191" s="52"/>
      <c r="FQ191" s="52"/>
      <c r="FR191" s="52"/>
      <c r="FS191" s="52"/>
      <c r="FT191" s="52"/>
      <c r="FU191" s="52"/>
      <c r="FV191" s="52"/>
      <c r="FW191" s="52"/>
      <c r="FX191" s="52"/>
      <c r="FY191" s="52"/>
      <c r="FZ191" s="52"/>
      <c r="GA191" s="52"/>
      <c r="GB191" s="52"/>
      <c r="GC191" s="52"/>
      <c r="GD191" s="52"/>
      <c r="GE191" s="52"/>
      <c r="GF191" s="52"/>
      <c r="GG191" s="52"/>
      <c r="GH191" s="52"/>
      <c r="GI191" s="52"/>
      <c r="GJ191" s="52"/>
      <c r="GK191" s="52"/>
      <c r="GL191" s="52"/>
      <c r="GM191" s="52"/>
      <c r="GN191" s="52"/>
      <c r="GO191" s="52"/>
      <c r="GP191" s="52"/>
      <c r="GQ191" s="52"/>
      <c r="GR191" s="52"/>
      <c r="GS191" s="52"/>
      <c r="GT191" s="52"/>
      <c r="GU191" s="52"/>
      <c r="GV191" s="52"/>
      <c r="GW191" s="52"/>
      <c r="GX191" s="52"/>
      <c r="GY191" s="52"/>
      <c r="GZ191" s="52"/>
      <c r="HA191" s="52"/>
      <c r="HB191" s="52"/>
      <c r="HC191" s="52"/>
      <c r="HD191" s="52"/>
      <c r="HE191" s="52"/>
      <c r="HF191" s="52"/>
      <c r="HG191" s="52"/>
      <c r="HH191" s="52"/>
      <c r="HI191" s="52"/>
      <c r="HJ191" s="52"/>
      <c r="HK191" s="52"/>
      <c r="HL191" s="52"/>
      <c r="HM191" s="52"/>
      <c r="HN191" s="52"/>
      <c r="HO191" s="52"/>
      <c r="HP191" s="52"/>
      <c r="HQ191" s="52"/>
      <c r="HR191" s="52"/>
      <c r="HS191" s="52"/>
      <c r="HT191" s="131"/>
      <c r="HU191" s="128"/>
      <c r="HV191" s="131"/>
      <c r="HW191" s="131"/>
      <c r="HX191" s="131"/>
      <c r="HY191" s="131"/>
      <c r="HZ191" s="131"/>
    </row>
    <row r="192" customFormat="false" ht="12.8" hidden="true" customHeight="false" outlineLevel="0" collapsed="false">
      <c r="A192" s="152" t="s">
        <v>311</v>
      </c>
      <c r="B192" s="153" t="s">
        <v>93</v>
      </c>
      <c r="C192" s="155" t="s">
        <v>325</v>
      </c>
      <c r="D192" s="153" t="s">
        <v>326</v>
      </c>
      <c r="E192" s="130" t="s">
        <v>84</v>
      </c>
      <c r="F192" s="17" t="s">
        <v>85</v>
      </c>
      <c r="G192" s="154" t="s">
        <v>794</v>
      </c>
      <c r="H192" s="150"/>
      <c r="I192" s="150" t="s">
        <v>559</v>
      </c>
      <c r="J192" s="148" t="s">
        <v>498</v>
      </c>
      <c r="K192" s="39" t="n">
        <v>13000</v>
      </c>
      <c r="L192" s="18"/>
      <c r="M192" s="18" t="n">
        <f aca="false">IF(AD192,1,0)+IF(AK192,1,0)+AN192+AU192+BB192+BI192+BP192+BW192+CD192+CK192+CR192+CY192+DF192+DM192+DT192+EA192+EH192+EO192+EV192+FC192+FJ192+FQ192+FX192+GE192+GL192+GS192+GZ192+HG192+HN192+HU192</f>
        <v>0</v>
      </c>
      <c r="N192" s="131"/>
      <c r="O192" s="147"/>
      <c r="P192" s="147"/>
      <c r="Q192" s="147"/>
      <c r="R192" s="12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31"/>
      <c r="AD192" s="128"/>
      <c r="AE192" s="128"/>
      <c r="AF192" s="128"/>
      <c r="AG192" s="128"/>
      <c r="AH192" s="128"/>
      <c r="AI192" s="147"/>
      <c r="AJ192" s="128"/>
      <c r="AK192" s="128"/>
      <c r="AL192" s="147"/>
      <c r="AM192" s="131"/>
      <c r="AN192" s="128"/>
      <c r="AO192" s="131"/>
      <c r="AP192" s="131"/>
      <c r="AQ192" s="131"/>
      <c r="AR192" s="131"/>
      <c r="AS192" s="131"/>
      <c r="AT192" s="131"/>
      <c r="AU192" s="131"/>
      <c r="AV192" s="131"/>
      <c r="AW192" s="131"/>
      <c r="AX192" s="131"/>
      <c r="AY192" s="131"/>
      <c r="AZ192" s="131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52"/>
      <c r="CF192" s="52"/>
      <c r="CG192" s="52"/>
      <c r="CH192" s="52"/>
      <c r="CI192" s="52"/>
      <c r="CJ192" s="16"/>
      <c r="CK192" s="16"/>
      <c r="CL192" s="16"/>
      <c r="CM192" s="16"/>
      <c r="CN192" s="16"/>
      <c r="CO192" s="16"/>
      <c r="CP192" s="16"/>
      <c r="CQ192" s="52"/>
      <c r="CR192" s="52"/>
      <c r="CS192" s="52"/>
      <c r="CT192" s="52"/>
      <c r="CU192" s="52"/>
      <c r="CV192" s="52"/>
      <c r="CW192" s="52"/>
      <c r="CX192" s="52"/>
      <c r="CY192" s="52"/>
      <c r="CZ192" s="52"/>
      <c r="DA192" s="52"/>
      <c r="DB192" s="52"/>
      <c r="DC192" s="52"/>
      <c r="DD192" s="52"/>
      <c r="DE192" s="52"/>
      <c r="DF192" s="52"/>
      <c r="DG192" s="52"/>
      <c r="DH192" s="52"/>
      <c r="DI192" s="52"/>
      <c r="DJ192" s="52"/>
      <c r="DK192" s="52"/>
      <c r="DL192" s="52"/>
      <c r="DM192" s="52"/>
      <c r="DN192" s="52"/>
      <c r="DO192" s="52"/>
      <c r="DP192" s="52"/>
      <c r="DQ192" s="52"/>
      <c r="DR192" s="52"/>
      <c r="DS192" s="52"/>
      <c r="DT192" s="52"/>
      <c r="DU192" s="52"/>
      <c r="DV192" s="52"/>
      <c r="DW192" s="52"/>
      <c r="DX192" s="52"/>
      <c r="DY192" s="52"/>
      <c r="DZ192" s="52"/>
      <c r="EA192" s="52"/>
      <c r="EB192" s="52"/>
      <c r="EC192" s="52"/>
      <c r="ED192" s="52"/>
      <c r="EE192" s="52"/>
      <c r="EF192" s="52"/>
      <c r="EG192" s="52"/>
      <c r="EH192" s="52"/>
      <c r="EI192" s="52"/>
      <c r="EJ192" s="52"/>
      <c r="EK192" s="52"/>
      <c r="EL192" s="52"/>
      <c r="EM192" s="52"/>
      <c r="EN192" s="52"/>
      <c r="EO192" s="52"/>
      <c r="EP192" s="52"/>
      <c r="EQ192" s="52"/>
      <c r="ER192" s="52"/>
      <c r="ES192" s="52"/>
      <c r="ET192" s="52"/>
      <c r="EU192" s="52"/>
      <c r="EV192" s="52"/>
      <c r="EW192" s="52"/>
      <c r="EX192" s="52"/>
      <c r="EY192" s="52"/>
      <c r="EZ192" s="52"/>
      <c r="FA192" s="52"/>
      <c r="FB192" s="52"/>
      <c r="FC192" s="52"/>
      <c r="FD192" s="52"/>
      <c r="FE192" s="52"/>
      <c r="FF192" s="52"/>
      <c r="FG192" s="52"/>
      <c r="FH192" s="52"/>
      <c r="FI192" s="52"/>
      <c r="FJ192" s="52"/>
      <c r="FK192" s="52"/>
      <c r="FL192" s="52"/>
      <c r="FM192" s="52"/>
      <c r="FN192" s="52"/>
      <c r="FO192" s="52"/>
      <c r="FP192" s="52"/>
      <c r="FQ192" s="52"/>
      <c r="FR192" s="52"/>
      <c r="FS192" s="52"/>
      <c r="FT192" s="52"/>
      <c r="FU192" s="52"/>
      <c r="FV192" s="52"/>
      <c r="FW192" s="52"/>
      <c r="FX192" s="52"/>
      <c r="FY192" s="52"/>
      <c r="FZ192" s="52"/>
      <c r="GA192" s="52"/>
      <c r="GB192" s="52"/>
      <c r="GC192" s="52"/>
      <c r="GD192" s="52"/>
      <c r="GE192" s="52"/>
      <c r="GF192" s="52"/>
      <c r="GG192" s="52"/>
      <c r="GH192" s="52"/>
      <c r="GI192" s="52"/>
      <c r="GJ192" s="52"/>
      <c r="GK192" s="52"/>
      <c r="GL192" s="52"/>
      <c r="GM192" s="52"/>
      <c r="GN192" s="52"/>
      <c r="GO192" s="52"/>
      <c r="GP192" s="52"/>
      <c r="GQ192" s="52"/>
      <c r="GR192" s="52"/>
      <c r="GS192" s="52"/>
      <c r="GT192" s="52"/>
      <c r="GU192" s="52"/>
      <c r="GV192" s="52"/>
      <c r="GW192" s="52"/>
      <c r="GX192" s="52"/>
      <c r="GY192" s="52"/>
      <c r="GZ192" s="52"/>
      <c r="HA192" s="52"/>
      <c r="HB192" s="52"/>
      <c r="HC192" s="52"/>
      <c r="HD192" s="52"/>
      <c r="HE192" s="52"/>
      <c r="HF192" s="52"/>
      <c r="HG192" s="52"/>
      <c r="HH192" s="52"/>
      <c r="HI192" s="52"/>
      <c r="HJ192" s="52"/>
      <c r="HK192" s="52"/>
      <c r="HL192" s="52"/>
      <c r="HM192" s="52"/>
      <c r="HN192" s="52"/>
      <c r="HO192" s="52"/>
      <c r="HP192" s="52"/>
      <c r="HQ192" s="52"/>
      <c r="HR192" s="52"/>
      <c r="HS192" s="52"/>
      <c r="HT192" s="131"/>
      <c r="HU192" s="128"/>
      <c r="HV192" s="131"/>
      <c r="HW192" s="131"/>
      <c r="HX192" s="131"/>
      <c r="HY192" s="131"/>
      <c r="HZ192" s="131"/>
    </row>
    <row r="193" customFormat="false" ht="12.8" hidden="true" customHeight="false" outlineLevel="0" collapsed="false">
      <c r="A193" s="152" t="s">
        <v>311</v>
      </c>
      <c r="B193" s="153" t="s">
        <v>93</v>
      </c>
      <c r="C193" s="155" t="s">
        <v>325</v>
      </c>
      <c r="D193" s="153" t="s">
        <v>326</v>
      </c>
      <c r="E193" s="130" t="s">
        <v>84</v>
      </c>
      <c r="F193" s="17" t="s">
        <v>85</v>
      </c>
      <c r="G193" s="154" t="s">
        <v>795</v>
      </c>
      <c r="H193" s="150"/>
      <c r="I193" s="150" t="s">
        <v>569</v>
      </c>
      <c r="J193" s="148" t="s">
        <v>498</v>
      </c>
      <c r="K193" s="39" t="n">
        <v>13000</v>
      </c>
      <c r="L193" s="18"/>
      <c r="M193" s="18" t="n">
        <f aca="false">IF(AD193,1,0)+IF(AK193,1,0)+AN193+AU193+BB193+BI193+BP193+BW193+CD193+CK193+CR193+CY193+DF193+DM193+DT193+EA193+EH193+EO193+EV193+FC193+FJ193+FQ193+FX193+GE193+GL193+GS193+GZ193+HG193+HN193+HU193</f>
        <v>0</v>
      </c>
      <c r="N193" s="131"/>
      <c r="O193" s="147"/>
      <c r="P193" s="147"/>
      <c r="Q193" s="147"/>
      <c r="R193" s="12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31"/>
      <c r="AD193" s="128"/>
      <c r="AE193" s="128"/>
      <c r="AF193" s="128"/>
      <c r="AG193" s="128"/>
      <c r="AH193" s="128"/>
      <c r="AI193" s="147"/>
      <c r="AJ193" s="128"/>
      <c r="AK193" s="128"/>
      <c r="AL193" s="147"/>
      <c r="AM193" s="131"/>
      <c r="AN193" s="128"/>
      <c r="AO193" s="131"/>
      <c r="AP193" s="131"/>
      <c r="AQ193" s="131"/>
      <c r="AR193" s="131"/>
      <c r="AS193" s="131"/>
      <c r="AT193" s="131"/>
      <c r="AU193" s="131"/>
      <c r="AV193" s="131"/>
      <c r="AW193" s="131"/>
      <c r="AX193" s="131"/>
      <c r="AY193" s="131"/>
      <c r="AZ193" s="131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  <c r="CE193" s="52"/>
      <c r="CF193" s="52"/>
      <c r="CG193" s="52"/>
      <c r="CH193" s="52"/>
      <c r="CI193" s="52"/>
      <c r="CJ193" s="16"/>
      <c r="CK193" s="16"/>
      <c r="CL193" s="16"/>
      <c r="CM193" s="16"/>
      <c r="CN193" s="16"/>
      <c r="CO193" s="16"/>
      <c r="CP193" s="16"/>
      <c r="CQ193" s="52"/>
      <c r="CR193" s="52"/>
      <c r="CS193" s="52"/>
      <c r="CT193" s="52"/>
      <c r="CU193" s="52"/>
      <c r="CV193" s="52"/>
      <c r="CW193" s="52"/>
      <c r="CX193" s="52"/>
      <c r="CY193" s="52"/>
      <c r="CZ193" s="52"/>
      <c r="DA193" s="52"/>
      <c r="DB193" s="52"/>
      <c r="DC193" s="52"/>
      <c r="DD193" s="52"/>
      <c r="DE193" s="52"/>
      <c r="DF193" s="52"/>
      <c r="DG193" s="52"/>
      <c r="DH193" s="52"/>
      <c r="DI193" s="52"/>
      <c r="DJ193" s="52"/>
      <c r="DK193" s="52"/>
      <c r="DL193" s="52"/>
      <c r="DM193" s="52"/>
      <c r="DN193" s="52"/>
      <c r="DO193" s="52"/>
      <c r="DP193" s="52"/>
      <c r="DQ193" s="52"/>
      <c r="DR193" s="52"/>
      <c r="DS193" s="52"/>
      <c r="DT193" s="52"/>
      <c r="DU193" s="52"/>
      <c r="DV193" s="52"/>
      <c r="DW193" s="52"/>
      <c r="DX193" s="52"/>
      <c r="DY193" s="52"/>
      <c r="DZ193" s="52"/>
      <c r="EA193" s="52"/>
      <c r="EB193" s="52"/>
      <c r="EC193" s="52"/>
      <c r="ED193" s="52"/>
      <c r="EE193" s="52"/>
      <c r="EF193" s="52"/>
      <c r="EG193" s="52"/>
      <c r="EH193" s="52"/>
      <c r="EI193" s="52"/>
      <c r="EJ193" s="52"/>
      <c r="EK193" s="52"/>
      <c r="EL193" s="52"/>
      <c r="EM193" s="52"/>
      <c r="EN193" s="52"/>
      <c r="EO193" s="52"/>
      <c r="EP193" s="52"/>
      <c r="EQ193" s="52"/>
      <c r="ER193" s="52"/>
      <c r="ES193" s="52"/>
      <c r="ET193" s="52"/>
      <c r="EU193" s="52"/>
      <c r="EV193" s="52"/>
      <c r="EW193" s="52"/>
      <c r="EX193" s="52"/>
      <c r="EY193" s="52"/>
      <c r="EZ193" s="52"/>
      <c r="FA193" s="52"/>
      <c r="FB193" s="52"/>
      <c r="FC193" s="52"/>
      <c r="FD193" s="52"/>
      <c r="FE193" s="52"/>
      <c r="FF193" s="52"/>
      <c r="FG193" s="52"/>
      <c r="FH193" s="52"/>
      <c r="FI193" s="52"/>
      <c r="FJ193" s="52"/>
      <c r="FK193" s="52"/>
      <c r="FL193" s="52"/>
      <c r="FM193" s="52"/>
      <c r="FN193" s="52"/>
      <c r="FO193" s="52"/>
      <c r="FP193" s="52"/>
      <c r="FQ193" s="52"/>
      <c r="FR193" s="52"/>
      <c r="FS193" s="52"/>
      <c r="FT193" s="52"/>
      <c r="FU193" s="52"/>
      <c r="FV193" s="52"/>
      <c r="FW193" s="52"/>
      <c r="FX193" s="52"/>
      <c r="FY193" s="52"/>
      <c r="FZ193" s="52"/>
      <c r="GA193" s="52"/>
      <c r="GB193" s="52"/>
      <c r="GC193" s="52"/>
      <c r="GD193" s="52"/>
      <c r="GE193" s="52"/>
      <c r="GF193" s="52"/>
      <c r="GG193" s="52"/>
      <c r="GH193" s="52"/>
      <c r="GI193" s="52"/>
      <c r="GJ193" s="52"/>
      <c r="GK193" s="52"/>
      <c r="GL193" s="52"/>
      <c r="GM193" s="52"/>
      <c r="GN193" s="52"/>
      <c r="GO193" s="52"/>
      <c r="GP193" s="52"/>
      <c r="GQ193" s="52"/>
      <c r="GR193" s="52"/>
      <c r="GS193" s="52"/>
      <c r="GT193" s="52"/>
      <c r="GU193" s="52"/>
      <c r="GV193" s="52"/>
      <c r="GW193" s="52"/>
      <c r="GX193" s="52"/>
      <c r="GY193" s="52"/>
      <c r="GZ193" s="52"/>
      <c r="HA193" s="52"/>
      <c r="HB193" s="52"/>
      <c r="HC193" s="52"/>
      <c r="HD193" s="52"/>
      <c r="HE193" s="52"/>
      <c r="HF193" s="52"/>
      <c r="HG193" s="52"/>
      <c r="HH193" s="52"/>
      <c r="HI193" s="52"/>
      <c r="HJ193" s="52"/>
      <c r="HK193" s="52"/>
      <c r="HL193" s="52"/>
      <c r="HM193" s="52"/>
      <c r="HN193" s="52"/>
      <c r="HO193" s="52"/>
      <c r="HP193" s="52"/>
      <c r="HQ193" s="52"/>
      <c r="HR193" s="52"/>
      <c r="HS193" s="52"/>
      <c r="HT193" s="131"/>
      <c r="HU193" s="128"/>
      <c r="HV193" s="131"/>
      <c r="HW193" s="131"/>
      <c r="HX193" s="131"/>
      <c r="HY193" s="131"/>
      <c r="HZ193" s="131"/>
    </row>
    <row r="194" customFormat="false" ht="12.8" hidden="true" customHeight="false" outlineLevel="0" collapsed="false">
      <c r="A194" s="152" t="s">
        <v>311</v>
      </c>
      <c r="B194" s="153" t="s">
        <v>93</v>
      </c>
      <c r="C194" s="155" t="s">
        <v>325</v>
      </c>
      <c r="D194" s="153" t="s">
        <v>326</v>
      </c>
      <c r="E194" s="130" t="s">
        <v>84</v>
      </c>
      <c r="F194" s="17" t="s">
        <v>85</v>
      </c>
      <c r="G194" s="154" t="s">
        <v>796</v>
      </c>
      <c r="H194" s="150"/>
      <c r="I194" s="150" t="s">
        <v>576</v>
      </c>
      <c r="J194" s="148" t="s">
        <v>498</v>
      </c>
      <c r="K194" s="39" t="n">
        <v>13000</v>
      </c>
      <c r="L194" s="18"/>
      <c r="M194" s="18" t="n">
        <f aca="false">IF(AD194,1,0)+IF(AK194,1,0)+AN194+AU194+BB194+BI194+BP194+BW194+CD194+CK194+CR194+CY194+DF194+DM194+DT194+EA194+EH194+EO194+EV194+FC194+FJ194+FQ194+FX194+GE194+GL194+GS194+GZ194+HG194+HN194+HU194</f>
        <v>0</v>
      </c>
      <c r="N194" s="131"/>
      <c r="O194" s="147"/>
      <c r="P194" s="147"/>
      <c r="Q194" s="147"/>
      <c r="R194" s="12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31"/>
      <c r="AD194" s="128"/>
      <c r="AE194" s="128"/>
      <c r="AF194" s="128"/>
      <c r="AG194" s="128"/>
      <c r="AH194" s="128"/>
      <c r="AI194" s="147"/>
      <c r="AJ194" s="128"/>
      <c r="AK194" s="128"/>
      <c r="AL194" s="147"/>
      <c r="AM194" s="131"/>
      <c r="AN194" s="128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1"/>
      <c r="AZ194" s="131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52"/>
      <c r="CF194" s="52"/>
      <c r="CG194" s="52"/>
      <c r="CH194" s="52"/>
      <c r="CI194" s="52"/>
      <c r="CJ194" s="16"/>
      <c r="CK194" s="16"/>
      <c r="CL194" s="16"/>
      <c r="CM194" s="16"/>
      <c r="CN194" s="16"/>
      <c r="CO194" s="16"/>
      <c r="CP194" s="16"/>
      <c r="CQ194" s="52"/>
      <c r="CR194" s="52"/>
      <c r="CS194" s="52"/>
      <c r="CT194" s="52"/>
      <c r="CU194" s="52"/>
      <c r="CV194" s="52"/>
      <c r="CW194" s="52"/>
      <c r="CX194" s="52"/>
      <c r="CY194" s="52"/>
      <c r="CZ194" s="52"/>
      <c r="DA194" s="52"/>
      <c r="DB194" s="52"/>
      <c r="DC194" s="52"/>
      <c r="DD194" s="52"/>
      <c r="DE194" s="52"/>
      <c r="DF194" s="52"/>
      <c r="DG194" s="52"/>
      <c r="DH194" s="52"/>
      <c r="DI194" s="52"/>
      <c r="DJ194" s="52"/>
      <c r="DK194" s="52"/>
      <c r="DL194" s="52"/>
      <c r="DM194" s="52"/>
      <c r="DN194" s="52"/>
      <c r="DO194" s="52"/>
      <c r="DP194" s="52"/>
      <c r="DQ194" s="52"/>
      <c r="DR194" s="52"/>
      <c r="DS194" s="52"/>
      <c r="DT194" s="52"/>
      <c r="DU194" s="52"/>
      <c r="DV194" s="52"/>
      <c r="DW194" s="52"/>
      <c r="DX194" s="52"/>
      <c r="DY194" s="52"/>
      <c r="DZ194" s="52"/>
      <c r="EA194" s="52"/>
      <c r="EB194" s="52"/>
      <c r="EC194" s="52"/>
      <c r="ED194" s="52"/>
      <c r="EE194" s="52"/>
      <c r="EF194" s="52"/>
      <c r="EG194" s="52"/>
      <c r="EH194" s="52"/>
      <c r="EI194" s="52"/>
      <c r="EJ194" s="52"/>
      <c r="EK194" s="52"/>
      <c r="EL194" s="52"/>
      <c r="EM194" s="52"/>
      <c r="EN194" s="52"/>
      <c r="EO194" s="52"/>
      <c r="EP194" s="52"/>
      <c r="EQ194" s="52"/>
      <c r="ER194" s="52"/>
      <c r="ES194" s="52"/>
      <c r="ET194" s="52"/>
      <c r="EU194" s="52"/>
      <c r="EV194" s="52"/>
      <c r="EW194" s="52"/>
      <c r="EX194" s="52"/>
      <c r="EY194" s="52"/>
      <c r="EZ194" s="52"/>
      <c r="FA194" s="52"/>
      <c r="FB194" s="52"/>
      <c r="FC194" s="52"/>
      <c r="FD194" s="52"/>
      <c r="FE194" s="52"/>
      <c r="FF194" s="52"/>
      <c r="FG194" s="52"/>
      <c r="FH194" s="52"/>
      <c r="FI194" s="52"/>
      <c r="FJ194" s="52"/>
      <c r="FK194" s="52"/>
      <c r="FL194" s="52"/>
      <c r="FM194" s="52"/>
      <c r="FN194" s="52"/>
      <c r="FO194" s="52"/>
      <c r="FP194" s="52"/>
      <c r="FQ194" s="52"/>
      <c r="FR194" s="52"/>
      <c r="FS194" s="52"/>
      <c r="FT194" s="52"/>
      <c r="FU194" s="52"/>
      <c r="FV194" s="52"/>
      <c r="FW194" s="52"/>
      <c r="FX194" s="52"/>
      <c r="FY194" s="52"/>
      <c r="FZ194" s="52"/>
      <c r="GA194" s="52"/>
      <c r="GB194" s="52"/>
      <c r="GC194" s="52"/>
      <c r="GD194" s="52"/>
      <c r="GE194" s="52"/>
      <c r="GF194" s="52"/>
      <c r="GG194" s="52"/>
      <c r="GH194" s="52"/>
      <c r="GI194" s="52"/>
      <c r="GJ194" s="52"/>
      <c r="GK194" s="52"/>
      <c r="GL194" s="52"/>
      <c r="GM194" s="52"/>
      <c r="GN194" s="52"/>
      <c r="GO194" s="52"/>
      <c r="GP194" s="52"/>
      <c r="GQ194" s="52"/>
      <c r="GR194" s="52"/>
      <c r="GS194" s="52"/>
      <c r="GT194" s="52"/>
      <c r="GU194" s="52"/>
      <c r="GV194" s="52"/>
      <c r="GW194" s="52"/>
      <c r="GX194" s="52"/>
      <c r="GY194" s="52"/>
      <c r="GZ194" s="52"/>
      <c r="HA194" s="52"/>
      <c r="HB194" s="52"/>
      <c r="HC194" s="52"/>
      <c r="HD194" s="52"/>
      <c r="HE194" s="52"/>
      <c r="HF194" s="52"/>
      <c r="HG194" s="52"/>
      <c r="HH194" s="52"/>
      <c r="HI194" s="52"/>
      <c r="HJ194" s="52"/>
      <c r="HK194" s="52"/>
      <c r="HL194" s="52"/>
      <c r="HM194" s="52"/>
      <c r="HN194" s="52"/>
      <c r="HO194" s="52"/>
      <c r="HP194" s="52"/>
      <c r="HQ194" s="52"/>
      <c r="HR194" s="52"/>
      <c r="HS194" s="52"/>
      <c r="HT194" s="131"/>
      <c r="HU194" s="128"/>
      <c r="HV194" s="131"/>
      <c r="HW194" s="131"/>
      <c r="HX194" s="131"/>
      <c r="HY194" s="131"/>
      <c r="HZ194" s="131"/>
    </row>
    <row r="195" customFormat="false" ht="12.8" hidden="true" customHeight="false" outlineLevel="0" collapsed="false">
      <c r="A195" s="17" t="s">
        <v>328</v>
      </c>
      <c r="B195" s="17" t="s">
        <v>98</v>
      </c>
      <c r="C195" s="17" t="s">
        <v>329</v>
      </c>
      <c r="D195" s="17" t="s">
        <v>330</v>
      </c>
      <c r="E195" s="130" t="s">
        <v>89</v>
      </c>
      <c r="F195" s="17" t="s">
        <v>116</v>
      </c>
      <c r="G195" s="154" t="s">
        <v>797</v>
      </c>
      <c r="H195" s="148" t="s">
        <v>92</v>
      </c>
      <c r="I195" s="150"/>
      <c r="J195" s="150"/>
      <c r="K195" s="39" t="n">
        <v>200</v>
      </c>
      <c r="L195" s="18" t="n">
        <v>6</v>
      </c>
      <c r="M195" s="18" t="n">
        <f aca="false">IF(AD195,1,0)+IF(AK195,1,0)+AN195+AU195+BB195+BI195+BP195+BW195+CD195+CK195+CR195+CY195+DF195+DM195+DT195+EA195+EH195+EO195+EV195+FC195+FJ195+FQ195+FX195+GE195+GL195+GS195+GZ195+HG195+HN195+HU195</f>
        <v>0</v>
      </c>
      <c r="N195" s="131"/>
      <c r="O195" s="147" t="n">
        <v>1006</v>
      </c>
      <c r="P195" s="147" t="n">
        <v>0</v>
      </c>
      <c r="Q195" s="147" t="n">
        <v>181</v>
      </c>
      <c r="R195" s="21" t="s">
        <v>45</v>
      </c>
      <c r="S195" s="18"/>
      <c r="T195" s="18"/>
      <c r="U195" s="21" t="s">
        <v>541</v>
      </c>
      <c r="V195" s="18"/>
      <c r="W195" s="18"/>
      <c r="X195" s="18"/>
      <c r="Y195" s="18"/>
      <c r="Z195" s="18"/>
      <c r="AA195" s="18"/>
      <c r="AB195" s="18"/>
      <c r="AC195" s="23" t="s">
        <v>798</v>
      </c>
      <c r="AD195" s="128" t="n">
        <v>15</v>
      </c>
      <c r="AE195" s="128"/>
      <c r="AF195" s="128" t="n">
        <v>30</v>
      </c>
      <c r="AG195" s="128" t="n">
        <v>30</v>
      </c>
      <c r="AH195" s="128"/>
      <c r="AI195" s="147" t="s">
        <v>799</v>
      </c>
      <c r="AJ195" s="128"/>
      <c r="AK195" s="128"/>
      <c r="AL195" s="147"/>
      <c r="AM195" s="131"/>
      <c r="AN195" s="128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  <c r="AZ195" s="131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128" t="n">
        <v>10</v>
      </c>
      <c r="BP195" s="128" t="n">
        <v>1</v>
      </c>
      <c r="BQ195" s="131" t="s">
        <v>383</v>
      </c>
      <c r="BR195" s="131" t="s">
        <v>574</v>
      </c>
      <c r="BS195" s="131" t="s">
        <v>467</v>
      </c>
      <c r="BT195" s="131" t="s">
        <v>468</v>
      </c>
      <c r="BU195" s="131" t="s">
        <v>380</v>
      </c>
      <c r="BV195" s="52"/>
      <c r="BW195" s="52"/>
      <c r="BX195" s="52"/>
      <c r="BY195" s="52"/>
      <c r="BZ195" s="52"/>
      <c r="CA195" s="52"/>
      <c r="CB195" s="52"/>
      <c r="CC195" s="128" t="n">
        <v>10</v>
      </c>
      <c r="CD195" s="128" t="n">
        <v>2</v>
      </c>
      <c r="CE195" s="131" t="s">
        <v>384</v>
      </c>
      <c r="CF195" s="131" t="s">
        <v>616</v>
      </c>
      <c r="CG195" s="131" t="s">
        <v>468</v>
      </c>
      <c r="CH195" s="131" t="s">
        <v>617</v>
      </c>
      <c r="CI195" s="131" t="s">
        <v>596</v>
      </c>
      <c r="CJ195" s="16"/>
      <c r="CK195" s="16"/>
      <c r="CL195" s="16"/>
      <c r="CM195" s="16"/>
      <c r="CN195" s="16"/>
      <c r="CO195" s="16"/>
      <c r="CP195" s="16"/>
      <c r="CQ195" s="52"/>
      <c r="CR195" s="52"/>
      <c r="CS195" s="52"/>
      <c r="CT195" s="52"/>
      <c r="CU195" s="52"/>
      <c r="CV195" s="52"/>
      <c r="CW195" s="52"/>
      <c r="CX195" s="52"/>
      <c r="CY195" s="52"/>
      <c r="CZ195" s="52"/>
      <c r="DA195" s="52"/>
      <c r="DB195" s="52"/>
      <c r="DC195" s="52"/>
      <c r="DD195" s="52"/>
      <c r="DE195" s="128" t="n">
        <v>10</v>
      </c>
      <c r="DF195" s="128" t="n">
        <v>2</v>
      </c>
      <c r="DG195" s="131" t="s">
        <v>381</v>
      </c>
      <c r="DH195" s="131" t="s">
        <v>382</v>
      </c>
      <c r="DI195" s="131" t="s">
        <v>383</v>
      </c>
      <c r="DJ195" s="131" t="s">
        <v>384</v>
      </c>
      <c r="DK195" s="131" t="s">
        <v>399</v>
      </c>
      <c r="DL195" s="131"/>
      <c r="DM195" s="131"/>
      <c r="DN195" s="131"/>
      <c r="DO195" s="131"/>
      <c r="DP195" s="131"/>
      <c r="DQ195" s="131"/>
      <c r="DR195" s="131"/>
      <c r="DS195" s="131"/>
      <c r="DT195" s="131"/>
      <c r="DU195" s="131"/>
      <c r="DV195" s="131"/>
      <c r="DW195" s="131"/>
      <c r="DX195" s="131"/>
      <c r="DY195" s="131"/>
      <c r="DZ195" s="52"/>
      <c r="EA195" s="52"/>
      <c r="EB195" s="52"/>
      <c r="EC195" s="52"/>
      <c r="ED195" s="52"/>
      <c r="EE195" s="52"/>
      <c r="EF195" s="52"/>
      <c r="EG195" s="52"/>
      <c r="EH195" s="52"/>
      <c r="EI195" s="52"/>
      <c r="EJ195" s="52"/>
      <c r="EK195" s="52"/>
      <c r="EL195" s="52"/>
      <c r="EM195" s="52"/>
      <c r="EN195" s="52"/>
      <c r="EO195" s="52"/>
      <c r="EP195" s="52"/>
      <c r="EQ195" s="52"/>
      <c r="ER195" s="52"/>
      <c r="ES195" s="52"/>
      <c r="ET195" s="52"/>
      <c r="EU195" s="52"/>
      <c r="EV195" s="52"/>
      <c r="EW195" s="52"/>
      <c r="EX195" s="52"/>
      <c r="EY195" s="52"/>
      <c r="EZ195" s="52"/>
      <c r="FA195" s="52"/>
      <c r="FB195" s="128" t="n">
        <v>10</v>
      </c>
      <c r="FC195" s="128" t="n">
        <v>2</v>
      </c>
      <c r="FD195" s="131" t="s">
        <v>572</v>
      </c>
      <c r="FE195" s="131" t="s">
        <v>383</v>
      </c>
      <c r="FF195" s="131" t="s">
        <v>573</v>
      </c>
      <c r="FG195" s="131" t="s">
        <v>574</v>
      </c>
      <c r="FH195" s="131" t="s">
        <v>378</v>
      </c>
      <c r="FI195" s="131"/>
      <c r="FJ195" s="131"/>
      <c r="FK195" s="131"/>
      <c r="FL195" s="131"/>
      <c r="FM195" s="131"/>
      <c r="FN195" s="131"/>
      <c r="FO195" s="131"/>
      <c r="FP195" s="131"/>
      <c r="FQ195" s="131"/>
      <c r="FR195" s="131"/>
      <c r="FS195" s="131"/>
      <c r="FT195" s="131"/>
      <c r="FU195" s="131"/>
      <c r="FV195" s="131"/>
      <c r="FW195" s="131"/>
      <c r="FX195" s="131"/>
      <c r="FY195" s="131"/>
      <c r="FZ195" s="131"/>
      <c r="GA195" s="131"/>
      <c r="GB195" s="131"/>
      <c r="GC195" s="131"/>
      <c r="GD195" s="128" t="n">
        <v>10</v>
      </c>
      <c r="GE195" s="128" t="n">
        <v>1</v>
      </c>
      <c r="GF195" s="131" t="s">
        <v>381</v>
      </c>
      <c r="GG195" s="131" t="s">
        <v>382</v>
      </c>
      <c r="GH195" s="131" t="s">
        <v>383</v>
      </c>
      <c r="GI195" s="131" t="s">
        <v>384</v>
      </c>
      <c r="GJ195" s="131" t="s">
        <v>399</v>
      </c>
      <c r="GK195" s="131"/>
      <c r="GL195" s="131"/>
      <c r="GM195" s="131"/>
      <c r="GN195" s="131"/>
      <c r="GO195" s="131"/>
      <c r="GP195" s="131"/>
      <c r="GQ195" s="131"/>
      <c r="GR195" s="131"/>
      <c r="GS195" s="131"/>
      <c r="GT195" s="131"/>
      <c r="GU195" s="131"/>
      <c r="GV195" s="131"/>
      <c r="GW195" s="131"/>
      <c r="GX195" s="131"/>
      <c r="GY195" s="131"/>
      <c r="GZ195" s="131"/>
      <c r="HA195" s="131"/>
      <c r="HB195" s="131"/>
      <c r="HC195" s="131"/>
      <c r="HD195" s="131"/>
      <c r="HE195" s="131"/>
      <c r="HF195" s="52"/>
      <c r="HG195" s="52"/>
      <c r="HH195" s="52"/>
      <c r="HI195" s="52"/>
      <c r="HJ195" s="52"/>
      <c r="HK195" s="52"/>
      <c r="HL195" s="52"/>
      <c r="HM195" s="52"/>
      <c r="HN195" s="52"/>
      <c r="HO195" s="52"/>
      <c r="HP195" s="52"/>
      <c r="HQ195" s="52"/>
      <c r="HR195" s="52"/>
      <c r="HS195" s="52"/>
      <c r="HT195" s="131"/>
      <c r="HU195" s="128"/>
      <c r="HV195" s="131"/>
      <c r="HW195" s="131"/>
      <c r="HX195" s="131"/>
      <c r="HY195" s="131"/>
      <c r="HZ195" s="131"/>
    </row>
    <row r="196" customFormat="false" ht="12.8" hidden="true" customHeight="false" outlineLevel="0" collapsed="false">
      <c r="A196" s="17" t="s">
        <v>328</v>
      </c>
      <c r="B196" s="17" t="s">
        <v>98</v>
      </c>
      <c r="C196" s="17" t="s">
        <v>329</v>
      </c>
      <c r="D196" s="17" t="s">
        <v>330</v>
      </c>
      <c r="E196" s="130" t="s">
        <v>89</v>
      </c>
      <c r="F196" s="17" t="s">
        <v>116</v>
      </c>
      <c r="G196" s="154" t="s">
        <v>800</v>
      </c>
      <c r="H196" s="150"/>
      <c r="I196" s="150"/>
      <c r="J196" s="150"/>
      <c r="K196" s="39" t="n">
        <v>200</v>
      </c>
      <c r="L196" s="18" t="n">
        <v>4</v>
      </c>
      <c r="M196" s="18" t="n">
        <f aca="false">IF(AD196,1,0)+IF(AK196,1,0)+AN196+AU196+BB196+BI196+BP196+BW196+CD196+CK196+CR196+CY196+DF196+DM196+DT196+EA196+EH196+EO196+EV196+FC196+FJ196+FQ196+FX196+GE196+GL196+GS196+GZ196+HG196+HN196+HU196</f>
        <v>0</v>
      </c>
      <c r="N196" s="131"/>
      <c r="O196" s="147" t="n">
        <v>200</v>
      </c>
      <c r="P196" s="147" t="n">
        <v>300</v>
      </c>
      <c r="Q196" s="147" t="n">
        <v>0</v>
      </c>
      <c r="R196" s="21" t="s">
        <v>44</v>
      </c>
      <c r="S196" s="18"/>
      <c r="T196" s="18"/>
      <c r="U196" s="18"/>
      <c r="V196" s="18"/>
      <c r="W196" s="18"/>
      <c r="X196" s="18"/>
      <c r="Y196" s="21" t="s">
        <v>541</v>
      </c>
      <c r="Z196" s="18"/>
      <c r="AA196" s="18"/>
      <c r="AB196" s="18"/>
      <c r="AC196" s="131"/>
      <c r="AD196" s="128"/>
      <c r="AE196" s="128"/>
      <c r="AF196" s="128"/>
      <c r="AG196" s="128"/>
      <c r="AH196" s="128"/>
      <c r="AI196" s="147"/>
      <c r="AJ196" s="128"/>
      <c r="AK196" s="128"/>
      <c r="AL196" s="147"/>
      <c r="AM196" s="131"/>
      <c r="AN196" s="128"/>
      <c r="AO196" s="131"/>
      <c r="AP196" s="131"/>
      <c r="AQ196" s="131"/>
      <c r="AR196" s="131"/>
      <c r="AS196" s="131"/>
      <c r="AT196" s="131"/>
      <c r="AU196" s="131"/>
      <c r="AV196" s="131"/>
      <c r="AW196" s="131"/>
      <c r="AX196" s="131"/>
      <c r="AY196" s="131"/>
      <c r="AZ196" s="131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  <c r="CE196" s="52"/>
      <c r="CF196" s="52"/>
      <c r="CG196" s="52"/>
      <c r="CH196" s="52"/>
      <c r="CI196" s="52"/>
      <c r="CJ196" s="16"/>
      <c r="CK196" s="16"/>
      <c r="CL196" s="16"/>
      <c r="CM196" s="16"/>
      <c r="CN196" s="16"/>
      <c r="CO196" s="16"/>
      <c r="CP196" s="16"/>
      <c r="CQ196" s="128" t="n">
        <v>3</v>
      </c>
      <c r="CR196" s="128" t="n">
        <v>2</v>
      </c>
      <c r="CS196" s="131" t="s">
        <v>473</v>
      </c>
      <c r="CT196" s="52"/>
      <c r="CU196" s="52"/>
      <c r="CV196" s="52"/>
      <c r="CW196" s="52"/>
      <c r="CX196" s="52"/>
      <c r="CY196" s="52"/>
      <c r="CZ196" s="52"/>
      <c r="DA196" s="52"/>
      <c r="DB196" s="52"/>
      <c r="DC196" s="52"/>
      <c r="DD196" s="52"/>
      <c r="DE196" s="52"/>
      <c r="DF196" s="52"/>
      <c r="DG196" s="52"/>
      <c r="DH196" s="52"/>
      <c r="DI196" s="52"/>
      <c r="DJ196" s="52"/>
      <c r="DK196" s="52"/>
      <c r="DL196" s="52"/>
      <c r="DM196" s="52"/>
      <c r="DN196" s="52"/>
      <c r="DO196" s="52"/>
      <c r="DP196" s="52"/>
      <c r="DQ196" s="52"/>
      <c r="DR196" s="52"/>
      <c r="DS196" s="52"/>
      <c r="DT196" s="52"/>
      <c r="DU196" s="52"/>
      <c r="DV196" s="52"/>
      <c r="DW196" s="52"/>
      <c r="DX196" s="52"/>
      <c r="DY196" s="52"/>
      <c r="DZ196" s="52"/>
      <c r="EA196" s="52"/>
      <c r="EB196" s="52"/>
      <c r="EC196" s="52"/>
      <c r="ED196" s="52"/>
      <c r="EE196" s="52"/>
      <c r="EF196" s="52"/>
      <c r="EG196" s="52"/>
      <c r="EH196" s="52"/>
      <c r="EI196" s="52"/>
      <c r="EJ196" s="52"/>
      <c r="EK196" s="52"/>
      <c r="EL196" s="52"/>
      <c r="EM196" s="52"/>
      <c r="EN196" s="52"/>
      <c r="EO196" s="52"/>
      <c r="EP196" s="52"/>
      <c r="EQ196" s="52"/>
      <c r="ER196" s="52"/>
      <c r="ES196" s="52"/>
      <c r="ET196" s="52"/>
      <c r="EU196" s="52"/>
      <c r="EV196" s="52"/>
      <c r="EW196" s="52"/>
      <c r="EX196" s="52"/>
      <c r="EY196" s="52"/>
      <c r="EZ196" s="52"/>
      <c r="FA196" s="52"/>
      <c r="FB196" s="128" t="n">
        <v>3</v>
      </c>
      <c r="FC196" s="128" t="n">
        <v>2</v>
      </c>
      <c r="FD196" s="131" t="s">
        <v>607</v>
      </c>
      <c r="FE196" s="52"/>
      <c r="FF196" s="52"/>
      <c r="FG196" s="52"/>
      <c r="FH196" s="52"/>
      <c r="FI196" s="52"/>
      <c r="FJ196" s="52"/>
      <c r="FK196" s="52"/>
      <c r="FL196" s="52"/>
      <c r="FM196" s="52"/>
      <c r="FN196" s="52"/>
      <c r="FO196" s="52"/>
      <c r="FP196" s="52"/>
      <c r="FQ196" s="52"/>
      <c r="FR196" s="52"/>
      <c r="FS196" s="52"/>
      <c r="FT196" s="52"/>
      <c r="FU196" s="52"/>
      <c r="FV196" s="52"/>
      <c r="FW196" s="52"/>
      <c r="FX196" s="52"/>
      <c r="FY196" s="52"/>
      <c r="FZ196" s="52"/>
      <c r="GA196" s="52"/>
      <c r="GB196" s="52"/>
      <c r="GC196" s="52"/>
      <c r="GD196" s="52"/>
      <c r="GE196" s="52"/>
      <c r="GF196" s="52"/>
      <c r="GG196" s="52"/>
      <c r="GH196" s="52"/>
      <c r="GI196" s="52"/>
      <c r="GJ196" s="52"/>
      <c r="GK196" s="52"/>
      <c r="GL196" s="52"/>
      <c r="GM196" s="52"/>
      <c r="GN196" s="52"/>
      <c r="GO196" s="52"/>
      <c r="GP196" s="52"/>
      <c r="GQ196" s="52"/>
      <c r="GR196" s="52"/>
      <c r="GS196" s="52"/>
      <c r="GT196" s="52"/>
      <c r="GU196" s="52"/>
      <c r="GV196" s="52"/>
      <c r="GW196" s="52"/>
      <c r="GX196" s="52"/>
      <c r="GY196" s="52"/>
      <c r="GZ196" s="52"/>
      <c r="HA196" s="52"/>
      <c r="HB196" s="52"/>
      <c r="HC196" s="52"/>
      <c r="HD196" s="52"/>
      <c r="HE196" s="52"/>
      <c r="HF196" s="128" t="n">
        <v>3</v>
      </c>
      <c r="HG196" s="128" t="n">
        <v>2</v>
      </c>
      <c r="HH196" s="131" t="s">
        <v>607</v>
      </c>
      <c r="HI196" s="52"/>
      <c r="HJ196" s="52"/>
      <c r="HK196" s="52"/>
      <c r="HL196" s="52"/>
      <c r="HM196" s="52"/>
      <c r="HN196" s="52"/>
      <c r="HO196" s="52"/>
      <c r="HP196" s="52"/>
      <c r="HQ196" s="52"/>
      <c r="HR196" s="52"/>
      <c r="HS196" s="52"/>
      <c r="HT196" s="131"/>
      <c r="HU196" s="128"/>
      <c r="HV196" s="131"/>
      <c r="HW196" s="131"/>
      <c r="HX196" s="131"/>
      <c r="HY196" s="131"/>
      <c r="HZ196" s="131"/>
    </row>
    <row r="197" customFormat="false" ht="12.8" hidden="true" customHeight="false" outlineLevel="0" collapsed="false">
      <c r="A197" s="17" t="s">
        <v>328</v>
      </c>
      <c r="B197" s="17" t="s">
        <v>113</v>
      </c>
      <c r="C197" s="17" t="s">
        <v>331</v>
      </c>
      <c r="D197" s="17" t="s">
        <v>201</v>
      </c>
      <c r="E197" s="130" t="s">
        <v>89</v>
      </c>
      <c r="F197" s="17" t="s">
        <v>148</v>
      </c>
      <c r="G197" s="154" t="s">
        <v>592</v>
      </c>
      <c r="H197" s="148" t="s">
        <v>92</v>
      </c>
      <c r="I197" s="150"/>
      <c r="J197" s="150"/>
      <c r="K197" s="39" t="n">
        <v>200</v>
      </c>
      <c r="L197" s="18" t="n">
        <v>5</v>
      </c>
      <c r="M197" s="18" t="n">
        <f aca="false">IF(AD197,1,0)+IF(AK197,1,0)+AN197+AU197+BB197+BI197+BP197+BW197+CD197+CK197+CR197+CY197+DF197+DM197+DT197+EA197+EH197+EO197+EV197+FC197+FJ197+FQ197+FX197+GE197+GL197+GS197+GZ197+HG197+HN197+HU197</f>
        <v>0</v>
      </c>
      <c r="N197" s="131"/>
      <c r="O197" s="147" t="n">
        <v>1230</v>
      </c>
      <c r="P197" s="147" t="n">
        <v>384</v>
      </c>
      <c r="Q197" s="147" t="n">
        <v>60</v>
      </c>
      <c r="R197" s="21" t="s">
        <v>44</v>
      </c>
      <c r="S197" s="21" t="s">
        <v>44</v>
      </c>
      <c r="T197" s="128"/>
      <c r="U197" s="21" t="s">
        <v>541</v>
      </c>
      <c r="V197" s="18"/>
      <c r="W197" s="18"/>
      <c r="X197" s="18"/>
      <c r="Y197" s="18"/>
      <c r="Z197" s="18"/>
      <c r="AA197" s="18"/>
      <c r="AB197" s="18"/>
      <c r="AC197" s="131"/>
      <c r="AD197" s="128"/>
      <c r="AE197" s="128"/>
      <c r="AF197" s="128"/>
      <c r="AG197" s="128"/>
      <c r="AH197" s="128"/>
      <c r="AI197" s="147"/>
      <c r="AJ197" s="128"/>
      <c r="AK197" s="128"/>
      <c r="AL197" s="147"/>
      <c r="AM197" s="131"/>
      <c r="AN197" s="128"/>
      <c r="AO197" s="131"/>
      <c r="AP197" s="131"/>
      <c r="AQ197" s="131"/>
      <c r="AR197" s="131"/>
      <c r="AS197" s="131"/>
      <c r="AT197" s="131"/>
      <c r="AU197" s="131"/>
      <c r="AV197" s="131"/>
      <c r="AW197" s="131"/>
      <c r="AX197" s="131"/>
      <c r="AY197" s="131"/>
      <c r="AZ197" s="131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128" t="n">
        <v>14</v>
      </c>
      <c r="CK197" s="128" t="n">
        <v>1</v>
      </c>
      <c r="CL197" s="131" t="s">
        <v>383</v>
      </c>
      <c r="CM197" s="131" t="s">
        <v>606</v>
      </c>
      <c r="CN197" s="131" t="s">
        <v>650</v>
      </c>
      <c r="CO197" s="131" t="s">
        <v>605</v>
      </c>
      <c r="CP197" s="131" t="s">
        <v>395</v>
      </c>
      <c r="CQ197" s="128" t="n">
        <v>14</v>
      </c>
      <c r="CR197" s="128" t="n">
        <v>2</v>
      </c>
      <c r="CS197" s="131" t="s">
        <v>381</v>
      </c>
      <c r="CT197" s="131" t="s">
        <v>642</v>
      </c>
      <c r="CU197" s="131" t="s">
        <v>396</v>
      </c>
      <c r="CV197" s="131" t="s">
        <v>397</v>
      </c>
      <c r="CW197" s="131" t="s">
        <v>473</v>
      </c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  <c r="DK197" s="52"/>
      <c r="DL197" s="52"/>
      <c r="DM197" s="52"/>
      <c r="DN197" s="52"/>
      <c r="DO197" s="52"/>
      <c r="DP197" s="52"/>
      <c r="DQ197" s="52"/>
      <c r="DR197" s="52"/>
      <c r="DS197" s="52"/>
      <c r="DT197" s="52"/>
      <c r="DU197" s="52"/>
      <c r="DV197" s="52"/>
      <c r="DW197" s="52"/>
      <c r="DX197" s="52"/>
      <c r="DY197" s="52"/>
      <c r="DZ197" s="52"/>
      <c r="EA197" s="52"/>
      <c r="EB197" s="52"/>
      <c r="EC197" s="52"/>
      <c r="ED197" s="52"/>
      <c r="EE197" s="52"/>
      <c r="EF197" s="52"/>
      <c r="EG197" s="52"/>
      <c r="EH197" s="52"/>
      <c r="EI197" s="52"/>
      <c r="EJ197" s="52"/>
      <c r="EK197" s="52"/>
      <c r="EL197" s="52"/>
      <c r="EM197" s="52"/>
      <c r="EN197" s="52"/>
      <c r="EO197" s="52"/>
      <c r="EP197" s="52"/>
      <c r="EQ197" s="52"/>
      <c r="ER197" s="52"/>
      <c r="ES197" s="52"/>
      <c r="ET197" s="52"/>
      <c r="EU197" s="128" t="s">
        <v>801</v>
      </c>
      <c r="EV197" s="128" t="n">
        <v>2</v>
      </c>
      <c r="EW197" s="131" t="s">
        <v>572</v>
      </c>
      <c r="EX197" s="131" t="s">
        <v>396</v>
      </c>
      <c r="EY197" s="131" t="s">
        <v>644</v>
      </c>
      <c r="EZ197" s="131" t="s">
        <v>606</v>
      </c>
      <c r="FA197" s="131" t="s">
        <v>607</v>
      </c>
      <c r="FB197" s="128" t="n">
        <v>14</v>
      </c>
      <c r="FC197" s="128" t="n">
        <v>2</v>
      </c>
      <c r="FD197" s="131" t="s">
        <v>572</v>
      </c>
      <c r="FE197" s="131" t="s">
        <v>396</v>
      </c>
      <c r="FF197" s="131" t="s">
        <v>644</v>
      </c>
      <c r="FG197" s="131" t="s">
        <v>606</v>
      </c>
      <c r="FH197" s="131" t="s">
        <v>607</v>
      </c>
      <c r="FI197" s="52"/>
      <c r="FJ197" s="52"/>
      <c r="FK197" s="52"/>
      <c r="FL197" s="52"/>
      <c r="FM197" s="52"/>
      <c r="FN197" s="52"/>
      <c r="FO197" s="52"/>
      <c r="FP197" s="52"/>
      <c r="FQ197" s="52"/>
      <c r="FR197" s="52"/>
      <c r="FS197" s="52"/>
      <c r="FT197" s="52"/>
      <c r="FU197" s="52"/>
      <c r="FV197" s="52"/>
      <c r="FW197" s="52"/>
      <c r="FX197" s="52"/>
      <c r="FY197" s="52"/>
      <c r="FZ197" s="52"/>
      <c r="GA197" s="52"/>
      <c r="GB197" s="52"/>
      <c r="GC197" s="52"/>
      <c r="GD197" s="52"/>
      <c r="GE197" s="52"/>
      <c r="GF197" s="52"/>
      <c r="GG197" s="52"/>
      <c r="GH197" s="52"/>
      <c r="GI197" s="52"/>
      <c r="GJ197" s="52"/>
      <c r="GK197" s="52"/>
      <c r="GL197" s="52"/>
      <c r="GM197" s="52"/>
      <c r="GN197" s="52"/>
      <c r="GO197" s="52"/>
      <c r="GP197" s="52"/>
      <c r="GQ197" s="52"/>
      <c r="GR197" s="52"/>
      <c r="GS197" s="52"/>
      <c r="GT197" s="52"/>
      <c r="GU197" s="52"/>
      <c r="GV197" s="52"/>
      <c r="GW197" s="52"/>
      <c r="GX197" s="52"/>
      <c r="GY197" s="52"/>
      <c r="GZ197" s="52"/>
      <c r="HA197" s="52"/>
      <c r="HB197" s="52"/>
      <c r="HC197" s="52"/>
      <c r="HD197" s="52"/>
      <c r="HE197" s="52"/>
      <c r="HF197" s="52"/>
      <c r="HG197" s="52"/>
      <c r="HH197" s="52"/>
      <c r="HI197" s="52"/>
      <c r="HJ197" s="52"/>
      <c r="HK197" s="52"/>
      <c r="HL197" s="52"/>
      <c r="HM197" s="52"/>
      <c r="HN197" s="52"/>
      <c r="HO197" s="52"/>
      <c r="HP197" s="52"/>
      <c r="HQ197" s="52"/>
      <c r="HR197" s="52"/>
      <c r="HS197" s="52"/>
      <c r="HT197" s="131"/>
      <c r="HU197" s="128"/>
      <c r="HV197" s="131"/>
      <c r="HW197" s="131"/>
      <c r="HX197" s="131"/>
      <c r="HY197" s="131"/>
      <c r="HZ197" s="131"/>
    </row>
    <row r="198" customFormat="false" ht="12.8" hidden="true" customHeight="false" outlineLevel="0" collapsed="false">
      <c r="A198" s="17" t="s">
        <v>328</v>
      </c>
      <c r="B198" s="17" t="s">
        <v>158</v>
      </c>
      <c r="C198" s="130" t="s">
        <v>332</v>
      </c>
      <c r="D198" s="17" t="s">
        <v>330</v>
      </c>
      <c r="E198" s="130" t="s">
        <v>89</v>
      </c>
      <c r="F198" s="17" t="s">
        <v>101</v>
      </c>
      <c r="G198" s="154" t="s">
        <v>802</v>
      </c>
      <c r="H198" s="148" t="s">
        <v>92</v>
      </c>
      <c r="I198" s="150"/>
      <c r="J198" s="150"/>
      <c r="K198" s="39" t="n">
        <v>200</v>
      </c>
      <c r="L198" s="18" t="n">
        <v>6</v>
      </c>
      <c r="M198" s="18" t="n">
        <f aca="false">IF(AD198,1,0)+IF(AK198,1,0)+AN198+AU198+BB198+BI198+BP198+BW198+CD198+CK198+CR198+CY198+DF198+DM198+DT198+EA198+EH198+EO198+EV198+FC198+FJ198+FQ198+FX198+GE198+GL198+GS198+GZ198+HG198+HN198+HU198</f>
        <v>0</v>
      </c>
      <c r="N198" s="131"/>
      <c r="O198" s="147" t="n">
        <v>600</v>
      </c>
      <c r="P198" s="147" t="n">
        <v>0</v>
      </c>
      <c r="Q198" s="147" t="n">
        <v>90</v>
      </c>
      <c r="R198" s="21" t="s">
        <v>44</v>
      </c>
      <c r="S198" s="18"/>
      <c r="T198" s="18"/>
      <c r="U198" s="21" t="s">
        <v>541</v>
      </c>
      <c r="V198" s="18"/>
      <c r="W198" s="18"/>
      <c r="X198" s="18"/>
      <c r="Y198" s="18"/>
      <c r="Z198" s="18"/>
      <c r="AA198" s="18"/>
      <c r="AB198" s="18"/>
      <c r="AC198" s="23" t="s">
        <v>798</v>
      </c>
      <c r="AD198" s="128" t="n">
        <v>15</v>
      </c>
      <c r="AE198" s="128"/>
      <c r="AF198" s="128" t="n">
        <v>40</v>
      </c>
      <c r="AG198" s="128" t="n">
        <v>40</v>
      </c>
      <c r="AH198" s="128"/>
      <c r="AI198" s="147" t="s">
        <v>799</v>
      </c>
      <c r="AJ198" s="128"/>
      <c r="AK198" s="128"/>
      <c r="AL198" s="147"/>
      <c r="AM198" s="131"/>
      <c r="AN198" s="128"/>
      <c r="AO198" s="131"/>
      <c r="AP198" s="131"/>
      <c r="AQ198" s="131"/>
      <c r="AR198" s="131"/>
      <c r="AS198" s="131"/>
      <c r="AT198" s="131"/>
      <c r="AU198" s="131"/>
      <c r="AV198" s="131"/>
      <c r="AW198" s="131"/>
      <c r="AX198" s="131"/>
      <c r="AY198" s="131"/>
      <c r="AZ198" s="131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  <c r="CE198" s="52"/>
      <c r="CF198" s="52"/>
      <c r="CG198" s="52"/>
      <c r="CH198" s="52"/>
      <c r="CI198" s="52"/>
      <c r="CJ198" s="128" t="n">
        <v>10</v>
      </c>
      <c r="CK198" s="128" t="n">
        <v>1</v>
      </c>
      <c r="CL198" s="131" t="s">
        <v>383</v>
      </c>
      <c r="CM198" s="131" t="s">
        <v>574</v>
      </c>
      <c r="CN198" s="131" t="s">
        <v>467</v>
      </c>
      <c r="CO198" s="131" t="s">
        <v>468</v>
      </c>
      <c r="CP198" s="131" t="s">
        <v>380</v>
      </c>
      <c r="CQ198" s="128" t="n">
        <v>10</v>
      </c>
      <c r="CR198" s="128" t="n">
        <v>2</v>
      </c>
      <c r="CS198" s="131" t="s">
        <v>381</v>
      </c>
      <c r="CT198" s="131" t="s">
        <v>382</v>
      </c>
      <c r="CU198" s="131" t="s">
        <v>383</v>
      </c>
      <c r="CV198" s="131" t="s">
        <v>384</v>
      </c>
      <c r="CW198" s="131" t="s">
        <v>399</v>
      </c>
      <c r="CX198" s="131"/>
      <c r="CY198" s="131"/>
      <c r="CZ198" s="131"/>
      <c r="DA198" s="131"/>
      <c r="DB198" s="131"/>
      <c r="DC198" s="131"/>
      <c r="DD198" s="131"/>
      <c r="DE198" s="52"/>
      <c r="DF198" s="52"/>
      <c r="DG198" s="52"/>
      <c r="DH198" s="52"/>
      <c r="DI198" s="52"/>
      <c r="DJ198" s="52"/>
      <c r="DK198" s="52"/>
      <c r="DL198" s="52"/>
      <c r="DM198" s="52"/>
      <c r="DN198" s="52"/>
      <c r="DO198" s="52"/>
      <c r="DP198" s="52"/>
      <c r="DQ198" s="52"/>
      <c r="DR198" s="52"/>
      <c r="DS198" s="52"/>
      <c r="DT198" s="52"/>
      <c r="DU198" s="52"/>
      <c r="DV198" s="52"/>
      <c r="DW198" s="52"/>
      <c r="DX198" s="52"/>
      <c r="DY198" s="52"/>
      <c r="DZ198" s="52"/>
      <c r="EA198" s="52"/>
      <c r="EB198" s="52"/>
      <c r="EC198" s="52"/>
      <c r="ED198" s="52"/>
      <c r="EE198" s="52"/>
      <c r="EF198" s="52"/>
      <c r="EG198" s="52"/>
      <c r="EH198" s="52"/>
      <c r="EI198" s="52"/>
      <c r="EJ198" s="52"/>
      <c r="EK198" s="52"/>
      <c r="EL198" s="52"/>
      <c r="EM198" s="52"/>
      <c r="EN198" s="52"/>
      <c r="EO198" s="52"/>
      <c r="EP198" s="52"/>
      <c r="EQ198" s="52"/>
      <c r="ER198" s="52"/>
      <c r="ES198" s="52"/>
      <c r="ET198" s="52"/>
      <c r="EU198" s="128" t="s">
        <v>620</v>
      </c>
      <c r="EV198" s="128" t="n">
        <v>2</v>
      </c>
      <c r="EW198" s="131" t="s">
        <v>572</v>
      </c>
      <c r="EX198" s="131" t="s">
        <v>383</v>
      </c>
      <c r="EY198" s="131" t="s">
        <v>573</v>
      </c>
      <c r="EZ198" s="131" t="s">
        <v>574</v>
      </c>
      <c r="FA198" s="131" t="s">
        <v>378</v>
      </c>
      <c r="FB198" s="128" t="n">
        <v>10</v>
      </c>
      <c r="FC198" s="128" t="n">
        <v>2</v>
      </c>
      <c r="FD198" s="131" t="s">
        <v>572</v>
      </c>
      <c r="FE198" s="131" t="s">
        <v>383</v>
      </c>
      <c r="FF198" s="131" t="s">
        <v>573</v>
      </c>
      <c r="FG198" s="131" t="s">
        <v>574</v>
      </c>
      <c r="FH198" s="131" t="s">
        <v>378</v>
      </c>
      <c r="FI198" s="131"/>
      <c r="FJ198" s="131"/>
      <c r="FK198" s="131"/>
      <c r="FL198" s="131"/>
      <c r="FM198" s="131"/>
      <c r="FN198" s="131"/>
      <c r="FO198" s="131"/>
      <c r="FP198" s="52"/>
      <c r="FQ198" s="52"/>
      <c r="FR198" s="52"/>
      <c r="FS198" s="52"/>
      <c r="FT198" s="52"/>
      <c r="FU198" s="52"/>
      <c r="FV198" s="52"/>
      <c r="FW198" s="52"/>
      <c r="FX198" s="52"/>
      <c r="FY198" s="52"/>
      <c r="FZ198" s="52"/>
      <c r="GA198" s="52"/>
      <c r="GB198" s="52"/>
      <c r="GC198" s="52"/>
      <c r="GD198" s="52"/>
      <c r="GE198" s="52"/>
      <c r="GF198" s="52"/>
      <c r="GG198" s="52"/>
      <c r="GH198" s="52"/>
      <c r="GI198" s="52"/>
      <c r="GJ198" s="52"/>
      <c r="GK198" s="52"/>
      <c r="GL198" s="52"/>
      <c r="GM198" s="52"/>
      <c r="GN198" s="52"/>
      <c r="GO198" s="52"/>
      <c r="GP198" s="52"/>
      <c r="GQ198" s="52"/>
      <c r="GR198" s="52"/>
      <c r="GS198" s="52"/>
      <c r="GT198" s="52"/>
      <c r="GU198" s="52"/>
      <c r="GV198" s="52"/>
      <c r="GW198" s="52"/>
      <c r="GX198" s="52"/>
      <c r="GY198" s="52"/>
      <c r="GZ198" s="52"/>
      <c r="HA198" s="52"/>
      <c r="HB198" s="52"/>
      <c r="HC198" s="52"/>
      <c r="HD198" s="52"/>
      <c r="HE198" s="52"/>
      <c r="HF198" s="52"/>
      <c r="HG198" s="52"/>
      <c r="HH198" s="52"/>
      <c r="HI198" s="52"/>
      <c r="HJ198" s="52"/>
      <c r="HK198" s="52"/>
      <c r="HL198" s="52"/>
      <c r="HM198" s="39" t="n">
        <v>10</v>
      </c>
      <c r="HN198" s="128" t="n">
        <v>1</v>
      </c>
      <c r="HO198" s="131" t="s">
        <v>572</v>
      </c>
      <c r="HP198" s="131" t="s">
        <v>383</v>
      </c>
      <c r="HQ198" s="131" t="s">
        <v>573</v>
      </c>
      <c r="HR198" s="131" t="s">
        <v>574</v>
      </c>
      <c r="HS198" s="131" t="s">
        <v>378</v>
      </c>
      <c r="HT198" s="131"/>
      <c r="HU198" s="128"/>
      <c r="HV198" s="131"/>
      <c r="HW198" s="131"/>
      <c r="HX198" s="131"/>
      <c r="HY198" s="131"/>
      <c r="HZ198" s="131"/>
    </row>
    <row r="199" customFormat="false" ht="12.8" hidden="true" customHeight="false" outlineLevel="0" collapsed="false">
      <c r="A199" s="17" t="s">
        <v>328</v>
      </c>
      <c r="B199" s="17" t="s">
        <v>158</v>
      </c>
      <c r="C199" s="130" t="s">
        <v>332</v>
      </c>
      <c r="D199" s="17" t="s">
        <v>330</v>
      </c>
      <c r="E199" s="130" t="s">
        <v>89</v>
      </c>
      <c r="F199" s="17" t="s">
        <v>101</v>
      </c>
      <c r="G199" s="154" t="s">
        <v>768</v>
      </c>
      <c r="H199" s="150"/>
      <c r="I199" s="150"/>
      <c r="J199" s="150"/>
      <c r="K199" s="39" t="n">
        <v>200</v>
      </c>
      <c r="L199" s="18" t="n">
        <v>4</v>
      </c>
      <c r="M199" s="18" t="n">
        <f aca="false">IF(AD199,1,0)+IF(AK199,1,0)+AN199+AU199+BB199+BI199+BP199+BW199+CD199+CK199+CR199+CY199+DF199+DM199+DT199+EA199+EH199+EO199+EV199+FC199+FJ199+FQ199+FX199+GE199+GL199+GS199+GZ199+HG199+HN199+HU199</f>
        <v>0</v>
      </c>
      <c r="N199" s="131"/>
      <c r="O199" s="147" t="n">
        <v>0</v>
      </c>
      <c r="P199" s="147" t="n">
        <v>600</v>
      </c>
      <c r="Q199" s="147" t="n">
        <v>0</v>
      </c>
      <c r="R199" s="21" t="s">
        <v>45</v>
      </c>
      <c r="S199" s="18"/>
      <c r="T199" s="18"/>
      <c r="U199" s="128"/>
      <c r="V199" s="18"/>
      <c r="W199" s="18"/>
      <c r="X199" s="18"/>
      <c r="Y199" s="21" t="s">
        <v>541</v>
      </c>
      <c r="Z199" s="18"/>
      <c r="AA199" s="18"/>
      <c r="AB199" s="18"/>
      <c r="AC199" s="131"/>
      <c r="AD199" s="128"/>
      <c r="AE199" s="128"/>
      <c r="AF199" s="128"/>
      <c r="AG199" s="128"/>
      <c r="AH199" s="128"/>
      <c r="AI199" s="147"/>
      <c r="AJ199" s="128"/>
      <c r="AK199" s="128"/>
      <c r="AL199" s="147"/>
      <c r="AM199" s="131"/>
      <c r="AN199" s="128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  <c r="AZ199" s="131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52"/>
      <c r="CF199" s="52"/>
      <c r="CG199" s="52"/>
      <c r="CH199" s="52"/>
      <c r="CI199" s="52"/>
      <c r="CJ199" s="131"/>
      <c r="CK199" s="128"/>
      <c r="CL199" s="131"/>
      <c r="CM199" s="131"/>
      <c r="CN199" s="131"/>
      <c r="CO199" s="131"/>
      <c r="CP199" s="131"/>
      <c r="CQ199" s="131"/>
      <c r="CR199" s="128"/>
      <c r="CS199" s="131"/>
      <c r="CT199" s="131"/>
      <c r="CU199" s="131"/>
      <c r="CV199" s="131"/>
      <c r="CW199" s="131"/>
      <c r="CX199" s="131"/>
      <c r="CY199" s="131"/>
      <c r="CZ199" s="131"/>
      <c r="DA199" s="131"/>
      <c r="DB199" s="131"/>
      <c r="DC199" s="131"/>
      <c r="DD199" s="131"/>
      <c r="DE199" s="128" t="n">
        <v>3</v>
      </c>
      <c r="DF199" s="128" t="n">
        <v>1</v>
      </c>
      <c r="DG199" s="131" t="s">
        <v>473</v>
      </c>
      <c r="DH199" s="131"/>
      <c r="DI199" s="131"/>
      <c r="DJ199" s="131"/>
      <c r="DK199" s="131"/>
      <c r="DL199" s="131"/>
      <c r="DM199" s="131"/>
      <c r="DN199" s="131"/>
      <c r="DO199" s="131"/>
      <c r="DP199" s="131"/>
      <c r="DQ199" s="131"/>
      <c r="DR199" s="131"/>
      <c r="DS199" s="131"/>
      <c r="DT199" s="131"/>
      <c r="DU199" s="131"/>
      <c r="DV199" s="131"/>
      <c r="DW199" s="131"/>
      <c r="DX199" s="131"/>
      <c r="DY199" s="131"/>
      <c r="DZ199" s="131"/>
      <c r="EA199" s="131"/>
      <c r="EB199" s="131"/>
      <c r="EC199" s="131"/>
      <c r="ED199" s="131"/>
      <c r="EE199" s="131"/>
      <c r="EF199" s="131"/>
      <c r="EG199" s="128" t="n">
        <v>3</v>
      </c>
      <c r="EH199" s="128" t="n">
        <v>1</v>
      </c>
      <c r="EI199" s="131" t="s">
        <v>625</v>
      </c>
      <c r="EJ199" s="52"/>
      <c r="EK199" s="52"/>
      <c r="EL199" s="52"/>
      <c r="EM199" s="52"/>
      <c r="EN199" s="52"/>
      <c r="EO199" s="52"/>
      <c r="EP199" s="52"/>
      <c r="EQ199" s="52"/>
      <c r="ER199" s="52"/>
      <c r="ES199" s="52"/>
      <c r="ET199" s="52"/>
      <c r="EU199" s="131"/>
      <c r="EV199" s="128"/>
      <c r="EW199" s="131"/>
      <c r="EX199" s="131"/>
      <c r="EY199" s="131"/>
      <c r="EZ199" s="131"/>
      <c r="FA199" s="131"/>
      <c r="FB199" s="128" t="n">
        <v>3</v>
      </c>
      <c r="FC199" s="128" t="n">
        <v>1</v>
      </c>
      <c r="FD199" s="131" t="s">
        <v>607</v>
      </c>
      <c r="FE199" s="131"/>
      <c r="FF199" s="131"/>
      <c r="FG199" s="131"/>
      <c r="FH199" s="131"/>
      <c r="FI199" s="131"/>
      <c r="FJ199" s="131"/>
      <c r="FK199" s="131"/>
      <c r="FL199" s="131"/>
      <c r="FM199" s="131"/>
      <c r="FN199" s="131"/>
      <c r="FO199" s="131"/>
      <c r="FP199" s="131"/>
      <c r="FQ199" s="131"/>
      <c r="FR199" s="131"/>
      <c r="FS199" s="131"/>
      <c r="FT199" s="131"/>
      <c r="FU199" s="131"/>
      <c r="FV199" s="131"/>
      <c r="FW199" s="131"/>
      <c r="FX199" s="131"/>
      <c r="FY199" s="131"/>
      <c r="FZ199" s="131"/>
      <c r="GA199" s="131"/>
      <c r="GB199" s="131"/>
      <c r="GC199" s="131"/>
      <c r="GD199" s="128" t="n">
        <v>3</v>
      </c>
      <c r="GE199" s="128" t="n">
        <v>1</v>
      </c>
      <c r="GF199" s="131" t="s">
        <v>473</v>
      </c>
      <c r="GG199" s="131"/>
      <c r="GH199" s="131"/>
      <c r="GI199" s="131"/>
      <c r="GJ199" s="131"/>
      <c r="GK199" s="131"/>
      <c r="GL199" s="131"/>
      <c r="GM199" s="131"/>
      <c r="GN199" s="131"/>
      <c r="GO199" s="131"/>
      <c r="GP199" s="131"/>
      <c r="GQ199" s="131"/>
      <c r="GR199" s="131"/>
      <c r="GS199" s="131"/>
      <c r="GT199" s="131"/>
      <c r="GU199" s="131"/>
      <c r="GV199" s="131"/>
      <c r="GW199" s="131"/>
      <c r="GX199" s="131"/>
      <c r="GY199" s="131"/>
      <c r="GZ199" s="131"/>
      <c r="HA199" s="131"/>
      <c r="HB199" s="131"/>
      <c r="HC199" s="131"/>
      <c r="HD199" s="131"/>
      <c r="HE199" s="131"/>
      <c r="HF199" s="128" t="n">
        <v>3</v>
      </c>
      <c r="HG199" s="128" t="n">
        <v>2</v>
      </c>
      <c r="HH199" s="131" t="s">
        <v>607</v>
      </c>
      <c r="HI199" s="131"/>
      <c r="HJ199" s="131"/>
      <c r="HK199" s="131"/>
      <c r="HL199" s="131"/>
      <c r="HM199" s="131"/>
      <c r="HN199" s="128"/>
      <c r="HO199" s="131"/>
      <c r="HP199" s="131"/>
      <c r="HQ199" s="131"/>
      <c r="HR199" s="131"/>
      <c r="HS199" s="131"/>
      <c r="HT199" s="131"/>
      <c r="HU199" s="128"/>
      <c r="HV199" s="131"/>
      <c r="HW199" s="131"/>
      <c r="HX199" s="131"/>
      <c r="HY199" s="131"/>
      <c r="HZ199" s="131"/>
    </row>
    <row r="200" customFormat="false" ht="12.8" hidden="true" customHeight="false" outlineLevel="0" collapsed="false">
      <c r="A200" s="17" t="s">
        <v>328</v>
      </c>
      <c r="B200" s="17" t="s">
        <v>158</v>
      </c>
      <c r="C200" s="17" t="s">
        <v>333</v>
      </c>
      <c r="D200" s="17" t="s">
        <v>334</v>
      </c>
      <c r="E200" s="130" t="s">
        <v>89</v>
      </c>
      <c r="F200" s="17" t="s">
        <v>116</v>
      </c>
      <c r="G200" s="154" t="s">
        <v>803</v>
      </c>
      <c r="H200" s="148" t="s">
        <v>92</v>
      </c>
      <c r="I200" s="150"/>
      <c r="J200" s="150"/>
      <c r="K200" s="39" t="n">
        <v>200</v>
      </c>
      <c r="L200" s="18" t="n">
        <v>7</v>
      </c>
      <c r="M200" s="18" t="n">
        <f aca="false">IF(AD200,1,0)+IF(AK200,1,0)+AN200+AU200+BB200+BI200+BP200+BW200+CD200+CK200+CR200+CY200+DF200+DM200+DT200+EA200+EH200+EO200+EV200+FC200+FJ200+FQ200+FX200+GE200+GL200+GS200+GZ200+HG200+HN200+HU200</f>
        <v>0</v>
      </c>
      <c r="N200" s="131"/>
      <c r="O200" s="147" t="n">
        <v>790</v>
      </c>
      <c r="P200" s="147" t="n">
        <v>664</v>
      </c>
      <c r="Q200" s="147" t="n">
        <v>82</v>
      </c>
      <c r="R200" s="21" t="s">
        <v>45</v>
      </c>
      <c r="S200" s="21" t="s">
        <v>44</v>
      </c>
      <c r="T200" s="128"/>
      <c r="U200" s="21" t="s">
        <v>541</v>
      </c>
      <c r="V200" s="128"/>
      <c r="W200" s="128"/>
      <c r="X200" s="128"/>
      <c r="Y200" s="21" t="s">
        <v>542</v>
      </c>
      <c r="Z200" s="128"/>
      <c r="AA200" s="128"/>
      <c r="AB200" s="128"/>
      <c r="AC200" s="23" t="s">
        <v>798</v>
      </c>
      <c r="AD200" s="128" t="n">
        <v>15</v>
      </c>
      <c r="AE200" s="128"/>
      <c r="AF200" s="128" t="n">
        <v>35</v>
      </c>
      <c r="AG200" s="128" t="n">
        <v>35</v>
      </c>
      <c r="AH200" s="128"/>
      <c r="AI200" s="147" t="s">
        <v>804</v>
      </c>
      <c r="AJ200" s="128"/>
      <c r="AK200" s="128"/>
      <c r="AL200" s="147"/>
      <c r="AM200" s="131"/>
      <c r="AN200" s="128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128" t="n">
        <v>10</v>
      </c>
      <c r="BP200" s="128" t="n">
        <v>1</v>
      </c>
      <c r="BQ200" s="131" t="s">
        <v>383</v>
      </c>
      <c r="BR200" s="131" t="s">
        <v>574</v>
      </c>
      <c r="BS200" s="131" t="s">
        <v>467</v>
      </c>
      <c r="BT200" s="131" t="s">
        <v>468</v>
      </c>
      <c r="BU200" s="131" t="s">
        <v>380</v>
      </c>
      <c r="BV200" s="128" t="n">
        <v>10</v>
      </c>
      <c r="BW200" s="128" t="n">
        <v>1</v>
      </c>
      <c r="BX200" s="131" t="s">
        <v>399</v>
      </c>
      <c r="BY200" s="131" t="s">
        <v>615</v>
      </c>
      <c r="BZ200" s="131" t="s">
        <v>380</v>
      </c>
      <c r="CA200" s="131" t="s">
        <v>596</v>
      </c>
      <c r="CB200" s="131" t="s">
        <v>597</v>
      </c>
      <c r="CC200" s="128" t="n">
        <v>10</v>
      </c>
      <c r="CD200" s="128" t="n">
        <v>1</v>
      </c>
      <c r="CE200" s="131" t="s">
        <v>384</v>
      </c>
      <c r="CF200" s="131" t="s">
        <v>616</v>
      </c>
      <c r="CG200" s="131" t="s">
        <v>468</v>
      </c>
      <c r="CH200" s="131" t="s">
        <v>617</v>
      </c>
      <c r="CI200" s="131" t="s">
        <v>596</v>
      </c>
      <c r="CJ200" s="131"/>
      <c r="CK200" s="131"/>
      <c r="CL200" s="131"/>
      <c r="CM200" s="131"/>
      <c r="CN200" s="131"/>
      <c r="CO200" s="131"/>
      <c r="CP200" s="131"/>
      <c r="CQ200" s="128" t="n">
        <v>10</v>
      </c>
      <c r="CR200" s="128" t="n">
        <v>1</v>
      </c>
      <c r="CS200" s="131" t="s">
        <v>381</v>
      </c>
      <c r="CT200" s="131" t="s">
        <v>382</v>
      </c>
      <c r="CU200" s="131" t="s">
        <v>383</v>
      </c>
      <c r="CV200" s="131" t="s">
        <v>384</v>
      </c>
      <c r="CW200" s="131" t="s">
        <v>399</v>
      </c>
      <c r="CX200" s="131"/>
      <c r="CY200" s="131"/>
      <c r="CZ200" s="131"/>
      <c r="DA200" s="131"/>
      <c r="DB200" s="131"/>
      <c r="DC200" s="131"/>
      <c r="DD200" s="131"/>
      <c r="DE200" s="128" t="n">
        <v>10</v>
      </c>
      <c r="DF200" s="128" t="n">
        <v>2</v>
      </c>
      <c r="DG200" s="131" t="s">
        <v>381</v>
      </c>
      <c r="DH200" s="131" t="s">
        <v>382</v>
      </c>
      <c r="DI200" s="131" t="s">
        <v>383</v>
      </c>
      <c r="DJ200" s="131" t="s">
        <v>384</v>
      </c>
      <c r="DK200" s="131" t="s">
        <v>399</v>
      </c>
      <c r="DL200" s="131"/>
      <c r="DM200" s="131"/>
      <c r="DN200" s="131"/>
      <c r="DO200" s="131"/>
      <c r="DP200" s="131"/>
      <c r="DQ200" s="131"/>
      <c r="DR200" s="131"/>
      <c r="DS200" s="131"/>
      <c r="DT200" s="131"/>
      <c r="DU200" s="131"/>
      <c r="DV200" s="131"/>
      <c r="DW200" s="131"/>
      <c r="DX200" s="131"/>
      <c r="DY200" s="131"/>
      <c r="DZ200" s="131"/>
      <c r="EA200" s="131"/>
      <c r="EB200" s="131"/>
      <c r="EC200" s="131"/>
      <c r="ED200" s="131"/>
      <c r="EE200" s="131"/>
      <c r="EF200" s="131"/>
      <c r="EG200" s="131"/>
      <c r="EH200" s="131"/>
      <c r="EI200" s="131"/>
      <c r="EJ200" s="131"/>
      <c r="EK200" s="131"/>
      <c r="EL200" s="131"/>
      <c r="EM200" s="131"/>
      <c r="EN200" s="131"/>
      <c r="EO200" s="131"/>
      <c r="EP200" s="131"/>
      <c r="EQ200" s="131"/>
      <c r="ER200" s="131"/>
      <c r="ES200" s="131"/>
      <c r="ET200" s="131"/>
      <c r="EU200" s="131"/>
      <c r="EV200" s="131"/>
      <c r="EW200" s="131"/>
      <c r="EX200" s="131"/>
      <c r="EY200" s="131"/>
      <c r="EZ200" s="131"/>
      <c r="FA200" s="131"/>
      <c r="FB200" s="128" t="n">
        <v>10</v>
      </c>
      <c r="FC200" s="128" t="n">
        <v>2</v>
      </c>
      <c r="FD200" s="131" t="s">
        <v>572</v>
      </c>
      <c r="FE200" s="131" t="s">
        <v>383</v>
      </c>
      <c r="FF200" s="131" t="s">
        <v>573</v>
      </c>
      <c r="FG200" s="131" t="s">
        <v>574</v>
      </c>
      <c r="FH200" s="131" t="s">
        <v>378</v>
      </c>
      <c r="FI200" s="131"/>
      <c r="FJ200" s="131"/>
      <c r="FK200" s="131"/>
      <c r="FL200" s="131"/>
      <c r="FM200" s="131"/>
      <c r="FN200" s="131"/>
      <c r="FO200" s="131"/>
      <c r="FP200" s="131"/>
      <c r="FQ200" s="131"/>
      <c r="FR200" s="131"/>
      <c r="FS200" s="131"/>
      <c r="FT200" s="131"/>
      <c r="FU200" s="131"/>
      <c r="FV200" s="131"/>
      <c r="FW200" s="131"/>
      <c r="FX200" s="131"/>
      <c r="FY200" s="131"/>
      <c r="FZ200" s="131"/>
      <c r="GA200" s="131"/>
      <c r="GB200" s="131"/>
      <c r="GC200" s="131"/>
      <c r="GD200" s="128" t="n">
        <v>10</v>
      </c>
      <c r="GE200" s="128" t="n">
        <v>1</v>
      </c>
      <c r="GF200" s="131" t="s">
        <v>381</v>
      </c>
      <c r="GG200" s="131" t="s">
        <v>382</v>
      </c>
      <c r="GH200" s="131" t="s">
        <v>383</v>
      </c>
      <c r="GI200" s="131" t="s">
        <v>384</v>
      </c>
      <c r="GJ200" s="131" t="s">
        <v>399</v>
      </c>
      <c r="GK200" s="131"/>
      <c r="GL200" s="131"/>
      <c r="GM200" s="131"/>
      <c r="GN200" s="131"/>
      <c r="GO200" s="131"/>
      <c r="GP200" s="131"/>
      <c r="GQ200" s="131"/>
      <c r="GR200" s="131"/>
      <c r="GS200" s="131"/>
      <c r="GT200" s="131"/>
      <c r="GU200" s="131"/>
      <c r="GV200" s="131"/>
      <c r="GW200" s="131"/>
      <c r="GX200" s="131"/>
      <c r="GY200" s="131"/>
      <c r="GZ200" s="131"/>
      <c r="HA200" s="131"/>
      <c r="HB200" s="131"/>
      <c r="HC200" s="131"/>
      <c r="HD200" s="131"/>
      <c r="HE200" s="131"/>
      <c r="HF200" s="52"/>
      <c r="HG200" s="52"/>
      <c r="HH200" s="52"/>
      <c r="HI200" s="52"/>
      <c r="HJ200" s="52"/>
      <c r="HK200" s="52"/>
      <c r="HL200" s="52"/>
      <c r="HM200" s="52"/>
      <c r="HN200" s="52"/>
      <c r="HO200" s="52"/>
      <c r="HP200" s="52"/>
      <c r="HQ200" s="52"/>
      <c r="HR200" s="52"/>
      <c r="HS200" s="52"/>
      <c r="HT200" s="131"/>
      <c r="HU200" s="128"/>
      <c r="HV200" s="131"/>
      <c r="HW200" s="131"/>
      <c r="HX200" s="131"/>
      <c r="HY200" s="131"/>
      <c r="HZ200" s="131"/>
    </row>
    <row r="201" customFormat="false" ht="12.8" hidden="true" customHeight="false" outlineLevel="0" collapsed="false">
      <c r="A201" s="17" t="s">
        <v>328</v>
      </c>
      <c r="B201" s="17" t="s">
        <v>81</v>
      </c>
      <c r="C201" s="17" t="s">
        <v>335</v>
      </c>
      <c r="D201" s="17" t="s">
        <v>336</v>
      </c>
      <c r="E201" s="130" t="s">
        <v>89</v>
      </c>
      <c r="F201" s="17" t="s">
        <v>116</v>
      </c>
      <c r="G201" s="154" t="s">
        <v>805</v>
      </c>
      <c r="H201" s="148" t="s">
        <v>92</v>
      </c>
      <c r="I201" s="150"/>
      <c r="J201" s="150"/>
      <c r="K201" s="39" t="n">
        <v>200</v>
      </c>
      <c r="L201" s="18" t="n">
        <v>6</v>
      </c>
      <c r="M201" s="18" t="n">
        <f aca="false">IF(AD201,1,0)+IF(AK201,1,0)+AN201+AU201+BB201+BI201+BP201+BW201+CD201+CK201+CR201+CY201+DF201+DM201+DT201+EA201+EH201+EO201+EV201+FC201+FJ201+FQ201+FX201+GE201+GL201+GS201+GZ201+HG201+HN201+HU201</f>
        <v>0</v>
      </c>
      <c r="N201" s="131"/>
      <c r="O201" s="147" t="n">
        <v>663</v>
      </c>
      <c r="P201" s="147" t="n">
        <v>763</v>
      </c>
      <c r="Q201" s="147" t="n">
        <v>132</v>
      </c>
      <c r="R201" s="21" t="s">
        <v>602</v>
      </c>
      <c r="S201" s="18"/>
      <c r="T201" s="18"/>
      <c r="U201" s="18"/>
      <c r="V201" s="128"/>
      <c r="W201" s="21" t="s">
        <v>541</v>
      </c>
      <c r="X201" s="128"/>
      <c r="Y201" s="128"/>
      <c r="Z201" s="128"/>
      <c r="AA201" s="128"/>
      <c r="AB201" s="128"/>
      <c r="AC201" s="23" t="s">
        <v>618</v>
      </c>
      <c r="AD201" s="128" t="n">
        <v>15</v>
      </c>
      <c r="AE201" s="128"/>
      <c r="AF201" s="128" t="n">
        <v>45</v>
      </c>
      <c r="AG201" s="128" t="n">
        <v>35</v>
      </c>
      <c r="AH201" s="128"/>
      <c r="AI201" s="147" t="s">
        <v>806</v>
      </c>
      <c r="AJ201" s="128"/>
      <c r="AK201" s="128"/>
      <c r="AL201" s="147"/>
      <c r="AM201" s="131"/>
      <c r="AN201" s="128"/>
      <c r="AO201" s="131"/>
      <c r="AP201" s="131"/>
      <c r="AQ201" s="131"/>
      <c r="AR201" s="131"/>
      <c r="AS201" s="131"/>
      <c r="AT201" s="131"/>
      <c r="AU201" s="131"/>
      <c r="AV201" s="131"/>
      <c r="AW201" s="131"/>
      <c r="AX201" s="131"/>
      <c r="AY201" s="131"/>
      <c r="AZ201" s="131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128" t="n">
        <v>10</v>
      </c>
      <c r="BW201" s="128" t="n">
        <v>1</v>
      </c>
      <c r="BX201" s="131" t="s">
        <v>399</v>
      </c>
      <c r="BY201" s="131" t="s">
        <v>615</v>
      </c>
      <c r="BZ201" s="131" t="s">
        <v>380</v>
      </c>
      <c r="CA201" s="131" t="s">
        <v>596</v>
      </c>
      <c r="CB201" s="131" t="s">
        <v>597</v>
      </c>
      <c r="CC201" s="128" t="n">
        <v>10</v>
      </c>
      <c r="CD201" s="128" t="n">
        <v>1</v>
      </c>
      <c r="CE201" s="131" t="s">
        <v>384</v>
      </c>
      <c r="CF201" s="131" t="s">
        <v>616</v>
      </c>
      <c r="CG201" s="131" t="s">
        <v>468</v>
      </c>
      <c r="CH201" s="131" t="s">
        <v>617</v>
      </c>
      <c r="CI201" s="131" t="s">
        <v>596</v>
      </c>
      <c r="CJ201" s="16"/>
      <c r="CK201" s="16"/>
      <c r="CL201" s="16"/>
      <c r="CM201" s="16"/>
      <c r="CN201" s="16"/>
      <c r="CO201" s="16"/>
      <c r="CP201" s="16"/>
      <c r="CQ201" s="52"/>
      <c r="CR201" s="52"/>
      <c r="CS201" s="52"/>
      <c r="CT201" s="52"/>
      <c r="CU201" s="52"/>
      <c r="CV201" s="52"/>
      <c r="CW201" s="52"/>
      <c r="CX201" s="52"/>
      <c r="CY201" s="52"/>
      <c r="CZ201" s="52"/>
      <c r="DA201" s="52"/>
      <c r="DB201" s="52"/>
      <c r="DC201" s="52"/>
      <c r="DD201" s="52"/>
      <c r="DE201" s="52"/>
      <c r="DF201" s="52"/>
      <c r="DG201" s="52"/>
      <c r="DH201" s="52"/>
      <c r="DI201" s="52"/>
      <c r="DJ201" s="52"/>
      <c r="DK201" s="52"/>
      <c r="DL201" s="128" t="n">
        <v>10</v>
      </c>
      <c r="DM201" s="128" t="n">
        <v>2</v>
      </c>
      <c r="DN201" s="131" t="s">
        <v>381</v>
      </c>
      <c r="DO201" s="131" t="s">
        <v>382</v>
      </c>
      <c r="DP201" s="131" t="s">
        <v>383</v>
      </c>
      <c r="DQ201" s="131" t="s">
        <v>384</v>
      </c>
      <c r="DR201" s="131" t="s">
        <v>399</v>
      </c>
      <c r="DS201" s="131"/>
      <c r="DT201" s="131"/>
      <c r="DU201" s="131"/>
      <c r="DV201" s="131"/>
      <c r="DW201" s="131"/>
      <c r="DX201" s="131"/>
      <c r="DY201" s="131"/>
      <c r="DZ201" s="52"/>
      <c r="EA201" s="52"/>
      <c r="EB201" s="52"/>
      <c r="EC201" s="52"/>
      <c r="ED201" s="52"/>
      <c r="EE201" s="52"/>
      <c r="EF201" s="52"/>
      <c r="EG201" s="52"/>
      <c r="EH201" s="52"/>
      <c r="EI201" s="52"/>
      <c r="EJ201" s="52"/>
      <c r="EK201" s="52"/>
      <c r="EL201" s="52"/>
      <c r="EM201" s="52"/>
      <c r="EN201" s="52"/>
      <c r="EO201" s="52"/>
      <c r="EP201" s="52"/>
      <c r="EQ201" s="52"/>
      <c r="ER201" s="52"/>
      <c r="ES201" s="52"/>
      <c r="ET201" s="52"/>
      <c r="EU201" s="52"/>
      <c r="EV201" s="52"/>
      <c r="EW201" s="52"/>
      <c r="EX201" s="52"/>
      <c r="EY201" s="52"/>
      <c r="EZ201" s="52"/>
      <c r="FA201" s="52"/>
      <c r="FB201" s="128" t="n">
        <v>10</v>
      </c>
      <c r="FC201" s="128" t="n">
        <v>2</v>
      </c>
      <c r="FD201" s="131" t="s">
        <v>572</v>
      </c>
      <c r="FE201" s="131" t="s">
        <v>383</v>
      </c>
      <c r="FF201" s="131" t="s">
        <v>573</v>
      </c>
      <c r="FG201" s="131" t="s">
        <v>574</v>
      </c>
      <c r="FH201" s="131" t="s">
        <v>378</v>
      </c>
      <c r="FI201" s="131"/>
      <c r="FJ201" s="131"/>
      <c r="FK201" s="131"/>
      <c r="FL201" s="131"/>
      <c r="FM201" s="131"/>
      <c r="FN201" s="131"/>
      <c r="FO201" s="131"/>
      <c r="FP201" s="131"/>
      <c r="FQ201" s="131"/>
      <c r="FR201" s="131"/>
      <c r="FS201" s="131"/>
      <c r="FT201" s="131"/>
      <c r="FU201" s="131"/>
      <c r="FV201" s="131"/>
      <c r="FW201" s="131"/>
      <c r="FX201" s="131"/>
      <c r="FY201" s="131"/>
      <c r="FZ201" s="131"/>
      <c r="GA201" s="131"/>
      <c r="GB201" s="131"/>
      <c r="GC201" s="131"/>
      <c r="GD201" s="52"/>
      <c r="GE201" s="52"/>
      <c r="GF201" s="52"/>
      <c r="GG201" s="52"/>
      <c r="GH201" s="52"/>
      <c r="GI201" s="52"/>
      <c r="GJ201" s="52"/>
      <c r="GK201" s="52"/>
      <c r="GL201" s="52"/>
      <c r="GM201" s="52"/>
      <c r="GN201" s="52"/>
      <c r="GO201" s="52"/>
      <c r="GP201" s="52"/>
      <c r="GQ201" s="52"/>
      <c r="GR201" s="128" t="n">
        <v>10</v>
      </c>
      <c r="GS201" s="128" t="n">
        <v>1</v>
      </c>
      <c r="GT201" s="131" t="s">
        <v>381</v>
      </c>
      <c r="GU201" s="131" t="s">
        <v>382</v>
      </c>
      <c r="GV201" s="131" t="s">
        <v>383</v>
      </c>
      <c r="GW201" s="131" t="s">
        <v>384</v>
      </c>
      <c r="GX201" s="131" t="s">
        <v>399</v>
      </c>
      <c r="GY201" s="131"/>
      <c r="GZ201" s="131"/>
      <c r="HA201" s="131"/>
      <c r="HB201" s="131"/>
      <c r="HC201" s="131"/>
      <c r="HD201" s="131"/>
      <c r="HE201" s="131"/>
      <c r="HF201" s="128" t="n">
        <v>10</v>
      </c>
      <c r="HG201" s="128" t="n">
        <v>1</v>
      </c>
      <c r="HH201" s="131" t="s">
        <v>572</v>
      </c>
      <c r="HI201" s="131" t="s">
        <v>383</v>
      </c>
      <c r="HJ201" s="131" t="s">
        <v>573</v>
      </c>
      <c r="HK201" s="131" t="s">
        <v>574</v>
      </c>
      <c r="HL201" s="131" t="s">
        <v>378</v>
      </c>
      <c r="HM201" s="52"/>
      <c r="HN201" s="52"/>
      <c r="HO201" s="52"/>
      <c r="HP201" s="52"/>
      <c r="HQ201" s="52"/>
      <c r="HR201" s="52"/>
      <c r="HS201" s="52"/>
      <c r="HT201" s="131"/>
      <c r="HU201" s="128"/>
      <c r="HV201" s="131"/>
      <c r="HW201" s="131"/>
      <c r="HX201" s="131"/>
      <c r="HY201" s="131"/>
      <c r="HZ201" s="131"/>
    </row>
    <row r="202" customFormat="false" ht="12.8" hidden="true" customHeight="false" outlineLevel="0" collapsed="false">
      <c r="A202" s="17" t="s">
        <v>337</v>
      </c>
      <c r="B202" s="17" t="s">
        <v>98</v>
      </c>
      <c r="C202" s="17" t="s">
        <v>387</v>
      </c>
      <c r="D202" s="17" t="s">
        <v>339</v>
      </c>
      <c r="E202" s="130" t="s">
        <v>89</v>
      </c>
      <c r="F202" s="17" t="s">
        <v>116</v>
      </c>
      <c r="G202" s="154" t="s">
        <v>807</v>
      </c>
      <c r="H202" s="148" t="s">
        <v>92</v>
      </c>
      <c r="I202" s="150"/>
      <c r="J202" s="150"/>
      <c r="K202" s="39" t="n">
        <v>200</v>
      </c>
      <c r="L202" s="18" t="n">
        <v>7</v>
      </c>
      <c r="M202" s="18" t="n">
        <f aca="false">IF(AD202,1,0)+IF(AK202,1,0)+AN202+AU202+BB202+BI202+BP202+BW202+CD202+CK202+CR202+CY202+DF202+DM202+DT202+EA202+EH202+EO202+EV202+FC202+FJ202+FQ202+FX202+GE202+GL202+GS202+GZ202+HG202+HN202+HU202</f>
        <v>0</v>
      </c>
      <c r="N202" s="131"/>
      <c r="O202" s="147" t="n">
        <v>2294</v>
      </c>
      <c r="P202" s="147" t="n">
        <v>0</v>
      </c>
      <c r="Q202" s="147" t="n">
        <v>848</v>
      </c>
      <c r="R202" s="21" t="s">
        <v>808</v>
      </c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23" t="s">
        <v>809</v>
      </c>
      <c r="AD202" s="128" t="n">
        <v>15</v>
      </c>
      <c r="AE202" s="21" t="s">
        <v>590</v>
      </c>
      <c r="AF202" s="128"/>
      <c r="AG202" s="128"/>
      <c r="AH202" s="128" t="n">
        <v>30</v>
      </c>
      <c r="AI202" s="147" t="s">
        <v>810</v>
      </c>
      <c r="AJ202" s="128"/>
      <c r="AK202" s="128"/>
      <c r="AL202" s="147"/>
      <c r="AM202" s="131"/>
      <c r="AN202" s="128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  <c r="AZ202" s="131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128" t="n">
        <v>5</v>
      </c>
      <c r="BW202" s="128" t="n">
        <v>1</v>
      </c>
      <c r="BX202" s="131" t="s">
        <v>415</v>
      </c>
      <c r="BY202" s="131" t="s">
        <v>584</v>
      </c>
      <c r="BZ202" s="131" t="s">
        <v>579</v>
      </c>
      <c r="CA202" s="131" t="s">
        <v>449</v>
      </c>
      <c r="CB202" s="131" t="s">
        <v>583</v>
      </c>
      <c r="CC202" s="52"/>
      <c r="CD202" s="52"/>
      <c r="CE202" s="52"/>
      <c r="CF202" s="52"/>
      <c r="CG202" s="52"/>
      <c r="CH202" s="52"/>
      <c r="CI202" s="52"/>
      <c r="CJ202" s="128" t="n">
        <v>5</v>
      </c>
      <c r="CK202" s="128" t="n">
        <v>1</v>
      </c>
      <c r="CL202" s="131" t="s">
        <v>410</v>
      </c>
      <c r="CM202" s="131" t="s">
        <v>453</v>
      </c>
      <c r="CN202" s="131" t="s">
        <v>489</v>
      </c>
      <c r="CO202" s="131" t="s">
        <v>447</v>
      </c>
      <c r="CP202" s="131" t="s">
        <v>579</v>
      </c>
      <c r="CQ202" s="52"/>
      <c r="CR202" s="52"/>
      <c r="CS202" s="52"/>
      <c r="CT202" s="52"/>
      <c r="CU202" s="52"/>
      <c r="CV202" s="52"/>
      <c r="CW202" s="52"/>
      <c r="CX202" s="52"/>
      <c r="CY202" s="52"/>
      <c r="CZ202" s="52"/>
      <c r="DA202" s="52"/>
      <c r="DB202" s="52"/>
      <c r="DC202" s="52"/>
      <c r="DD202" s="52"/>
      <c r="DE202" s="52"/>
      <c r="DF202" s="52"/>
      <c r="DG202" s="52"/>
      <c r="DH202" s="52"/>
      <c r="DI202" s="52"/>
      <c r="DJ202" s="52"/>
      <c r="DK202" s="52"/>
      <c r="DL202" s="52"/>
      <c r="DM202" s="52"/>
      <c r="DN202" s="52"/>
      <c r="DO202" s="52"/>
      <c r="DP202" s="52"/>
      <c r="DQ202" s="52"/>
      <c r="DR202" s="52"/>
      <c r="DS202" s="52"/>
      <c r="DT202" s="52"/>
      <c r="DU202" s="52"/>
      <c r="DV202" s="52"/>
      <c r="DW202" s="52"/>
      <c r="DX202" s="52"/>
      <c r="DY202" s="52"/>
      <c r="DZ202" s="128" t="n">
        <v>5</v>
      </c>
      <c r="EA202" s="128" t="n">
        <v>2</v>
      </c>
      <c r="EB202" s="131" t="s">
        <v>390</v>
      </c>
      <c r="EC202" s="131" t="s">
        <v>391</v>
      </c>
      <c r="ED202" s="131" t="s">
        <v>410</v>
      </c>
      <c r="EE202" s="131" t="s">
        <v>411</v>
      </c>
      <c r="EF202" s="131" t="s">
        <v>415</v>
      </c>
      <c r="EG202" s="52"/>
      <c r="EH202" s="52"/>
      <c r="EI202" s="52"/>
      <c r="EJ202" s="52"/>
      <c r="EK202" s="52"/>
      <c r="EL202" s="52"/>
      <c r="EM202" s="52"/>
      <c r="EN202" s="128" t="n">
        <v>5</v>
      </c>
      <c r="EO202" s="128" t="n">
        <v>2</v>
      </c>
      <c r="EP202" s="131" t="s">
        <v>410</v>
      </c>
      <c r="EQ202" s="131" t="s">
        <v>453</v>
      </c>
      <c r="ER202" s="131" t="s">
        <v>489</v>
      </c>
      <c r="ES202" s="131" t="s">
        <v>447</v>
      </c>
      <c r="ET202" s="131" t="s">
        <v>579</v>
      </c>
      <c r="EU202" s="52"/>
      <c r="EV202" s="52"/>
      <c r="EW202" s="52"/>
      <c r="EX202" s="52"/>
      <c r="EY202" s="52"/>
      <c r="EZ202" s="52"/>
      <c r="FA202" s="52"/>
      <c r="FB202" s="128" t="n">
        <v>5</v>
      </c>
      <c r="FC202" s="128" t="n">
        <v>2</v>
      </c>
      <c r="FD202" s="131" t="s">
        <v>451</v>
      </c>
      <c r="FE202" s="131" t="s">
        <v>410</v>
      </c>
      <c r="FF202" s="131" t="s">
        <v>452</v>
      </c>
      <c r="FG202" s="131" t="s">
        <v>453</v>
      </c>
      <c r="FH202" s="131" t="s">
        <v>389</v>
      </c>
      <c r="FI202" s="131"/>
      <c r="FJ202" s="131"/>
      <c r="FK202" s="131"/>
      <c r="FL202" s="131"/>
      <c r="FM202" s="131"/>
      <c r="FN202" s="131"/>
      <c r="FO202" s="131"/>
      <c r="FP202" s="52"/>
      <c r="FQ202" s="52"/>
      <c r="FR202" s="52"/>
      <c r="FS202" s="52"/>
      <c r="FT202" s="52"/>
      <c r="FU202" s="52"/>
      <c r="FV202" s="52"/>
      <c r="FW202" s="52"/>
      <c r="FX202" s="52"/>
      <c r="FY202" s="52"/>
      <c r="FZ202" s="52"/>
      <c r="GA202" s="52"/>
      <c r="GB202" s="52"/>
      <c r="GC202" s="52"/>
      <c r="GD202" s="52"/>
      <c r="GE202" s="52"/>
      <c r="GF202" s="52"/>
      <c r="GG202" s="52"/>
      <c r="GH202" s="52"/>
      <c r="GI202" s="52"/>
      <c r="GJ202" s="52"/>
      <c r="GK202" s="52"/>
      <c r="GL202" s="52"/>
      <c r="GM202" s="52"/>
      <c r="GN202" s="52"/>
      <c r="GO202" s="52"/>
      <c r="GP202" s="52"/>
      <c r="GQ202" s="52"/>
      <c r="GR202" s="52"/>
      <c r="GS202" s="52"/>
      <c r="GT202" s="52"/>
      <c r="GU202" s="52"/>
      <c r="GV202" s="52"/>
      <c r="GW202" s="52"/>
      <c r="GX202" s="52"/>
      <c r="GY202" s="52"/>
      <c r="GZ202" s="52"/>
      <c r="HA202" s="52"/>
      <c r="HB202" s="52"/>
      <c r="HC202" s="52"/>
      <c r="HD202" s="52"/>
      <c r="HE202" s="52"/>
      <c r="HF202" s="52"/>
      <c r="HG202" s="52"/>
      <c r="HH202" s="52"/>
      <c r="HI202" s="52"/>
      <c r="HJ202" s="52"/>
      <c r="HK202" s="52"/>
      <c r="HL202" s="52"/>
      <c r="HM202" s="52"/>
      <c r="HN202" s="52"/>
      <c r="HO202" s="52"/>
      <c r="HP202" s="52"/>
      <c r="HQ202" s="52"/>
      <c r="HR202" s="52"/>
      <c r="HS202" s="52"/>
      <c r="HT202" s="39" t="n">
        <v>5</v>
      </c>
      <c r="HU202" s="128" t="n">
        <v>1</v>
      </c>
      <c r="HV202" s="131" t="s">
        <v>451</v>
      </c>
      <c r="HW202" s="131" t="s">
        <v>410</v>
      </c>
      <c r="HX202" s="131" t="s">
        <v>452</v>
      </c>
      <c r="HY202" s="131" t="s">
        <v>453</v>
      </c>
      <c r="HZ202" s="131" t="s">
        <v>389</v>
      </c>
    </row>
    <row r="203" customFormat="false" ht="12.8" hidden="true" customHeight="false" outlineLevel="0" collapsed="false">
      <c r="A203" s="17" t="s">
        <v>337</v>
      </c>
      <c r="B203" s="17" t="s">
        <v>158</v>
      </c>
      <c r="C203" s="17" t="s">
        <v>340</v>
      </c>
      <c r="D203" s="17" t="s">
        <v>341</v>
      </c>
      <c r="E203" s="130" t="s">
        <v>89</v>
      </c>
      <c r="F203" s="17" t="s">
        <v>145</v>
      </c>
      <c r="G203" s="154" t="s">
        <v>811</v>
      </c>
      <c r="H203" s="148" t="s">
        <v>92</v>
      </c>
      <c r="I203" s="150"/>
      <c r="J203" s="150"/>
      <c r="K203" s="39" t="n">
        <v>200</v>
      </c>
      <c r="L203" s="18" t="n">
        <v>7</v>
      </c>
      <c r="M203" s="18" t="n">
        <f aca="false">IF(AD203,1,0)+IF(AK203,1,0)+AN203+AU203+BB203+BI203+BP203+BW203+CD203+CK203+CR203+CY203+DF203+DM203+DT203+EA203+EH203+EO203+EV203+FC203+FJ203+FQ203+FX203+GE203+GL203+GS203+GZ203+HG203+HN203+HU203</f>
        <v>0</v>
      </c>
      <c r="N203" s="131"/>
      <c r="O203" s="147" t="n">
        <v>1600</v>
      </c>
      <c r="P203" s="147" t="n">
        <v>0</v>
      </c>
      <c r="Q203" s="147" t="n">
        <v>496</v>
      </c>
      <c r="R203" s="21" t="s">
        <v>46</v>
      </c>
      <c r="S203" s="18"/>
      <c r="T203" s="18"/>
      <c r="U203" s="21" t="s">
        <v>541</v>
      </c>
      <c r="V203" s="18"/>
      <c r="W203" s="18"/>
      <c r="X203" s="18"/>
      <c r="Y203" s="18"/>
      <c r="Z203" s="18"/>
      <c r="AA203" s="18"/>
      <c r="AB203" s="18"/>
      <c r="AC203" s="23" t="s">
        <v>812</v>
      </c>
      <c r="AD203" s="128" t="n">
        <v>14</v>
      </c>
      <c r="AE203" s="128"/>
      <c r="AF203" s="128" t="n">
        <v>90</v>
      </c>
      <c r="AG203" s="128" t="n">
        <v>30</v>
      </c>
      <c r="AH203" s="128"/>
      <c r="AI203" s="147" t="s">
        <v>813</v>
      </c>
      <c r="AJ203" s="128"/>
      <c r="AK203" s="128"/>
      <c r="AL203" s="147"/>
      <c r="AM203" s="131"/>
      <c r="AN203" s="128"/>
      <c r="AO203" s="131"/>
      <c r="AP203" s="131"/>
      <c r="AQ203" s="131"/>
      <c r="AR203" s="131"/>
      <c r="AS203" s="131"/>
      <c r="AT203" s="131"/>
      <c r="AU203" s="131"/>
      <c r="AV203" s="131"/>
      <c r="AW203" s="131"/>
      <c r="AX203" s="131"/>
      <c r="AY203" s="131"/>
      <c r="AZ203" s="131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128" t="n">
        <v>10</v>
      </c>
      <c r="BP203" s="128" t="n">
        <v>1</v>
      </c>
      <c r="BQ203" s="131" t="s">
        <v>383</v>
      </c>
      <c r="BR203" s="131" t="s">
        <v>574</v>
      </c>
      <c r="BS203" s="131" t="s">
        <v>467</v>
      </c>
      <c r="BT203" s="131" t="s">
        <v>468</v>
      </c>
      <c r="BU203" s="131" t="s">
        <v>380</v>
      </c>
      <c r="BV203" s="128" t="n">
        <v>10</v>
      </c>
      <c r="BW203" s="128" t="n">
        <v>1</v>
      </c>
      <c r="BX203" s="131" t="s">
        <v>399</v>
      </c>
      <c r="BY203" s="131" t="s">
        <v>615</v>
      </c>
      <c r="BZ203" s="131" t="s">
        <v>380</v>
      </c>
      <c r="CA203" s="131" t="s">
        <v>596</v>
      </c>
      <c r="CB203" s="131" t="s">
        <v>597</v>
      </c>
      <c r="CC203" s="131"/>
      <c r="CD203" s="128"/>
      <c r="CE203" s="131"/>
      <c r="CF203" s="131"/>
      <c r="CG203" s="131"/>
      <c r="CH203" s="131"/>
      <c r="CI203" s="131"/>
      <c r="CJ203" s="131"/>
      <c r="CK203" s="131"/>
      <c r="CL203" s="131"/>
      <c r="CM203" s="131"/>
      <c r="CN203" s="131"/>
      <c r="CO203" s="131"/>
      <c r="CP203" s="131"/>
      <c r="CQ203" s="52"/>
      <c r="CR203" s="52"/>
      <c r="CS203" s="52"/>
      <c r="CT203" s="52"/>
      <c r="CU203" s="52"/>
      <c r="CV203" s="52"/>
      <c r="CW203" s="52"/>
      <c r="CX203" s="52"/>
      <c r="CY203" s="52"/>
      <c r="CZ203" s="52"/>
      <c r="DA203" s="52"/>
      <c r="DB203" s="52"/>
      <c r="DC203" s="52"/>
      <c r="DD203" s="52"/>
      <c r="DE203" s="128" t="n">
        <v>10</v>
      </c>
      <c r="DF203" s="128" t="n">
        <v>2</v>
      </c>
      <c r="DG203" s="131" t="s">
        <v>381</v>
      </c>
      <c r="DH203" s="131" t="s">
        <v>382</v>
      </c>
      <c r="DI203" s="131" t="s">
        <v>383</v>
      </c>
      <c r="DJ203" s="131" t="s">
        <v>384</v>
      </c>
      <c r="DK203" s="131" t="s">
        <v>399</v>
      </c>
      <c r="DL203" s="131"/>
      <c r="DM203" s="131"/>
      <c r="DN203" s="131"/>
      <c r="DO203" s="131"/>
      <c r="DP203" s="131"/>
      <c r="DQ203" s="131"/>
      <c r="DR203" s="131"/>
      <c r="DS203" s="131"/>
      <c r="DT203" s="131"/>
      <c r="DU203" s="131"/>
      <c r="DV203" s="131"/>
      <c r="DW203" s="131"/>
      <c r="DX203" s="131"/>
      <c r="DY203" s="131"/>
      <c r="DZ203" s="131"/>
      <c r="EA203" s="131"/>
      <c r="EB203" s="131"/>
      <c r="EC203" s="131"/>
      <c r="ED203" s="131"/>
      <c r="EE203" s="131"/>
      <c r="EF203" s="131"/>
      <c r="EG203" s="131"/>
      <c r="EH203" s="131"/>
      <c r="EI203" s="131"/>
      <c r="EJ203" s="131"/>
      <c r="EK203" s="131"/>
      <c r="EL203" s="131"/>
      <c r="EM203" s="131"/>
      <c r="EN203" s="128" t="n">
        <v>10</v>
      </c>
      <c r="EO203" s="128" t="n">
        <v>2</v>
      </c>
      <c r="EP203" s="131" t="s">
        <v>383</v>
      </c>
      <c r="EQ203" s="131" t="s">
        <v>574</v>
      </c>
      <c r="ER203" s="131" t="s">
        <v>467</v>
      </c>
      <c r="ES203" s="131" t="s">
        <v>468</v>
      </c>
      <c r="ET203" s="131" t="s">
        <v>380</v>
      </c>
      <c r="EU203" s="131"/>
      <c r="EV203" s="131"/>
      <c r="EW203" s="131"/>
      <c r="EX203" s="131"/>
      <c r="EY203" s="131"/>
      <c r="EZ203" s="131"/>
      <c r="FA203" s="131"/>
      <c r="FB203" s="128" t="n">
        <v>10</v>
      </c>
      <c r="FC203" s="128" t="n">
        <v>2</v>
      </c>
      <c r="FD203" s="131" t="s">
        <v>572</v>
      </c>
      <c r="FE203" s="131" t="s">
        <v>383</v>
      </c>
      <c r="FF203" s="131" t="s">
        <v>573</v>
      </c>
      <c r="FG203" s="131" t="s">
        <v>574</v>
      </c>
      <c r="FH203" s="131" t="s">
        <v>378</v>
      </c>
      <c r="FI203" s="131"/>
      <c r="FJ203" s="131"/>
      <c r="FK203" s="131"/>
      <c r="FL203" s="131"/>
      <c r="FM203" s="131"/>
      <c r="FN203" s="131"/>
      <c r="FO203" s="131"/>
      <c r="FP203" s="131"/>
      <c r="FQ203" s="131"/>
      <c r="FR203" s="131"/>
      <c r="FS203" s="131"/>
      <c r="FT203" s="131"/>
      <c r="FU203" s="131"/>
      <c r="FV203" s="131"/>
      <c r="FW203" s="131"/>
      <c r="FX203" s="131"/>
      <c r="FY203" s="131"/>
      <c r="FZ203" s="131"/>
      <c r="GA203" s="131"/>
      <c r="GB203" s="131"/>
      <c r="GC203" s="131"/>
      <c r="GD203" s="128" t="n">
        <v>10</v>
      </c>
      <c r="GE203" s="128" t="n">
        <v>1</v>
      </c>
      <c r="GF203" s="131" t="s">
        <v>381</v>
      </c>
      <c r="GG203" s="131" t="s">
        <v>382</v>
      </c>
      <c r="GH203" s="131" t="s">
        <v>383</v>
      </c>
      <c r="GI203" s="131" t="s">
        <v>384</v>
      </c>
      <c r="GJ203" s="131" t="s">
        <v>399</v>
      </c>
      <c r="GK203" s="131"/>
      <c r="GL203" s="131"/>
      <c r="GM203" s="131"/>
      <c r="GN203" s="131"/>
      <c r="GO203" s="131"/>
      <c r="GP203" s="131"/>
      <c r="GQ203" s="131"/>
      <c r="GR203" s="131"/>
      <c r="GS203" s="131"/>
      <c r="GT203" s="131"/>
      <c r="GU203" s="131"/>
      <c r="GV203" s="131"/>
      <c r="GW203" s="131"/>
      <c r="GX203" s="131"/>
      <c r="GY203" s="131"/>
      <c r="GZ203" s="131"/>
      <c r="HA203" s="131"/>
      <c r="HB203" s="131"/>
      <c r="HC203" s="131"/>
      <c r="HD203" s="131"/>
      <c r="HE203" s="131"/>
      <c r="HF203" s="52"/>
      <c r="HG203" s="52"/>
      <c r="HH203" s="52"/>
      <c r="HI203" s="52"/>
      <c r="HJ203" s="52"/>
      <c r="HK203" s="52"/>
      <c r="HL203" s="52"/>
      <c r="HM203" s="52"/>
      <c r="HN203" s="52"/>
      <c r="HO203" s="52"/>
      <c r="HP203" s="52"/>
      <c r="HQ203" s="52"/>
      <c r="HR203" s="52"/>
      <c r="HS203" s="52"/>
      <c r="HT203" s="131"/>
      <c r="HU203" s="128"/>
      <c r="HV203" s="131"/>
      <c r="HW203" s="131"/>
      <c r="HX203" s="131"/>
      <c r="HY203" s="131"/>
      <c r="HZ203" s="131"/>
    </row>
    <row r="204" customFormat="false" ht="12.8" hidden="true" customHeight="false" outlineLevel="0" collapsed="false">
      <c r="A204" s="17" t="s">
        <v>337</v>
      </c>
      <c r="B204" s="17" t="s">
        <v>81</v>
      </c>
      <c r="C204" s="17" t="s">
        <v>342</v>
      </c>
      <c r="D204" s="17" t="s">
        <v>343</v>
      </c>
      <c r="E204" s="130" t="s">
        <v>89</v>
      </c>
      <c r="F204" s="17" t="s">
        <v>153</v>
      </c>
      <c r="G204" s="154" t="s">
        <v>811</v>
      </c>
      <c r="H204" s="148" t="s">
        <v>92</v>
      </c>
      <c r="I204" s="150"/>
      <c r="J204" s="150"/>
      <c r="K204" s="39" t="n">
        <v>200</v>
      </c>
      <c r="L204" s="18" t="n">
        <v>7</v>
      </c>
      <c r="M204" s="18" t="n">
        <f aca="false">IF(AD204,1,0)+IF(AK204,1,0)+AN204+AU204+BB204+BI204+BP204+BW204+CD204+CK204+CR204+CY204+DF204+DM204+DT204+EA204+EH204+EO204+EV204+FC204+FJ204+FQ204+FX204+GE204+GL204+GS204+GZ204+HG204+HN204+HU204</f>
        <v>0</v>
      </c>
      <c r="N204" s="131"/>
      <c r="O204" s="147" t="n">
        <v>1000</v>
      </c>
      <c r="P204" s="147" t="n">
        <v>0</v>
      </c>
      <c r="Q204" s="147" t="n">
        <v>440</v>
      </c>
      <c r="R204" s="21" t="s">
        <v>46</v>
      </c>
      <c r="S204" s="18"/>
      <c r="T204" s="18"/>
      <c r="U204" s="18"/>
      <c r="V204" s="18"/>
      <c r="W204" s="18"/>
      <c r="X204" s="18"/>
      <c r="Y204" s="18"/>
      <c r="Z204" s="18"/>
      <c r="AA204" s="21" t="s">
        <v>541</v>
      </c>
      <c r="AB204" s="128"/>
      <c r="AC204" s="23" t="s">
        <v>814</v>
      </c>
      <c r="AD204" s="128" t="n">
        <v>15</v>
      </c>
      <c r="AE204" s="128"/>
      <c r="AF204" s="128" t="n">
        <v>30</v>
      </c>
      <c r="AG204" s="128" t="n">
        <v>40</v>
      </c>
      <c r="AH204" s="128"/>
      <c r="AI204" s="147" t="s">
        <v>815</v>
      </c>
      <c r="AJ204" s="128"/>
      <c r="AK204" s="128"/>
      <c r="AL204" s="147"/>
      <c r="AM204" s="131"/>
      <c r="AN204" s="128"/>
      <c r="AO204" s="131"/>
      <c r="AP204" s="131"/>
      <c r="AQ204" s="131"/>
      <c r="AR204" s="131"/>
      <c r="AS204" s="131"/>
      <c r="AT204" s="131"/>
      <c r="AU204" s="131"/>
      <c r="AV204" s="131"/>
      <c r="AW204" s="131"/>
      <c r="AX204" s="131"/>
      <c r="AY204" s="131"/>
      <c r="AZ204" s="131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128" t="n">
        <v>10</v>
      </c>
      <c r="BP204" s="128" t="n">
        <v>1</v>
      </c>
      <c r="BQ204" s="131" t="s">
        <v>383</v>
      </c>
      <c r="BR204" s="131" t="s">
        <v>574</v>
      </c>
      <c r="BS204" s="131" t="s">
        <v>467</v>
      </c>
      <c r="BT204" s="131" t="s">
        <v>468</v>
      </c>
      <c r="BU204" s="131" t="s">
        <v>380</v>
      </c>
      <c r="BV204" s="52"/>
      <c r="BW204" s="52"/>
      <c r="BX204" s="52"/>
      <c r="BY204" s="52"/>
      <c r="BZ204" s="52"/>
      <c r="CA204" s="52"/>
      <c r="CB204" s="52"/>
      <c r="CC204" s="128" t="n">
        <v>10</v>
      </c>
      <c r="CD204" s="128" t="n">
        <v>1</v>
      </c>
      <c r="CE204" s="131" t="s">
        <v>384</v>
      </c>
      <c r="CF204" s="131" t="s">
        <v>616</v>
      </c>
      <c r="CG204" s="131" t="s">
        <v>468</v>
      </c>
      <c r="CH204" s="131" t="s">
        <v>617</v>
      </c>
      <c r="CI204" s="131" t="s">
        <v>596</v>
      </c>
      <c r="CJ204" s="16"/>
      <c r="CK204" s="16"/>
      <c r="CL204" s="16"/>
      <c r="CM204" s="16"/>
      <c r="CN204" s="16"/>
      <c r="CO204" s="16"/>
      <c r="CP204" s="16"/>
      <c r="CQ204" s="52"/>
      <c r="CR204" s="52"/>
      <c r="CS204" s="52"/>
      <c r="CT204" s="52"/>
      <c r="CU204" s="52"/>
      <c r="CV204" s="52"/>
      <c r="CW204" s="52"/>
      <c r="CX204" s="52"/>
      <c r="CY204" s="52"/>
      <c r="CZ204" s="52"/>
      <c r="DA204" s="52"/>
      <c r="DB204" s="52"/>
      <c r="DC204" s="52"/>
      <c r="DD204" s="52"/>
      <c r="DE204" s="128" t="n">
        <v>10</v>
      </c>
      <c r="DF204" s="128" t="n">
        <v>2</v>
      </c>
      <c r="DG204" s="131" t="s">
        <v>381</v>
      </c>
      <c r="DH204" s="131" t="s">
        <v>382</v>
      </c>
      <c r="DI204" s="131" t="s">
        <v>383</v>
      </c>
      <c r="DJ204" s="131" t="s">
        <v>384</v>
      </c>
      <c r="DK204" s="131" t="s">
        <v>399</v>
      </c>
      <c r="DL204" s="52"/>
      <c r="DM204" s="52"/>
      <c r="DN204" s="52"/>
      <c r="DO204" s="52"/>
      <c r="DP204" s="52"/>
      <c r="DQ204" s="52"/>
      <c r="DR204" s="52"/>
      <c r="DS204" s="52"/>
      <c r="DT204" s="52"/>
      <c r="DU204" s="52"/>
      <c r="DV204" s="52"/>
      <c r="DW204" s="52"/>
      <c r="DX204" s="52"/>
      <c r="DY204" s="52"/>
      <c r="DZ204" s="52"/>
      <c r="EA204" s="52"/>
      <c r="EB204" s="52"/>
      <c r="EC204" s="52"/>
      <c r="ED204" s="52"/>
      <c r="EE204" s="52"/>
      <c r="EF204" s="52"/>
      <c r="EG204" s="52"/>
      <c r="EH204" s="52"/>
      <c r="EI204" s="52"/>
      <c r="EJ204" s="52"/>
      <c r="EK204" s="52"/>
      <c r="EL204" s="52"/>
      <c r="EM204" s="52"/>
      <c r="EN204" s="128" t="n">
        <v>10</v>
      </c>
      <c r="EO204" s="128" t="n">
        <v>2</v>
      </c>
      <c r="EP204" s="131" t="s">
        <v>383</v>
      </c>
      <c r="EQ204" s="131" t="s">
        <v>574</v>
      </c>
      <c r="ER204" s="131" t="s">
        <v>467</v>
      </c>
      <c r="ES204" s="131" t="s">
        <v>468</v>
      </c>
      <c r="ET204" s="131" t="s">
        <v>380</v>
      </c>
      <c r="EU204" s="52"/>
      <c r="EV204" s="52"/>
      <c r="EW204" s="52"/>
      <c r="EX204" s="52"/>
      <c r="EY204" s="52"/>
      <c r="EZ204" s="52"/>
      <c r="FA204" s="52"/>
      <c r="FB204" s="128" t="n">
        <v>10</v>
      </c>
      <c r="FC204" s="128" t="n">
        <v>2</v>
      </c>
      <c r="FD204" s="131" t="s">
        <v>572</v>
      </c>
      <c r="FE204" s="131" t="s">
        <v>383</v>
      </c>
      <c r="FF204" s="131" t="s">
        <v>573</v>
      </c>
      <c r="FG204" s="131" t="s">
        <v>574</v>
      </c>
      <c r="FH204" s="131" t="s">
        <v>378</v>
      </c>
      <c r="FI204" s="131"/>
      <c r="FJ204" s="131"/>
      <c r="FK204" s="131"/>
      <c r="FL204" s="131"/>
      <c r="FM204" s="131"/>
      <c r="FN204" s="131"/>
      <c r="FO204" s="131"/>
      <c r="FP204" s="52"/>
      <c r="FQ204" s="52"/>
      <c r="FR204" s="52"/>
      <c r="FS204" s="52"/>
      <c r="FT204" s="52"/>
      <c r="FU204" s="52"/>
      <c r="FV204" s="52"/>
      <c r="FW204" s="52"/>
      <c r="FX204" s="52"/>
      <c r="FY204" s="52"/>
      <c r="FZ204" s="52"/>
      <c r="GA204" s="52"/>
      <c r="GB204" s="52"/>
      <c r="GC204" s="52"/>
      <c r="GD204" s="128" t="n">
        <v>10</v>
      </c>
      <c r="GE204" s="128" t="n">
        <v>1</v>
      </c>
      <c r="GF204" s="131" t="s">
        <v>381</v>
      </c>
      <c r="GG204" s="131" t="s">
        <v>382</v>
      </c>
      <c r="GH204" s="131" t="s">
        <v>383</v>
      </c>
      <c r="GI204" s="131" t="s">
        <v>384</v>
      </c>
      <c r="GJ204" s="131" t="s">
        <v>399</v>
      </c>
      <c r="GK204" s="131"/>
      <c r="GL204" s="131"/>
      <c r="GM204" s="131"/>
      <c r="GN204" s="131"/>
      <c r="GO204" s="131"/>
      <c r="GP204" s="131"/>
      <c r="GQ204" s="131"/>
      <c r="GR204" s="52"/>
      <c r="GS204" s="52"/>
      <c r="GT204" s="52"/>
      <c r="GU204" s="52"/>
      <c r="GV204" s="52"/>
      <c r="GW204" s="52"/>
      <c r="GX204" s="52"/>
      <c r="GY204" s="52"/>
      <c r="GZ204" s="52"/>
      <c r="HA204" s="52"/>
      <c r="HB204" s="52"/>
      <c r="HC204" s="52"/>
      <c r="HD204" s="52"/>
      <c r="HE204" s="52"/>
      <c r="HF204" s="52"/>
      <c r="HG204" s="52"/>
      <c r="HH204" s="52"/>
      <c r="HI204" s="52"/>
      <c r="HJ204" s="52"/>
      <c r="HK204" s="52"/>
      <c r="HL204" s="52"/>
      <c r="HM204" s="52"/>
      <c r="HN204" s="52"/>
      <c r="HO204" s="52"/>
      <c r="HP204" s="52"/>
      <c r="HQ204" s="52"/>
      <c r="HR204" s="52"/>
      <c r="HS204" s="52"/>
      <c r="HT204" s="131"/>
      <c r="HU204" s="128"/>
      <c r="HV204" s="131"/>
      <c r="HW204" s="131"/>
      <c r="HX204" s="131"/>
      <c r="HY204" s="131"/>
      <c r="HZ204" s="131"/>
    </row>
    <row r="205" customFormat="false" ht="12.8" hidden="false" customHeight="false" outlineLevel="0" collapsed="false">
      <c r="A205" s="100"/>
      <c r="B205" s="100"/>
      <c r="C205" s="100"/>
      <c r="D205" s="100"/>
      <c r="E205" s="100"/>
      <c r="F205" s="100"/>
      <c r="G205" s="163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63"/>
      <c r="AJ205" s="100"/>
      <c r="AK205" s="100"/>
      <c r="AL205" s="163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  <c r="BB205" s="100"/>
      <c r="BC205" s="100"/>
      <c r="BD205" s="100"/>
      <c r="BE205" s="100"/>
      <c r="BF205" s="100"/>
      <c r="BG205" s="100"/>
      <c r="BH205" s="100"/>
      <c r="BI205" s="100"/>
      <c r="BJ205" s="100"/>
      <c r="BK205" s="100"/>
      <c r="BL205" s="100"/>
      <c r="BM205" s="100"/>
      <c r="BN205" s="100"/>
      <c r="BO205" s="100"/>
      <c r="BP205" s="100"/>
      <c r="BQ205" s="100"/>
      <c r="BR205" s="100"/>
      <c r="BS205" s="100"/>
      <c r="BT205" s="100"/>
      <c r="BU205" s="100"/>
      <c r="BV205" s="100"/>
      <c r="BW205" s="100"/>
      <c r="BX205" s="100"/>
      <c r="BY205" s="100"/>
      <c r="BZ205" s="100"/>
      <c r="CA205" s="100"/>
      <c r="CB205" s="100"/>
      <c r="CC205" s="100"/>
      <c r="CD205" s="100"/>
      <c r="CE205" s="100"/>
      <c r="CF205" s="100"/>
      <c r="CG205" s="100"/>
      <c r="CH205" s="100"/>
      <c r="CI205" s="100"/>
      <c r="CJ205" s="120"/>
      <c r="CK205" s="120"/>
      <c r="CL205" s="120"/>
      <c r="CM205" s="120"/>
      <c r="CN205" s="120"/>
      <c r="CO205" s="120"/>
      <c r="CP205" s="120"/>
      <c r="CQ205" s="100"/>
      <c r="CR205" s="100"/>
      <c r="CS205" s="100"/>
      <c r="CT205" s="100"/>
      <c r="CU205" s="100"/>
      <c r="CV205" s="100"/>
      <c r="CW205" s="100"/>
      <c r="CX205" s="100"/>
      <c r="CY205" s="100"/>
      <c r="CZ205" s="100"/>
      <c r="DA205" s="100"/>
      <c r="DB205" s="100"/>
      <c r="DC205" s="100"/>
      <c r="DD205" s="100"/>
      <c r="DE205" s="100"/>
      <c r="DF205" s="100"/>
      <c r="DG205" s="100"/>
      <c r="DH205" s="100"/>
      <c r="DI205" s="100"/>
      <c r="DJ205" s="100"/>
      <c r="DK205" s="100"/>
      <c r="DL205" s="100"/>
      <c r="DM205" s="100"/>
      <c r="DN205" s="100"/>
      <c r="DO205" s="100"/>
      <c r="DP205" s="100"/>
      <c r="DQ205" s="100"/>
      <c r="DR205" s="100"/>
      <c r="DS205" s="100"/>
      <c r="DT205" s="100"/>
      <c r="DU205" s="100"/>
      <c r="DV205" s="100"/>
      <c r="DW205" s="100"/>
      <c r="DX205" s="100"/>
      <c r="DY205" s="100"/>
      <c r="DZ205" s="100"/>
      <c r="EA205" s="100"/>
      <c r="EB205" s="100"/>
      <c r="EC205" s="100"/>
      <c r="ED205" s="100"/>
      <c r="EE205" s="100"/>
      <c r="EF205" s="100"/>
      <c r="EG205" s="100"/>
      <c r="EH205" s="100"/>
      <c r="EI205" s="100"/>
      <c r="EJ205" s="100"/>
      <c r="EK205" s="100"/>
      <c r="EL205" s="100"/>
      <c r="EM205" s="100"/>
      <c r="EN205" s="100"/>
      <c r="EO205" s="100"/>
      <c r="EP205" s="100"/>
      <c r="EQ205" s="100"/>
      <c r="ER205" s="100"/>
      <c r="ES205" s="100"/>
      <c r="ET205" s="100"/>
      <c r="EU205" s="100"/>
      <c r="EV205" s="100"/>
      <c r="EW205" s="100"/>
      <c r="EX205" s="100"/>
      <c r="EY205" s="100"/>
      <c r="EZ205" s="100"/>
      <c r="FA205" s="100"/>
      <c r="FB205" s="100"/>
      <c r="FC205" s="100"/>
      <c r="FD205" s="100"/>
      <c r="FE205" s="100"/>
      <c r="FF205" s="100"/>
      <c r="FG205" s="100"/>
      <c r="FH205" s="100"/>
      <c r="FI205" s="100"/>
      <c r="FJ205" s="100"/>
      <c r="FK205" s="100"/>
      <c r="FL205" s="100"/>
      <c r="FM205" s="100"/>
      <c r="FN205" s="100"/>
      <c r="FO205" s="100"/>
      <c r="FP205" s="100"/>
      <c r="FQ205" s="100"/>
      <c r="FR205" s="100"/>
      <c r="FS205" s="100"/>
      <c r="FT205" s="100"/>
      <c r="FU205" s="100"/>
      <c r="FV205" s="100"/>
      <c r="FW205" s="100"/>
      <c r="FX205" s="100"/>
      <c r="FY205" s="100"/>
      <c r="FZ205" s="100"/>
      <c r="GA205" s="100"/>
      <c r="GB205" s="100"/>
      <c r="GC205" s="100"/>
      <c r="GD205" s="100"/>
      <c r="GE205" s="100"/>
      <c r="GF205" s="100"/>
      <c r="GG205" s="100"/>
      <c r="GH205" s="100"/>
      <c r="GI205" s="100"/>
      <c r="GJ205" s="100"/>
      <c r="GK205" s="100"/>
      <c r="GL205" s="100"/>
      <c r="GM205" s="100"/>
      <c r="GN205" s="100"/>
      <c r="GO205" s="100"/>
      <c r="GP205" s="100"/>
      <c r="GQ205" s="100"/>
      <c r="GR205" s="100"/>
      <c r="GS205" s="100"/>
      <c r="GT205" s="100"/>
      <c r="GU205" s="100"/>
      <c r="GV205" s="100"/>
      <c r="GW205" s="100"/>
      <c r="GX205" s="100"/>
      <c r="GY205" s="100"/>
      <c r="GZ205" s="100"/>
      <c r="HA205" s="100"/>
      <c r="HB205" s="100"/>
      <c r="HC205" s="100"/>
      <c r="HD205" s="100"/>
      <c r="HE205" s="100"/>
      <c r="HF205" s="100"/>
      <c r="HG205" s="100"/>
      <c r="HH205" s="100"/>
      <c r="HI205" s="100"/>
      <c r="HJ205" s="100"/>
      <c r="HK205" s="100"/>
      <c r="HL205" s="100"/>
      <c r="HM205" s="100"/>
      <c r="HN205" s="100"/>
      <c r="HO205" s="100"/>
      <c r="HP205" s="100"/>
      <c r="HQ205" s="100"/>
      <c r="HR205" s="100"/>
      <c r="HS205" s="100"/>
      <c r="HT205" s="100"/>
      <c r="HU205" s="100"/>
      <c r="HV205" s="100"/>
      <c r="HW205" s="100"/>
      <c r="HX205" s="100"/>
      <c r="HY205" s="100"/>
      <c r="HZ205" s="100"/>
    </row>
    <row r="206" customFormat="false" ht="12.8" hidden="false" customHeight="false" outlineLevel="0" collapsed="false">
      <c r="A206" s="100"/>
      <c r="B206" s="100"/>
      <c r="C206" s="100"/>
      <c r="D206" s="100"/>
      <c r="E206" s="100"/>
      <c r="F206" s="100"/>
      <c r="G206" s="163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63"/>
      <c r="AJ206" s="100"/>
      <c r="AK206" s="100"/>
      <c r="AL206" s="163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  <c r="AW206" s="100"/>
      <c r="AX206" s="100"/>
      <c r="AY206" s="100"/>
      <c r="AZ206" s="100"/>
      <c r="BA206" s="100"/>
      <c r="BB206" s="100"/>
      <c r="BC206" s="100"/>
      <c r="BD206" s="100"/>
      <c r="BE206" s="100"/>
      <c r="BF206" s="100"/>
      <c r="BG206" s="100"/>
      <c r="BH206" s="100"/>
      <c r="BI206" s="100"/>
      <c r="BJ206" s="100"/>
      <c r="BK206" s="100"/>
      <c r="BL206" s="100"/>
      <c r="BM206" s="100"/>
      <c r="BN206" s="100"/>
      <c r="BO206" s="100"/>
      <c r="BP206" s="100"/>
      <c r="BQ206" s="100"/>
      <c r="BR206" s="100"/>
      <c r="BS206" s="100"/>
      <c r="BT206" s="100"/>
      <c r="BU206" s="100"/>
      <c r="BV206" s="100"/>
      <c r="BW206" s="100"/>
      <c r="BX206" s="100"/>
      <c r="BY206" s="100"/>
      <c r="BZ206" s="100"/>
      <c r="CA206" s="100"/>
      <c r="CB206" s="100"/>
      <c r="CC206" s="100"/>
      <c r="CD206" s="100"/>
      <c r="CE206" s="100"/>
      <c r="CF206" s="100"/>
      <c r="CG206" s="100"/>
      <c r="CH206" s="100"/>
      <c r="CI206" s="100"/>
      <c r="CJ206" s="120"/>
      <c r="CK206" s="120"/>
      <c r="CL206" s="120"/>
      <c r="CM206" s="120"/>
      <c r="CN206" s="120"/>
      <c r="CO206" s="120"/>
      <c r="CP206" s="120"/>
      <c r="CQ206" s="100"/>
      <c r="CR206" s="100"/>
      <c r="CS206" s="100"/>
      <c r="CT206" s="100"/>
      <c r="CU206" s="100"/>
      <c r="CV206" s="100"/>
      <c r="CW206" s="100"/>
      <c r="CX206" s="100"/>
      <c r="CY206" s="100"/>
      <c r="CZ206" s="100"/>
      <c r="DA206" s="100"/>
      <c r="DB206" s="100"/>
      <c r="DC206" s="100"/>
      <c r="DD206" s="100"/>
      <c r="DE206" s="100"/>
      <c r="DF206" s="100"/>
      <c r="DG206" s="100"/>
      <c r="DH206" s="100"/>
      <c r="DI206" s="100"/>
      <c r="DJ206" s="100"/>
      <c r="DK206" s="100"/>
      <c r="DL206" s="100"/>
      <c r="DM206" s="100"/>
      <c r="DN206" s="100"/>
      <c r="DO206" s="100"/>
      <c r="DP206" s="100"/>
      <c r="DQ206" s="100"/>
      <c r="DR206" s="100"/>
      <c r="DS206" s="100"/>
      <c r="DT206" s="100"/>
      <c r="DU206" s="100"/>
      <c r="DV206" s="100"/>
      <c r="DW206" s="100"/>
      <c r="DX206" s="100"/>
      <c r="DY206" s="100"/>
      <c r="DZ206" s="100"/>
      <c r="EA206" s="100"/>
      <c r="EB206" s="100"/>
      <c r="EC206" s="100"/>
      <c r="ED206" s="100"/>
      <c r="EE206" s="100"/>
      <c r="EF206" s="100"/>
      <c r="EG206" s="100"/>
      <c r="EH206" s="100"/>
      <c r="EI206" s="100"/>
      <c r="EJ206" s="100"/>
      <c r="EK206" s="100"/>
      <c r="EL206" s="100"/>
      <c r="EM206" s="100"/>
      <c r="EN206" s="100"/>
      <c r="EO206" s="100"/>
      <c r="EP206" s="100"/>
      <c r="EQ206" s="100"/>
      <c r="ER206" s="100"/>
      <c r="ES206" s="100"/>
      <c r="ET206" s="100"/>
      <c r="EU206" s="100"/>
      <c r="EV206" s="100"/>
      <c r="EW206" s="100"/>
      <c r="EX206" s="100"/>
      <c r="EY206" s="100"/>
      <c r="EZ206" s="100"/>
      <c r="FA206" s="100"/>
      <c r="FB206" s="100"/>
      <c r="FC206" s="100"/>
      <c r="FD206" s="100"/>
      <c r="FE206" s="100"/>
      <c r="FF206" s="100"/>
      <c r="FG206" s="100"/>
      <c r="FH206" s="100"/>
      <c r="FI206" s="100"/>
      <c r="FJ206" s="100"/>
      <c r="FK206" s="100"/>
      <c r="FL206" s="100"/>
      <c r="FM206" s="100"/>
      <c r="FN206" s="100"/>
      <c r="FO206" s="100"/>
      <c r="FP206" s="100"/>
      <c r="FQ206" s="100"/>
      <c r="FR206" s="100"/>
      <c r="FS206" s="100"/>
      <c r="FT206" s="100"/>
      <c r="FU206" s="100"/>
      <c r="FV206" s="100"/>
      <c r="FW206" s="100"/>
      <c r="FX206" s="100"/>
      <c r="FY206" s="100"/>
      <c r="FZ206" s="100"/>
      <c r="GA206" s="100"/>
      <c r="GB206" s="100"/>
      <c r="GC206" s="100"/>
      <c r="GD206" s="100"/>
      <c r="GE206" s="100"/>
      <c r="GF206" s="100"/>
      <c r="GG206" s="100"/>
      <c r="GH206" s="100"/>
      <c r="GI206" s="100"/>
      <c r="GJ206" s="100"/>
      <c r="GK206" s="100"/>
      <c r="GL206" s="100"/>
      <c r="GM206" s="100"/>
      <c r="GN206" s="100"/>
      <c r="GO206" s="100"/>
      <c r="GP206" s="100"/>
      <c r="GQ206" s="100"/>
      <c r="GR206" s="100"/>
      <c r="GS206" s="100"/>
      <c r="GT206" s="100"/>
      <c r="GU206" s="100"/>
      <c r="GV206" s="100"/>
      <c r="GW206" s="100"/>
      <c r="GX206" s="100"/>
      <c r="GY206" s="100"/>
      <c r="GZ206" s="100"/>
      <c r="HA206" s="100"/>
      <c r="HB206" s="100"/>
      <c r="HC206" s="100"/>
      <c r="HD206" s="100"/>
      <c r="HE206" s="100"/>
      <c r="HF206" s="100"/>
      <c r="HG206" s="100"/>
      <c r="HH206" s="100"/>
      <c r="HI206" s="100"/>
      <c r="HJ206" s="100"/>
      <c r="HK206" s="100"/>
      <c r="HL206" s="100"/>
      <c r="HM206" s="100"/>
      <c r="HN206" s="100"/>
      <c r="HO206" s="100"/>
      <c r="HP206" s="100"/>
      <c r="HQ206" s="100"/>
      <c r="HR206" s="100"/>
      <c r="HS206" s="100"/>
      <c r="HT206" s="100"/>
      <c r="HU206" s="100"/>
      <c r="HV206" s="100"/>
      <c r="HW206" s="100"/>
      <c r="HX206" s="100"/>
      <c r="HY206" s="100"/>
      <c r="HZ206" s="100"/>
    </row>
    <row r="207" customFormat="false" ht="12.8" hidden="false" customHeight="false" outlineLevel="0" collapsed="false">
      <c r="A207" s="100"/>
      <c r="B207" s="100"/>
      <c r="C207" s="100"/>
      <c r="D207" s="100"/>
      <c r="E207" s="100"/>
      <c r="F207" s="100"/>
      <c r="G207" s="163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63"/>
      <c r="AJ207" s="100"/>
      <c r="AK207" s="100"/>
      <c r="AL207" s="163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  <c r="AW207" s="100"/>
      <c r="AX207" s="100"/>
      <c r="AY207" s="100"/>
      <c r="AZ207" s="100"/>
      <c r="BA207" s="100"/>
      <c r="BB207" s="100"/>
      <c r="BC207" s="100"/>
      <c r="BD207" s="100"/>
      <c r="BE207" s="100"/>
      <c r="BF207" s="100"/>
      <c r="BG207" s="100"/>
      <c r="BH207" s="100"/>
      <c r="BI207" s="100"/>
      <c r="BJ207" s="100"/>
      <c r="BK207" s="100"/>
      <c r="BL207" s="100"/>
      <c r="BM207" s="100"/>
      <c r="BN207" s="100"/>
      <c r="BO207" s="100"/>
      <c r="BP207" s="100"/>
      <c r="BQ207" s="100"/>
      <c r="BR207" s="100"/>
      <c r="BS207" s="100"/>
      <c r="BT207" s="100"/>
      <c r="BU207" s="100"/>
      <c r="BV207" s="100"/>
      <c r="BW207" s="100"/>
      <c r="BX207" s="100"/>
      <c r="BY207" s="100"/>
      <c r="BZ207" s="100"/>
      <c r="CA207" s="100"/>
      <c r="CB207" s="100"/>
      <c r="CC207" s="100"/>
      <c r="CD207" s="100"/>
      <c r="CE207" s="100"/>
      <c r="CF207" s="100"/>
      <c r="CG207" s="100"/>
      <c r="CH207" s="100"/>
      <c r="CI207" s="100"/>
      <c r="CJ207" s="120"/>
      <c r="CK207" s="120"/>
      <c r="CL207" s="120"/>
      <c r="CM207" s="120"/>
      <c r="CN207" s="120"/>
      <c r="CO207" s="120"/>
      <c r="CP207" s="120"/>
      <c r="CQ207" s="100"/>
      <c r="CR207" s="100"/>
      <c r="CS207" s="100"/>
      <c r="CT207" s="100"/>
      <c r="CU207" s="100"/>
      <c r="CV207" s="100"/>
      <c r="CW207" s="100"/>
      <c r="CX207" s="100"/>
      <c r="CY207" s="100"/>
      <c r="CZ207" s="100"/>
      <c r="DA207" s="100"/>
      <c r="DB207" s="100"/>
      <c r="DC207" s="100"/>
      <c r="DD207" s="100"/>
      <c r="DE207" s="100"/>
      <c r="DF207" s="100"/>
      <c r="DG207" s="100"/>
      <c r="DH207" s="100"/>
      <c r="DI207" s="100"/>
      <c r="DJ207" s="100"/>
      <c r="DK207" s="100"/>
      <c r="DL207" s="100"/>
      <c r="DM207" s="100"/>
      <c r="DN207" s="100"/>
      <c r="DO207" s="100"/>
      <c r="DP207" s="100"/>
      <c r="DQ207" s="100"/>
      <c r="DR207" s="100"/>
      <c r="DS207" s="100"/>
      <c r="DT207" s="100"/>
      <c r="DU207" s="100"/>
      <c r="DV207" s="100"/>
      <c r="DW207" s="100"/>
      <c r="DX207" s="100"/>
      <c r="DY207" s="100"/>
      <c r="DZ207" s="100"/>
      <c r="EA207" s="100"/>
      <c r="EB207" s="100"/>
      <c r="EC207" s="100"/>
      <c r="ED207" s="100"/>
      <c r="EE207" s="100"/>
      <c r="EF207" s="100"/>
      <c r="EG207" s="100"/>
      <c r="EH207" s="100"/>
      <c r="EI207" s="100"/>
      <c r="EJ207" s="100"/>
      <c r="EK207" s="100"/>
      <c r="EL207" s="100"/>
      <c r="EM207" s="100"/>
      <c r="EN207" s="100"/>
      <c r="EO207" s="100"/>
      <c r="EP207" s="100"/>
      <c r="EQ207" s="100"/>
      <c r="ER207" s="100"/>
      <c r="ES207" s="100"/>
      <c r="ET207" s="100"/>
      <c r="EU207" s="100"/>
      <c r="EV207" s="100"/>
      <c r="EW207" s="100"/>
      <c r="EX207" s="100"/>
      <c r="EY207" s="100"/>
      <c r="EZ207" s="100"/>
      <c r="FA207" s="100"/>
      <c r="FB207" s="100"/>
      <c r="FC207" s="100"/>
      <c r="FD207" s="100"/>
      <c r="FE207" s="100"/>
      <c r="FF207" s="100"/>
      <c r="FG207" s="100"/>
      <c r="FH207" s="100"/>
      <c r="FI207" s="100"/>
      <c r="FJ207" s="100"/>
      <c r="FK207" s="100"/>
      <c r="FL207" s="100"/>
      <c r="FM207" s="100"/>
      <c r="FN207" s="100"/>
      <c r="FO207" s="100"/>
      <c r="FP207" s="100"/>
      <c r="FQ207" s="100"/>
      <c r="FR207" s="100"/>
      <c r="FS207" s="100"/>
      <c r="FT207" s="100"/>
      <c r="FU207" s="100"/>
      <c r="FV207" s="100"/>
      <c r="FW207" s="100"/>
      <c r="FX207" s="100"/>
      <c r="FY207" s="100"/>
      <c r="FZ207" s="100"/>
      <c r="GA207" s="100"/>
      <c r="GB207" s="100"/>
      <c r="GC207" s="100"/>
      <c r="GD207" s="100"/>
      <c r="GE207" s="100"/>
      <c r="GF207" s="100"/>
      <c r="GG207" s="100"/>
      <c r="GH207" s="100"/>
      <c r="GI207" s="100"/>
      <c r="GJ207" s="100"/>
      <c r="GK207" s="100"/>
      <c r="GL207" s="100"/>
      <c r="GM207" s="100"/>
      <c r="GN207" s="100"/>
      <c r="GO207" s="100"/>
      <c r="GP207" s="100"/>
      <c r="GQ207" s="100"/>
      <c r="GR207" s="100"/>
      <c r="GS207" s="100"/>
      <c r="GT207" s="100"/>
      <c r="GU207" s="100"/>
      <c r="GV207" s="100"/>
      <c r="GW207" s="100"/>
      <c r="GX207" s="100"/>
      <c r="GY207" s="100"/>
      <c r="GZ207" s="100"/>
      <c r="HA207" s="100"/>
      <c r="HB207" s="100"/>
      <c r="HC207" s="100"/>
      <c r="HD207" s="100"/>
      <c r="HE207" s="100"/>
      <c r="HF207" s="100"/>
      <c r="HG207" s="100"/>
      <c r="HH207" s="100"/>
      <c r="HI207" s="100"/>
      <c r="HJ207" s="100"/>
      <c r="HK207" s="100"/>
      <c r="HL207" s="100"/>
      <c r="HM207" s="100"/>
      <c r="HN207" s="100"/>
      <c r="HO207" s="100"/>
      <c r="HP207" s="100"/>
      <c r="HQ207" s="100"/>
      <c r="HR207" s="100"/>
      <c r="HS207" s="100"/>
      <c r="HT207" s="100"/>
      <c r="HU207" s="100"/>
      <c r="HV207" s="100"/>
      <c r="HW207" s="100"/>
      <c r="HX207" s="100"/>
      <c r="HY207" s="100"/>
      <c r="HZ207" s="100"/>
    </row>
    <row r="208" customFormat="false" ht="12.8" hidden="false" customHeight="false" outlineLevel="0" collapsed="false">
      <c r="A208" s="100"/>
      <c r="B208" s="100"/>
      <c r="C208" s="100"/>
      <c r="D208" s="100"/>
      <c r="E208" s="100"/>
      <c r="F208" s="100"/>
      <c r="G208" s="163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63"/>
      <c r="AJ208" s="100"/>
      <c r="AK208" s="100"/>
      <c r="AL208" s="163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  <c r="AW208" s="100"/>
      <c r="AX208" s="100"/>
      <c r="AY208" s="100"/>
      <c r="AZ208" s="100"/>
      <c r="BA208" s="100"/>
      <c r="BB208" s="100"/>
      <c r="BC208" s="100"/>
      <c r="BD208" s="100"/>
      <c r="BE208" s="100"/>
      <c r="BF208" s="100"/>
      <c r="BG208" s="100"/>
      <c r="BH208" s="100"/>
      <c r="BI208" s="100"/>
      <c r="BJ208" s="100"/>
      <c r="BK208" s="100"/>
      <c r="BL208" s="100"/>
      <c r="BM208" s="100"/>
      <c r="BN208" s="100"/>
      <c r="BO208" s="100"/>
      <c r="BP208" s="100"/>
      <c r="BQ208" s="100"/>
      <c r="BR208" s="100"/>
      <c r="BS208" s="100"/>
      <c r="BT208" s="100"/>
      <c r="BU208" s="100"/>
      <c r="BV208" s="100"/>
      <c r="BW208" s="100"/>
      <c r="BX208" s="100"/>
      <c r="BY208" s="100"/>
      <c r="BZ208" s="100"/>
      <c r="CA208" s="100"/>
      <c r="CB208" s="100"/>
      <c r="CC208" s="100"/>
      <c r="CD208" s="100"/>
      <c r="CE208" s="100"/>
      <c r="CF208" s="100"/>
      <c r="CG208" s="100"/>
      <c r="CH208" s="100"/>
      <c r="CI208" s="100"/>
      <c r="CJ208" s="120"/>
      <c r="CK208" s="120"/>
      <c r="CL208" s="120"/>
      <c r="CM208" s="120"/>
      <c r="CN208" s="120"/>
      <c r="CO208" s="120"/>
      <c r="CP208" s="120"/>
      <c r="CQ208" s="100"/>
      <c r="CR208" s="100"/>
      <c r="CS208" s="100"/>
      <c r="CT208" s="100"/>
      <c r="CU208" s="100"/>
      <c r="CV208" s="100"/>
      <c r="CW208" s="100"/>
      <c r="CX208" s="100"/>
      <c r="CY208" s="100"/>
      <c r="CZ208" s="100"/>
      <c r="DA208" s="100"/>
      <c r="DB208" s="100"/>
      <c r="DC208" s="100"/>
      <c r="DD208" s="100"/>
      <c r="DE208" s="100"/>
      <c r="DF208" s="100"/>
      <c r="DG208" s="100"/>
      <c r="DH208" s="100"/>
      <c r="DI208" s="100"/>
      <c r="DJ208" s="100"/>
      <c r="DK208" s="100"/>
      <c r="DL208" s="100"/>
      <c r="DM208" s="100"/>
      <c r="DN208" s="100"/>
      <c r="DO208" s="100"/>
      <c r="DP208" s="100"/>
      <c r="DQ208" s="100"/>
      <c r="DR208" s="100"/>
      <c r="DS208" s="100"/>
      <c r="DT208" s="100"/>
      <c r="DU208" s="100"/>
      <c r="DV208" s="100"/>
      <c r="DW208" s="100"/>
      <c r="DX208" s="100"/>
      <c r="DY208" s="100"/>
      <c r="DZ208" s="100"/>
      <c r="EA208" s="100"/>
      <c r="EB208" s="100"/>
      <c r="EC208" s="100"/>
      <c r="ED208" s="100"/>
      <c r="EE208" s="100"/>
      <c r="EF208" s="100"/>
      <c r="EG208" s="100"/>
      <c r="EH208" s="100"/>
      <c r="EI208" s="100"/>
      <c r="EJ208" s="100"/>
      <c r="EK208" s="100"/>
      <c r="EL208" s="100"/>
      <c r="EM208" s="100"/>
      <c r="EN208" s="100"/>
      <c r="EO208" s="100"/>
      <c r="EP208" s="100"/>
      <c r="EQ208" s="100"/>
      <c r="ER208" s="100"/>
      <c r="ES208" s="100"/>
      <c r="ET208" s="100"/>
      <c r="EU208" s="100"/>
      <c r="EV208" s="100"/>
      <c r="EW208" s="100"/>
      <c r="EX208" s="100"/>
      <c r="EY208" s="100"/>
      <c r="EZ208" s="100"/>
      <c r="FA208" s="100"/>
      <c r="FB208" s="100"/>
      <c r="FC208" s="100"/>
      <c r="FD208" s="100"/>
      <c r="FE208" s="100"/>
      <c r="FF208" s="100"/>
      <c r="FG208" s="100"/>
      <c r="FH208" s="100"/>
      <c r="FI208" s="100"/>
      <c r="FJ208" s="100"/>
      <c r="FK208" s="100"/>
      <c r="FL208" s="100"/>
      <c r="FM208" s="100"/>
      <c r="FN208" s="100"/>
      <c r="FO208" s="100"/>
      <c r="FP208" s="100"/>
      <c r="FQ208" s="100"/>
      <c r="FR208" s="100"/>
      <c r="FS208" s="100"/>
      <c r="FT208" s="100"/>
      <c r="FU208" s="100"/>
      <c r="FV208" s="100"/>
      <c r="FW208" s="100"/>
      <c r="FX208" s="100"/>
      <c r="FY208" s="100"/>
      <c r="FZ208" s="100"/>
      <c r="GA208" s="100"/>
      <c r="GB208" s="100"/>
      <c r="GC208" s="100"/>
      <c r="GD208" s="100"/>
      <c r="GE208" s="100"/>
      <c r="GF208" s="100"/>
      <c r="GG208" s="100"/>
      <c r="GH208" s="100"/>
      <c r="GI208" s="100"/>
      <c r="GJ208" s="100"/>
      <c r="GK208" s="100"/>
      <c r="GL208" s="100"/>
      <c r="GM208" s="100"/>
      <c r="GN208" s="100"/>
      <c r="GO208" s="100"/>
      <c r="GP208" s="100"/>
      <c r="GQ208" s="100"/>
      <c r="GR208" s="100"/>
      <c r="GS208" s="100"/>
      <c r="GT208" s="100"/>
      <c r="GU208" s="100"/>
      <c r="GV208" s="100"/>
      <c r="GW208" s="100"/>
      <c r="GX208" s="100"/>
      <c r="GY208" s="100"/>
      <c r="GZ208" s="100"/>
      <c r="HA208" s="100"/>
      <c r="HB208" s="100"/>
      <c r="HC208" s="100"/>
      <c r="HD208" s="100"/>
      <c r="HE208" s="100"/>
      <c r="HF208" s="100"/>
      <c r="HG208" s="100"/>
      <c r="HH208" s="100"/>
      <c r="HI208" s="100"/>
      <c r="HJ208" s="100"/>
      <c r="HK208" s="100"/>
      <c r="HL208" s="100"/>
      <c r="HM208" s="100"/>
      <c r="HN208" s="100"/>
      <c r="HO208" s="100"/>
      <c r="HP208" s="100"/>
      <c r="HQ208" s="100"/>
      <c r="HR208" s="100"/>
      <c r="HS208" s="100"/>
      <c r="HT208" s="100"/>
      <c r="HU208" s="100"/>
      <c r="HV208" s="100"/>
      <c r="HW208" s="100"/>
      <c r="HX208" s="100"/>
      <c r="HY208" s="100"/>
      <c r="HZ208" s="100"/>
    </row>
    <row r="209" customFormat="false" ht="12.8" hidden="false" customHeight="false" outlineLevel="0" collapsed="false">
      <c r="A209" s="100"/>
      <c r="B209" s="100"/>
      <c r="C209" s="100"/>
      <c r="D209" s="100"/>
      <c r="E209" s="100"/>
      <c r="F209" s="100"/>
      <c r="G209" s="163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63"/>
      <c r="AJ209" s="100"/>
      <c r="AK209" s="100"/>
      <c r="AL209" s="163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100"/>
      <c r="AY209" s="100"/>
      <c r="AZ209" s="100"/>
      <c r="BA209" s="100"/>
      <c r="BB209" s="100"/>
      <c r="BC209" s="100"/>
      <c r="BD209" s="100"/>
      <c r="BE209" s="100"/>
      <c r="BF209" s="100"/>
      <c r="BG209" s="100"/>
      <c r="BH209" s="100"/>
      <c r="BI209" s="100"/>
      <c r="BJ209" s="100"/>
      <c r="BK209" s="100"/>
      <c r="BL209" s="100"/>
      <c r="BM209" s="100"/>
      <c r="BN209" s="100"/>
      <c r="BO209" s="100"/>
      <c r="BP209" s="100"/>
      <c r="BQ209" s="100"/>
      <c r="BR209" s="100"/>
      <c r="BS209" s="100"/>
      <c r="BT209" s="100"/>
      <c r="BU209" s="100"/>
      <c r="BV209" s="100"/>
      <c r="BW209" s="100"/>
      <c r="BX209" s="100"/>
      <c r="BY209" s="100"/>
      <c r="BZ209" s="100"/>
      <c r="CA209" s="100"/>
      <c r="CB209" s="100"/>
      <c r="CC209" s="100"/>
      <c r="CD209" s="100"/>
      <c r="CE209" s="100"/>
      <c r="CF209" s="100"/>
      <c r="CG209" s="100"/>
      <c r="CH209" s="100"/>
      <c r="CI209" s="100"/>
      <c r="CJ209" s="120"/>
      <c r="CK209" s="120"/>
      <c r="CL209" s="120"/>
      <c r="CM209" s="120"/>
      <c r="CN209" s="120"/>
      <c r="CO209" s="120"/>
      <c r="CP209" s="120"/>
      <c r="CQ209" s="100"/>
      <c r="CR209" s="100"/>
      <c r="CS209" s="100"/>
      <c r="CT209" s="100"/>
      <c r="CU209" s="100"/>
      <c r="CV209" s="100"/>
      <c r="CW209" s="100"/>
      <c r="CX209" s="100"/>
      <c r="CY209" s="100"/>
      <c r="CZ209" s="100"/>
      <c r="DA209" s="100"/>
      <c r="DB209" s="100"/>
      <c r="DC209" s="100"/>
      <c r="DD209" s="100"/>
      <c r="DE209" s="100"/>
      <c r="DF209" s="100"/>
      <c r="DG209" s="100"/>
      <c r="DH209" s="100"/>
      <c r="DI209" s="100"/>
      <c r="DJ209" s="100"/>
      <c r="DK209" s="100"/>
      <c r="DL209" s="100"/>
      <c r="DM209" s="100"/>
      <c r="DN209" s="100"/>
      <c r="DO209" s="100"/>
      <c r="DP209" s="100"/>
      <c r="DQ209" s="100"/>
      <c r="DR209" s="100"/>
      <c r="DS209" s="100"/>
      <c r="DT209" s="100"/>
      <c r="DU209" s="100"/>
      <c r="DV209" s="100"/>
      <c r="DW209" s="100"/>
      <c r="DX209" s="100"/>
      <c r="DY209" s="100"/>
      <c r="DZ209" s="100"/>
      <c r="EA209" s="100"/>
      <c r="EB209" s="100"/>
      <c r="EC209" s="100"/>
      <c r="ED209" s="100"/>
      <c r="EE209" s="100"/>
      <c r="EF209" s="100"/>
      <c r="EG209" s="100"/>
      <c r="EH209" s="100"/>
      <c r="EI209" s="100"/>
      <c r="EJ209" s="100"/>
      <c r="EK209" s="100"/>
      <c r="EL209" s="100"/>
      <c r="EM209" s="100"/>
      <c r="EN209" s="100"/>
      <c r="EO209" s="100"/>
      <c r="EP209" s="100"/>
      <c r="EQ209" s="100"/>
      <c r="ER209" s="100"/>
      <c r="ES209" s="100"/>
      <c r="ET209" s="100"/>
      <c r="EU209" s="100"/>
      <c r="EV209" s="100"/>
      <c r="EW209" s="100"/>
      <c r="EX209" s="100"/>
      <c r="EY209" s="100"/>
      <c r="EZ209" s="100"/>
      <c r="FA209" s="100"/>
      <c r="FB209" s="100"/>
      <c r="FC209" s="100"/>
      <c r="FD209" s="100"/>
      <c r="FE209" s="100"/>
      <c r="FF209" s="100"/>
      <c r="FG209" s="100"/>
      <c r="FH209" s="100"/>
      <c r="FI209" s="100"/>
      <c r="FJ209" s="100"/>
      <c r="FK209" s="100"/>
      <c r="FL209" s="100"/>
      <c r="FM209" s="100"/>
      <c r="FN209" s="100"/>
      <c r="FO209" s="100"/>
      <c r="FP209" s="100"/>
      <c r="FQ209" s="100"/>
      <c r="FR209" s="100"/>
      <c r="FS209" s="100"/>
      <c r="FT209" s="100"/>
      <c r="FU209" s="100"/>
      <c r="FV209" s="100"/>
      <c r="FW209" s="100"/>
      <c r="FX209" s="100"/>
      <c r="FY209" s="100"/>
      <c r="FZ209" s="100"/>
      <c r="GA209" s="100"/>
      <c r="GB209" s="100"/>
      <c r="GC209" s="100"/>
      <c r="GD209" s="100"/>
      <c r="GE209" s="100"/>
      <c r="GF209" s="100"/>
      <c r="GG209" s="100"/>
      <c r="GH209" s="100"/>
      <c r="GI209" s="100"/>
      <c r="GJ209" s="100"/>
      <c r="GK209" s="100"/>
      <c r="GL209" s="100"/>
      <c r="GM209" s="100"/>
      <c r="GN209" s="100"/>
      <c r="GO209" s="100"/>
      <c r="GP209" s="100"/>
      <c r="GQ209" s="100"/>
      <c r="GR209" s="100"/>
      <c r="GS209" s="100"/>
      <c r="GT209" s="100"/>
      <c r="GU209" s="100"/>
      <c r="GV209" s="100"/>
      <c r="GW209" s="100"/>
      <c r="GX209" s="100"/>
      <c r="GY209" s="100"/>
      <c r="GZ209" s="100"/>
      <c r="HA209" s="100"/>
      <c r="HB209" s="100"/>
      <c r="HC209" s="100"/>
      <c r="HD209" s="100"/>
      <c r="HE209" s="100"/>
      <c r="HF209" s="100"/>
      <c r="HG209" s="100"/>
      <c r="HH209" s="100"/>
      <c r="HI209" s="100"/>
      <c r="HJ209" s="100"/>
      <c r="HK209" s="100"/>
      <c r="HL209" s="100"/>
      <c r="HM209" s="100"/>
      <c r="HN209" s="100"/>
      <c r="HO209" s="100"/>
      <c r="HP209" s="100"/>
      <c r="HQ209" s="100"/>
      <c r="HR209" s="100"/>
      <c r="HS209" s="100"/>
      <c r="HT209" s="100"/>
      <c r="HU209" s="100"/>
      <c r="HV209" s="100"/>
      <c r="HW209" s="100"/>
      <c r="HX209" s="100"/>
      <c r="HY209" s="100"/>
      <c r="HZ209" s="100"/>
    </row>
    <row r="210" customFormat="false" ht="12.8" hidden="false" customHeight="false" outlineLevel="0" collapsed="false">
      <c r="A210" s="100"/>
      <c r="B210" s="100"/>
      <c r="C210" s="100"/>
      <c r="D210" s="100"/>
      <c r="E210" s="100"/>
      <c r="F210" s="100"/>
      <c r="G210" s="163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63"/>
      <c r="AJ210" s="100"/>
      <c r="AK210" s="100"/>
      <c r="AL210" s="163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  <c r="AW210" s="100"/>
      <c r="AX210" s="100"/>
      <c r="AY210" s="100"/>
      <c r="AZ210" s="100"/>
      <c r="BA210" s="100"/>
      <c r="BB210" s="100"/>
      <c r="BC210" s="100"/>
      <c r="BD210" s="100"/>
      <c r="BE210" s="100"/>
      <c r="BF210" s="100"/>
      <c r="BG210" s="100"/>
      <c r="BH210" s="100"/>
      <c r="BI210" s="100"/>
      <c r="BJ210" s="100"/>
      <c r="BK210" s="100"/>
      <c r="BL210" s="100"/>
      <c r="BM210" s="100"/>
      <c r="BN210" s="100"/>
      <c r="BO210" s="100"/>
      <c r="BP210" s="100"/>
      <c r="BQ210" s="100"/>
      <c r="BR210" s="100"/>
      <c r="BS210" s="100"/>
      <c r="BT210" s="100"/>
      <c r="BU210" s="100"/>
      <c r="BV210" s="100"/>
      <c r="BW210" s="100"/>
      <c r="BX210" s="100"/>
      <c r="BY210" s="100"/>
      <c r="BZ210" s="100"/>
      <c r="CA210" s="100"/>
      <c r="CB210" s="100"/>
      <c r="CC210" s="100"/>
      <c r="CD210" s="100"/>
      <c r="CE210" s="100"/>
      <c r="CF210" s="100"/>
      <c r="CG210" s="100"/>
      <c r="CH210" s="100"/>
      <c r="CI210" s="100"/>
      <c r="CJ210" s="120"/>
      <c r="CK210" s="120"/>
      <c r="CL210" s="120"/>
      <c r="CM210" s="120"/>
      <c r="CN210" s="120"/>
      <c r="CO210" s="120"/>
      <c r="CP210" s="120"/>
      <c r="CQ210" s="100"/>
      <c r="CR210" s="100"/>
      <c r="CS210" s="100"/>
      <c r="CT210" s="100"/>
      <c r="CU210" s="100"/>
      <c r="CV210" s="100"/>
      <c r="CW210" s="100"/>
      <c r="CX210" s="100"/>
      <c r="CY210" s="100"/>
      <c r="CZ210" s="100"/>
      <c r="DA210" s="100"/>
      <c r="DB210" s="100"/>
      <c r="DC210" s="100"/>
      <c r="DD210" s="100"/>
      <c r="DE210" s="100"/>
      <c r="DF210" s="100"/>
      <c r="DG210" s="100"/>
      <c r="DH210" s="100"/>
      <c r="DI210" s="100"/>
      <c r="DJ210" s="100"/>
      <c r="DK210" s="100"/>
      <c r="DL210" s="100"/>
      <c r="DM210" s="100"/>
      <c r="DN210" s="100"/>
      <c r="DO210" s="100"/>
      <c r="DP210" s="100"/>
      <c r="DQ210" s="100"/>
      <c r="DR210" s="100"/>
      <c r="DS210" s="100"/>
      <c r="DT210" s="100"/>
      <c r="DU210" s="100"/>
      <c r="DV210" s="100"/>
      <c r="DW210" s="100"/>
      <c r="DX210" s="100"/>
      <c r="DY210" s="100"/>
      <c r="DZ210" s="100"/>
      <c r="EA210" s="100"/>
      <c r="EB210" s="100"/>
      <c r="EC210" s="100"/>
      <c r="ED210" s="100"/>
      <c r="EE210" s="100"/>
      <c r="EF210" s="100"/>
      <c r="EG210" s="100"/>
      <c r="EH210" s="100"/>
      <c r="EI210" s="100"/>
      <c r="EJ210" s="100"/>
      <c r="EK210" s="100"/>
      <c r="EL210" s="100"/>
      <c r="EM210" s="100"/>
      <c r="EN210" s="100"/>
      <c r="EO210" s="100"/>
      <c r="EP210" s="100"/>
      <c r="EQ210" s="100"/>
      <c r="ER210" s="100"/>
      <c r="ES210" s="100"/>
      <c r="ET210" s="100"/>
      <c r="EU210" s="100"/>
      <c r="EV210" s="100"/>
      <c r="EW210" s="100"/>
      <c r="EX210" s="100"/>
      <c r="EY210" s="100"/>
      <c r="EZ210" s="100"/>
      <c r="FA210" s="100"/>
      <c r="FB210" s="100"/>
      <c r="FC210" s="100"/>
      <c r="FD210" s="100"/>
      <c r="FE210" s="100"/>
      <c r="FF210" s="100"/>
      <c r="FG210" s="100"/>
      <c r="FH210" s="100"/>
      <c r="FI210" s="100"/>
      <c r="FJ210" s="100"/>
      <c r="FK210" s="100"/>
      <c r="FL210" s="100"/>
      <c r="FM210" s="100"/>
      <c r="FN210" s="100"/>
      <c r="FO210" s="100"/>
      <c r="FP210" s="100"/>
      <c r="FQ210" s="100"/>
      <c r="FR210" s="100"/>
      <c r="FS210" s="100"/>
      <c r="FT210" s="100"/>
      <c r="FU210" s="100"/>
      <c r="FV210" s="100"/>
      <c r="FW210" s="100"/>
      <c r="FX210" s="100"/>
      <c r="FY210" s="100"/>
      <c r="FZ210" s="100"/>
      <c r="GA210" s="100"/>
      <c r="GB210" s="100"/>
      <c r="GC210" s="100"/>
      <c r="GD210" s="100"/>
      <c r="GE210" s="100"/>
      <c r="GF210" s="100"/>
      <c r="GG210" s="100"/>
      <c r="GH210" s="100"/>
      <c r="GI210" s="100"/>
      <c r="GJ210" s="100"/>
      <c r="GK210" s="100"/>
      <c r="GL210" s="100"/>
      <c r="GM210" s="100"/>
      <c r="GN210" s="100"/>
      <c r="GO210" s="100"/>
      <c r="GP210" s="100"/>
      <c r="GQ210" s="100"/>
      <c r="GR210" s="100"/>
      <c r="GS210" s="100"/>
      <c r="GT210" s="100"/>
      <c r="GU210" s="100"/>
      <c r="GV210" s="100"/>
      <c r="GW210" s="100"/>
      <c r="GX210" s="100"/>
      <c r="GY210" s="100"/>
      <c r="GZ210" s="100"/>
      <c r="HA210" s="100"/>
      <c r="HB210" s="100"/>
      <c r="HC210" s="100"/>
      <c r="HD210" s="100"/>
      <c r="HE210" s="100"/>
      <c r="HF210" s="100"/>
      <c r="HG210" s="100"/>
      <c r="HH210" s="100"/>
      <c r="HI210" s="100"/>
      <c r="HJ210" s="100"/>
      <c r="HK210" s="100"/>
      <c r="HL210" s="100"/>
      <c r="HM210" s="100"/>
      <c r="HN210" s="100"/>
      <c r="HO210" s="100"/>
      <c r="HP210" s="100"/>
      <c r="HQ210" s="100"/>
      <c r="HR210" s="100"/>
      <c r="HS210" s="100"/>
      <c r="HT210" s="100"/>
      <c r="HU210" s="100"/>
      <c r="HV210" s="100"/>
      <c r="HW210" s="100"/>
      <c r="HX210" s="100"/>
      <c r="HY210" s="100"/>
      <c r="HZ210" s="100"/>
    </row>
    <row r="211" customFormat="false" ht="12.8" hidden="false" customHeight="false" outlineLevel="0" collapsed="false">
      <c r="A211" s="100"/>
      <c r="B211" s="100"/>
      <c r="C211" s="100"/>
      <c r="D211" s="100"/>
      <c r="E211" s="100"/>
      <c r="F211" s="100"/>
      <c r="G211" s="163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63"/>
      <c r="AJ211" s="100"/>
      <c r="AK211" s="100"/>
      <c r="AL211" s="163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  <c r="AW211" s="100"/>
      <c r="AX211" s="100"/>
      <c r="AY211" s="100"/>
      <c r="AZ211" s="100"/>
      <c r="BA211" s="100"/>
      <c r="BB211" s="100"/>
      <c r="BC211" s="100"/>
      <c r="BD211" s="100"/>
      <c r="BE211" s="100"/>
      <c r="BF211" s="100"/>
      <c r="BG211" s="100"/>
      <c r="BH211" s="100"/>
      <c r="BI211" s="100"/>
      <c r="BJ211" s="100"/>
      <c r="BK211" s="100"/>
      <c r="BL211" s="100"/>
      <c r="BM211" s="100"/>
      <c r="BN211" s="100"/>
      <c r="BO211" s="100"/>
      <c r="BP211" s="100"/>
      <c r="BQ211" s="100"/>
      <c r="BR211" s="100"/>
      <c r="BS211" s="100"/>
      <c r="BT211" s="100"/>
      <c r="BU211" s="100"/>
      <c r="BV211" s="100"/>
      <c r="BW211" s="100"/>
      <c r="BX211" s="100"/>
      <c r="BY211" s="100"/>
      <c r="BZ211" s="100"/>
      <c r="CA211" s="100"/>
      <c r="CB211" s="100"/>
      <c r="CC211" s="100"/>
      <c r="CD211" s="100"/>
      <c r="CE211" s="100"/>
      <c r="CF211" s="100"/>
      <c r="CG211" s="100"/>
      <c r="CH211" s="100"/>
      <c r="CI211" s="100"/>
      <c r="CJ211" s="120"/>
      <c r="CK211" s="120"/>
      <c r="CL211" s="120"/>
      <c r="CM211" s="120"/>
      <c r="CN211" s="120"/>
      <c r="CO211" s="120"/>
      <c r="CP211" s="120"/>
      <c r="CQ211" s="100"/>
      <c r="CR211" s="100"/>
      <c r="CS211" s="100"/>
      <c r="CT211" s="100"/>
      <c r="CU211" s="100"/>
      <c r="CV211" s="100"/>
      <c r="CW211" s="100"/>
      <c r="CX211" s="100"/>
      <c r="CY211" s="100"/>
      <c r="CZ211" s="100"/>
      <c r="DA211" s="100"/>
      <c r="DB211" s="100"/>
      <c r="DC211" s="100"/>
      <c r="DD211" s="100"/>
      <c r="DE211" s="100"/>
      <c r="DF211" s="100"/>
      <c r="DG211" s="100"/>
      <c r="DH211" s="100"/>
      <c r="DI211" s="100"/>
      <c r="DJ211" s="100"/>
      <c r="DK211" s="100"/>
      <c r="DL211" s="100"/>
      <c r="DM211" s="100"/>
      <c r="DN211" s="100"/>
      <c r="DO211" s="100"/>
      <c r="DP211" s="100"/>
      <c r="DQ211" s="100"/>
      <c r="DR211" s="100"/>
      <c r="DS211" s="100"/>
      <c r="DT211" s="100"/>
      <c r="DU211" s="100"/>
      <c r="DV211" s="100"/>
      <c r="DW211" s="100"/>
      <c r="DX211" s="100"/>
      <c r="DY211" s="100"/>
      <c r="DZ211" s="100"/>
      <c r="EA211" s="100"/>
      <c r="EB211" s="100"/>
      <c r="EC211" s="100"/>
      <c r="ED211" s="100"/>
      <c r="EE211" s="100"/>
      <c r="EF211" s="100"/>
      <c r="EG211" s="100"/>
      <c r="EH211" s="100"/>
      <c r="EI211" s="100"/>
      <c r="EJ211" s="100"/>
      <c r="EK211" s="100"/>
      <c r="EL211" s="100"/>
      <c r="EM211" s="100"/>
      <c r="EN211" s="100"/>
      <c r="EO211" s="100"/>
      <c r="EP211" s="100"/>
      <c r="EQ211" s="100"/>
      <c r="ER211" s="100"/>
      <c r="ES211" s="100"/>
      <c r="ET211" s="100"/>
      <c r="EU211" s="100"/>
      <c r="EV211" s="100"/>
      <c r="EW211" s="100"/>
      <c r="EX211" s="100"/>
      <c r="EY211" s="100"/>
      <c r="EZ211" s="100"/>
      <c r="FA211" s="100"/>
      <c r="FB211" s="100"/>
      <c r="FC211" s="100"/>
      <c r="FD211" s="100"/>
      <c r="FE211" s="100"/>
      <c r="FF211" s="100"/>
      <c r="FG211" s="100"/>
      <c r="FH211" s="100"/>
      <c r="FI211" s="100"/>
      <c r="FJ211" s="100"/>
      <c r="FK211" s="100"/>
      <c r="FL211" s="100"/>
      <c r="FM211" s="100"/>
      <c r="FN211" s="100"/>
      <c r="FO211" s="100"/>
      <c r="FP211" s="100"/>
      <c r="FQ211" s="100"/>
      <c r="FR211" s="100"/>
      <c r="FS211" s="100"/>
      <c r="FT211" s="100"/>
      <c r="FU211" s="100"/>
      <c r="FV211" s="100"/>
      <c r="FW211" s="100"/>
      <c r="FX211" s="100"/>
      <c r="FY211" s="100"/>
      <c r="FZ211" s="100"/>
      <c r="GA211" s="100"/>
      <c r="GB211" s="100"/>
      <c r="GC211" s="100"/>
      <c r="GD211" s="100"/>
      <c r="GE211" s="100"/>
      <c r="GF211" s="100"/>
      <c r="GG211" s="100"/>
      <c r="GH211" s="100"/>
      <c r="GI211" s="100"/>
      <c r="GJ211" s="100"/>
      <c r="GK211" s="100"/>
      <c r="GL211" s="100"/>
      <c r="GM211" s="100"/>
      <c r="GN211" s="100"/>
      <c r="GO211" s="100"/>
      <c r="GP211" s="100"/>
      <c r="GQ211" s="100"/>
      <c r="GR211" s="100"/>
      <c r="GS211" s="100"/>
      <c r="GT211" s="100"/>
      <c r="GU211" s="100"/>
      <c r="GV211" s="100"/>
      <c r="GW211" s="100"/>
      <c r="GX211" s="100"/>
      <c r="GY211" s="100"/>
      <c r="GZ211" s="100"/>
      <c r="HA211" s="100"/>
      <c r="HB211" s="100"/>
      <c r="HC211" s="100"/>
      <c r="HD211" s="100"/>
      <c r="HE211" s="100"/>
      <c r="HF211" s="100"/>
      <c r="HG211" s="100"/>
      <c r="HH211" s="100"/>
      <c r="HI211" s="100"/>
      <c r="HJ211" s="100"/>
      <c r="HK211" s="100"/>
      <c r="HL211" s="100"/>
      <c r="HM211" s="100"/>
      <c r="HN211" s="100"/>
      <c r="HO211" s="100"/>
      <c r="HP211" s="100"/>
      <c r="HQ211" s="100"/>
      <c r="HR211" s="100"/>
      <c r="HS211" s="100"/>
      <c r="HT211" s="100"/>
      <c r="HU211" s="100"/>
      <c r="HV211" s="100"/>
      <c r="HW211" s="100"/>
      <c r="HX211" s="100"/>
      <c r="HY211" s="100"/>
      <c r="HZ211" s="100"/>
    </row>
    <row r="212" customFormat="false" ht="12.8" hidden="false" customHeight="false" outlineLevel="0" collapsed="false">
      <c r="A212" s="100"/>
      <c r="B212" s="100"/>
      <c r="C212" s="100"/>
      <c r="D212" s="100"/>
      <c r="E212" s="100"/>
      <c r="F212" s="100"/>
      <c r="G212" s="163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63"/>
      <c r="AJ212" s="100"/>
      <c r="AK212" s="100"/>
      <c r="AL212" s="163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  <c r="AW212" s="100"/>
      <c r="AX212" s="100"/>
      <c r="AY212" s="100"/>
      <c r="AZ212" s="100"/>
      <c r="BA212" s="100"/>
      <c r="BB212" s="100"/>
      <c r="BC212" s="100"/>
      <c r="BD212" s="100"/>
      <c r="BE212" s="100"/>
      <c r="BF212" s="100"/>
      <c r="BG212" s="100"/>
      <c r="BH212" s="100"/>
      <c r="BI212" s="100"/>
      <c r="BJ212" s="100"/>
      <c r="BK212" s="100"/>
      <c r="BL212" s="100"/>
      <c r="BM212" s="100"/>
      <c r="BN212" s="100"/>
      <c r="BO212" s="100"/>
      <c r="BP212" s="100"/>
      <c r="BQ212" s="100"/>
      <c r="BR212" s="100"/>
      <c r="BS212" s="100"/>
      <c r="BT212" s="100"/>
      <c r="BU212" s="100"/>
      <c r="BV212" s="100"/>
      <c r="BW212" s="100"/>
      <c r="BX212" s="100"/>
      <c r="BY212" s="100"/>
      <c r="BZ212" s="100"/>
      <c r="CA212" s="100"/>
      <c r="CB212" s="100"/>
      <c r="CC212" s="100"/>
      <c r="CD212" s="100"/>
      <c r="CE212" s="100"/>
      <c r="CF212" s="100"/>
      <c r="CG212" s="100"/>
      <c r="CH212" s="100"/>
      <c r="CI212" s="100"/>
      <c r="CJ212" s="120"/>
      <c r="CK212" s="120"/>
      <c r="CL212" s="120"/>
      <c r="CM212" s="120"/>
      <c r="CN212" s="120"/>
      <c r="CO212" s="120"/>
      <c r="CP212" s="120"/>
      <c r="CQ212" s="100"/>
      <c r="CR212" s="100"/>
      <c r="CS212" s="100"/>
      <c r="CT212" s="100"/>
      <c r="CU212" s="100"/>
      <c r="CV212" s="100"/>
      <c r="CW212" s="100"/>
      <c r="CX212" s="100"/>
      <c r="CY212" s="100"/>
      <c r="CZ212" s="100"/>
      <c r="DA212" s="100"/>
      <c r="DB212" s="100"/>
      <c r="DC212" s="100"/>
      <c r="DD212" s="100"/>
      <c r="DE212" s="100"/>
      <c r="DF212" s="100"/>
      <c r="DG212" s="100"/>
      <c r="DH212" s="100"/>
      <c r="DI212" s="100"/>
      <c r="DJ212" s="100"/>
      <c r="DK212" s="100"/>
      <c r="DL212" s="100"/>
      <c r="DM212" s="100"/>
      <c r="DN212" s="100"/>
      <c r="DO212" s="100"/>
      <c r="DP212" s="100"/>
      <c r="DQ212" s="100"/>
      <c r="DR212" s="100"/>
      <c r="DS212" s="100"/>
      <c r="DT212" s="100"/>
      <c r="DU212" s="100"/>
      <c r="DV212" s="100"/>
      <c r="DW212" s="100"/>
      <c r="DX212" s="100"/>
      <c r="DY212" s="100"/>
      <c r="DZ212" s="100"/>
      <c r="EA212" s="100"/>
      <c r="EB212" s="100"/>
      <c r="EC212" s="100"/>
      <c r="ED212" s="100"/>
      <c r="EE212" s="100"/>
      <c r="EF212" s="100"/>
      <c r="EG212" s="100"/>
      <c r="EH212" s="100"/>
      <c r="EI212" s="100"/>
      <c r="EJ212" s="100"/>
      <c r="EK212" s="100"/>
      <c r="EL212" s="100"/>
      <c r="EM212" s="100"/>
      <c r="EN212" s="100"/>
      <c r="EO212" s="100"/>
      <c r="EP212" s="100"/>
      <c r="EQ212" s="100"/>
      <c r="ER212" s="100"/>
      <c r="ES212" s="100"/>
      <c r="ET212" s="100"/>
      <c r="EU212" s="100"/>
      <c r="EV212" s="100"/>
      <c r="EW212" s="100"/>
      <c r="EX212" s="100"/>
      <c r="EY212" s="100"/>
      <c r="EZ212" s="100"/>
      <c r="FA212" s="100"/>
      <c r="FB212" s="100"/>
      <c r="FC212" s="100"/>
      <c r="FD212" s="100"/>
      <c r="FE212" s="100"/>
      <c r="FF212" s="100"/>
      <c r="FG212" s="100"/>
      <c r="FH212" s="100"/>
      <c r="FI212" s="100"/>
      <c r="FJ212" s="100"/>
      <c r="FK212" s="100"/>
      <c r="FL212" s="100"/>
      <c r="FM212" s="100"/>
      <c r="FN212" s="100"/>
      <c r="FO212" s="100"/>
      <c r="FP212" s="100"/>
      <c r="FQ212" s="100"/>
      <c r="FR212" s="100"/>
      <c r="FS212" s="100"/>
      <c r="FT212" s="100"/>
      <c r="FU212" s="100"/>
      <c r="FV212" s="100"/>
      <c r="FW212" s="100"/>
      <c r="FX212" s="100"/>
      <c r="FY212" s="100"/>
      <c r="FZ212" s="100"/>
      <c r="GA212" s="100"/>
      <c r="GB212" s="100"/>
      <c r="GC212" s="100"/>
      <c r="GD212" s="100"/>
      <c r="GE212" s="100"/>
      <c r="GF212" s="100"/>
      <c r="GG212" s="100"/>
      <c r="GH212" s="100"/>
      <c r="GI212" s="100"/>
      <c r="GJ212" s="100"/>
      <c r="GK212" s="100"/>
      <c r="GL212" s="100"/>
      <c r="GM212" s="100"/>
      <c r="GN212" s="100"/>
      <c r="GO212" s="100"/>
      <c r="GP212" s="100"/>
      <c r="GQ212" s="100"/>
      <c r="GR212" s="100"/>
      <c r="GS212" s="100"/>
      <c r="GT212" s="100"/>
      <c r="GU212" s="100"/>
      <c r="GV212" s="100"/>
      <c r="GW212" s="100"/>
      <c r="GX212" s="100"/>
      <c r="GY212" s="100"/>
      <c r="GZ212" s="100"/>
      <c r="HA212" s="100"/>
      <c r="HB212" s="100"/>
      <c r="HC212" s="100"/>
      <c r="HD212" s="100"/>
      <c r="HE212" s="100"/>
      <c r="HF212" s="100"/>
      <c r="HG212" s="100"/>
      <c r="HH212" s="100"/>
      <c r="HI212" s="100"/>
      <c r="HJ212" s="100"/>
      <c r="HK212" s="100"/>
      <c r="HL212" s="100"/>
      <c r="HM212" s="100"/>
      <c r="HN212" s="100"/>
      <c r="HO212" s="100"/>
      <c r="HP212" s="100"/>
      <c r="HQ212" s="100"/>
      <c r="HR212" s="100"/>
      <c r="HS212" s="100"/>
      <c r="HT212" s="100"/>
      <c r="HU212" s="100"/>
      <c r="HV212" s="100"/>
      <c r="HW212" s="100"/>
      <c r="HX212" s="100"/>
      <c r="HY212" s="100"/>
      <c r="HZ212" s="100"/>
    </row>
    <row r="213" customFormat="false" ht="12.8" hidden="false" customHeight="false" outlineLevel="0" collapsed="false">
      <c r="A213" s="100"/>
      <c r="B213" s="100"/>
      <c r="C213" s="100"/>
      <c r="D213" s="100"/>
      <c r="E213" s="100"/>
      <c r="F213" s="100"/>
      <c r="G213" s="163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63"/>
      <c r="AJ213" s="100"/>
      <c r="AK213" s="100"/>
      <c r="AL213" s="163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  <c r="BB213" s="100"/>
      <c r="BC213" s="100"/>
      <c r="BD213" s="100"/>
      <c r="BE213" s="100"/>
      <c r="BF213" s="100"/>
      <c r="BG213" s="100"/>
      <c r="BH213" s="100"/>
      <c r="BI213" s="100"/>
      <c r="BJ213" s="100"/>
      <c r="BK213" s="100"/>
      <c r="BL213" s="100"/>
      <c r="BM213" s="100"/>
      <c r="BN213" s="100"/>
      <c r="BO213" s="100"/>
      <c r="BP213" s="100"/>
      <c r="BQ213" s="100"/>
      <c r="BR213" s="100"/>
      <c r="BS213" s="100"/>
      <c r="BT213" s="100"/>
      <c r="BU213" s="100"/>
      <c r="BV213" s="100"/>
      <c r="BW213" s="100"/>
      <c r="BX213" s="100"/>
      <c r="BY213" s="100"/>
      <c r="BZ213" s="100"/>
      <c r="CA213" s="100"/>
      <c r="CB213" s="100"/>
      <c r="CC213" s="100"/>
      <c r="CD213" s="100"/>
      <c r="CE213" s="100"/>
      <c r="CF213" s="100"/>
      <c r="CG213" s="100"/>
      <c r="CH213" s="100"/>
      <c r="CI213" s="100"/>
      <c r="CJ213" s="120"/>
      <c r="CK213" s="120"/>
      <c r="CL213" s="120"/>
      <c r="CM213" s="120"/>
      <c r="CN213" s="120"/>
      <c r="CO213" s="120"/>
      <c r="CP213" s="120"/>
      <c r="CQ213" s="100"/>
      <c r="CR213" s="100"/>
      <c r="CS213" s="100"/>
      <c r="CT213" s="100"/>
      <c r="CU213" s="100"/>
      <c r="CV213" s="100"/>
      <c r="CW213" s="100"/>
      <c r="CX213" s="100"/>
      <c r="CY213" s="100"/>
      <c r="CZ213" s="100"/>
      <c r="DA213" s="100"/>
      <c r="DB213" s="100"/>
      <c r="DC213" s="100"/>
      <c r="DD213" s="100"/>
      <c r="DE213" s="100"/>
      <c r="DF213" s="100"/>
      <c r="DG213" s="100"/>
      <c r="DH213" s="100"/>
      <c r="DI213" s="100"/>
      <c r="DJ213" s="100"/>
      <c r="DK213" s="100"/>
      <c r="DL213" s="100"/>
      <c r="DM213" s="100"/>
      <c r="DN213" s="100"/>
      <c r="DO213" s="100"/>
      <c r="DP213" s="100"/>
      <c r="DQ213" s="100"/>
      <c r="DR213" s="100"/>
      <c r="DS213" s="100"/>
      <c r="DT213" s="100"/>
      <c r="DU213" s="100"/>
      <c r="DV213" s="100"/>
      <c r="DW213" s="100"/>
      <c r="DX213" s="100"/>
      <c r="DY213" s="100"/>
      <c r="DZ213" s="100"/>
      <c r="EA213" s="100"/>
      <c r="EB213" s="100"/>
      <c r="EC213" s="100"/>
      <c r="ED213" s="100"/>
      <c r="EE213" s="100"/>
      <c r="EF213" s="100"/>
      <c r="EG213" s="100"/>
      <c r="EH213" s="100"/>
      <c r="EI213" s="100"/>
      <c r="EJ213" s="100"/>
      <c r="EK213" s="100"/>
      <c r="EL213" s="100"/>
      <c r="EM213" s="100"/>
      <c r="EN213" s="100"/>
      <c r="EO213" s="100"/>
      <c r="EP213" s="100"/>
      <c r="EQ213" s="100"/>
      <c r="ER213" s="100"/>
      <c r="ES213" s="100"/>
      <c r="ET213" s="100"/>
      <c r="EU213" s="100"/>
      <c r="EV213" s="100"/>
      <c r="EW213" s="100"/>
      <c r="EX213" s="100"/>
      <c r="EY213" s="100"/>
      <c r="EZ213" s="100"/>
      <c r="FA213" s="100"/>
      <c r="FB213" s="100"/>
      <c r="FC213" s="100"/>
      <c r="FD213" s="100"/>
      <c r="FE213" s="100"/>
      <c r="FF213" s="100"/>
      <c r="FG213" s="100"/>
      <c r="FH213" s="100"/>
      <c r="FI213" s="100"/>
      <c r="FJ213" s="100"/>
      <c r="FK213" s="100"/>
      <c r="FL213" s="100"/>
      <c r="FM213" s="100"/>
      <c r="FN213" s="100"/>
      <c r="FO213" s="100"/>
      <c r="FP213" s="100"/>
      <c r="FQ213" s="100"/>
      <c r="FR213" s="100"/>
      <c r="FS213" s="100"/>
      <c r="FT213" s="100"/>
      <c r="FU213" s="100"/>
      <c r="FV213" s="100"/>
      <c r="FW213" s="100"/>
      <c r="FX213" s="100"/>
      <c r="FY213" s="100"/>
      <c r="FZ213" s="100"/>
      <c r="GA213" s="100"/>
      <c r="GB213" s="100"/>
      <c r="GC213" s="100"/>
      <c r="GD213" s="100"/>
      <c r="GE213" s="100"/>
      <c r="GF213" s="100"/>
      <c r="GG213" s="100"/>
      <c r="GH213" s="100"/>
      <c r="GI213" s="100"/>
      <c r="GJ213" s="100"/>
      <c r="GK213" s="100"/>
      <c r="GL213" s="100"/>
      <c r="GM213" s="100"/>
      <c r="GN213" s="100"/>
      <c r="GO213" s="100"/>
      <c r="GP213" s="100"/>
      <c r="GQ213" s="100"/>
      <c r="GR213" s="100"/>
      <c r="GS213" s="100"/>
      <c r="GT213" s="100"/>
      <c r="GU213" s="100"/>
      <c r="GV213" s="100"/>
      <c r="GW213" s="100"/>
      <c r="GX213" s="100"/>
      <c r="GY213" s="100"/>
      <c r="GZ213" s="100"/>
      <c r="HA213" s="100"/>
      <c r="HB213" s="100"/>
      <c r="HC213" s="100"/>
      <c r="HD213" s="100"/>
      <c r="HE213" s="100"/>
      <c r="HF213" s="100"/>
      <c r="HG213" s="100"/>
      <c r="HH213" s="100"/>
      <c r="HI213" s="100"/>
      <c r="HJ213" s="100"/>
      <c r="HK213" s="100"/>
      <c r="HL213" s="100"/>
      <c r="HM213" s="100"/>
      <c r="HN213" s="100"/>
      <c r="HO213" s="100"/>
      <c r="HP213" s="100"/>
      <c r="HQ213" s="100"/>
      <c r="HR213" s="100"/>
      <c r="HS213" s="100"/>
      <c r="HT213" s="100"/>
      <c r="HU213" s="100"/>
      <c r="HV213" s="100"/>
      <c r="HW213" s="100"/>
      <c r="HX213" s="100"/>
      <c r="HY213" s="100"/>
      <c r="HZ213" s="100"/>
    </row>
    <row r="214" customFormat="false" ht="12.8" hidden="false" customHeight="false" outlineLevel="0" collapsed="false">
      <c r="A214" s="100"/>
      <c r="B214" s="100"/>
      <c r="C214" s="100"/>
      <c r="D214" s="100"/>
      <c r="E214" s="100"/>
      <c r="F214" s="100"/>
      <c r="G214" s="163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63"/>
      <c r="AJ214" s="100"/>
      <c r="AK214" s="100"/>
      <c r="AL214" s="163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  <c r="BB214" s="100"/>
      <c r="BC214" s="100"/>
      <c r="BD214" s="100"/>
      <c r="BE214" s="100"/>
      <c r="BF214" s="100"/>
      <c r="BG214" s="100"/>
      <c r="BH214" s="100"/>
      <c r="BI214" s="100"/>
      <c r="BJ214" s="100"/>
      <c r="BK214" s="100"/>
      <c r="BL214" s="100"/>
      <c r="BM214" s="100"/>
      <c r="BN214" s="100"/>
      <c r="BO214" s="100"/>
      <c r="BP214" s="100"/>
      <c r="BQ214" s="100"/>
      <c r="BR214" s="100"/>
      <c r="BS214" s="100"/>
      <c r="BT214" s="100"/>
      <c r="BU214" s="100"/>
      <c r="BV214" s="100"/>
      <c r="BW214" s="100"/>
      <c r="BX214" s="100"/>
      <c r="BY214" s="100"/>
      <c r="BZ214" s="100"/>
      <c r="CA214" s="100"/>
      <c r="CB214" s="100"/>
      <c r="CC214" s="100"/>
      <c r="CD214" s="100"/>
      <c r="CE214" s="100"/>
      <c r="CF214" s="100"/>
      <c r="CG214" s="100"/>
      <c r="CH214" s="100"/>
      <c r="CI214" s="100"/>
      <c r="CJ214" s="120"/>
      <c r="CK214" s="120"/>
      <c r="CL214" s="120"/>
      <c r="CM214" s="120"/>
      <c r="CN214" s="120"/>
      <c r="CO214" s="120"/>
      <c r="CP214" s="120"/>
      <c r="CQ214" s="100"/>
      <c r="CR214" s="100"/>
      <c r="CS214" s="100"/>
      <c r="CT214" s="100"/>
      <c r="CU214" s="100"/>
      <c r="CV214" s="100"/>
      <c r="CW214" s="100"/>
      <c r="CX214" s="100"/>
      <c r="CY214" s="100"/>
      <c r="CZ214" s="100"/>
      <c r="DA214" s="100"/>
      <c r="DB214" s="100"/>
      <c r="DC214" s="100"/>
      <c r="DD214" s="100"/>
      <c r="DE214" s="100"/>
      <c r="DF214" s="100"/>
      <c r="DG214" s="100"/>
      <c r="DH214" s="100"/>
      <c r="DI214" s="100"/>
      <c r="DJ214" s="100"/>
      <c r="DK214" s="100"/>
      <c r="DL214" s="100"/>
      <c r="DM214" s="100"/>
      <c r="DN214" s="100"/>
      <c r="DO214" s="100"/>
      <c r="DP214" s="100"/>
      <c r="DQ214" s="100"/>
      <c r="DR214" s="100"/>
      <c r="DS214" s="100"/>
      <c r="DT214" s="100"/>
      <c r="DU214" s="100"/>
      <c r="DV214" s="100"/>
      <c r="DW214" s="100"/>
      <c r="DX214" s="100"/>
      <c r="DY214" s="100"/>
      <c r="DZ214" s="100"/>
      <c r="EA214" s="100"/>
      <c r="EB214" s="100"/>
      <c r="EC214" s="100"/>
      <c r="ED214" s="100"/>
      <c r="EE214" s="100"/>
      <c r="EF214" s="100"/>
      <c r="EG214" s="100"/>
      <c r="EH214" s="100"/>
      <c r="EI214" s="100"/>
      <c r="EJ214" s="100"/>
      <c r="EK214" s="100"/>
      <c r="EL214" s="100"/>
      <c r="EM214" s="100"/>
      <c r="EN214" s="100"/>
      <c r="EO214" s="100"/>
      <c r="EP214" s="100"/>
      <c r="EQ214" s="100"/>
      <c r="ER214" s="100"/>
      <c r="ES214" s="100"/>
      <c r="ET214" s="100"/>
      <c r="EU214" s="100"/>
      <c r="EV214" s="100"/>
      <c r="EW214" s="100"/>
      <c r="EX214" s="100"/>
      <c r="EY214" s="100"/>
      <c r="EZ214" s="100"/>
      <c r="FA214" s="100"/>
      <c r="FB214" s="100"/>
      <c r="FC214" s="100"/>
      <c r="FD214" s="100"/>
      <c r="FE214" s="100"/>
      <c r="FF214" s="100"/>
      <c r="FG214" s="100"/>
      <c r="FH214" s="100"/>
      <c r="FI214" s="100"/>
      <c r="FJ214" s="100"/>
      <c r="FK214" s="100"/>
      <c r="FL214" s="100"/>
      <c r="FM214" s="100"/>
      <c r="FN214" s="100"/>
      <c r="FO214" s="100"/>
      <c r="FP214" s="100"/>
      <c r="FQ214" s="100"/>
      <c r="FR214" s="100"/>
      <c r="FS214" s="100"/>
      <c r="FT214" s="100"/>
      <c r="FU214" s="100"/>
      <c r="FV214" s="100"/>
      <c r="FW214" s="100"/>
      <c r="FX214" s="100"/>
      <c r="FY214" s="100"/>
      <c r="FZ214" s="100"/>
      <c r="GA214" s="100"/>
      <c r="GB214" s="100"/>
      <c r="GC214" s="100"/>
      <c r="GD214" s="100"/>
      <c r="GE214" s="100"/>
      <c r="GF214" s="100"/>
      <c r="GG214" s="100"/>
      <c r="GH214" s="100"/>
      <c r="GI214" s="100"/>
      <c r="GJ214" s="100"/>
      <c r="GK214" s="100"/>
      <c r="GL214" s="100"/>
      <c r="GM214" s="100"/>
      <c r="GN214" s="100"/>
      <c r="GO214" s="100"/>
      <c r="GP214" s="100"/>
      <c r="GQ214" s="100"/>
      <c r="GR214" s="100"/>
      <c r="GS214" s="100"/>
      <c r="GT214" s="100"/>
      <c r="GU214" s="100"/>
      <c r="GV214" s="100"/>
      <c r="GW214" s="100"/>
      <c r="GX214" s="100"/>
      <c r="GY214" s="100"/>
      <c r="GZ214" s="100"/>
      <c r="HA214" s="100"/>
      <c r="HB214" s="100"/>
      <c r="HC214" s="100"/>
      <c r="HD214" s="100"/>
      <c r="HE214" s="100"/>
      <c r="HF214" s="100"/>
      <c r="HG214" s="100"/>
      <c r="HH214" s="100"/>
      <c r="HI214" s="100"/>
      <c r="HJ214" s="100"/>
      <c r="HK214" s="100"/>
      <c r="HL214" s="100"/>
      <c r="HM214" s="100"/>
      <c r="HN214" s="100"/>
      <c r="HO214" s="100"/>
      <c r="HP214" s="100"/>
      <c r="HQ214" s="100"/>
      <c r="HR214" s="100"/>
      <c r="HS214" s="100"/>
      <c r="HT214" s="100"/>
      <c r="HU214" s="100"/>
      <c r="HV214" s="100"/>
      <c r="HW214" s="100"/>
      <c r="HX214" s="100"/>
      <c r="HY214" s="100"/>
      <c r="HZ214" s="100"/>
    </row>
    <row r="215" customFormat="false" ht="12.8" hidden="false" customHeight="false" outlineLevel="0" collapsed="false">
      <c r="A215" s="100"/>
      <c r="B215" s="100"/>
      <c r="C215" s="100"/>
      <c r="D215" s="100"/>
      <c r="E215" s="100"/>
      <c r="F215" s="100"/>
      <c r="G215" s="163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63"/>
      <c r="AJ215" s="100"/>
      <c r="AK215" s="100"/>
      <c r="AL215" s="163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  <c r="AW215" s="100"/>
      <c r="AX215" s="100"/>
      <c r="AY215" s="100"/>
      <c r="AZ215" s="100"/>
      <c r="BA215" s="100"/>
      <c r="BB215" s="100"/>
      <c r="BC215" s="100"/>
      <c r="BD215" s="100"/>
      <c r="BE215" s="100"/>
      <c r="BF215" s="100"/>
      <c r="BG215" s="100"/>
      <c r="BH215" s="100"/>
      <c r="BI215" s="100"/>
      <c r="BJ215" s="100"/>
      <c r="BK215" s="100"/>
      <c r="BL215" s="100"/>
      <c r="BM215" s="100"/>
      <c r="BN215" s="100"/>
      <c r="BO215" s="100"/>
      <c r="BP215" s="100"/>
      <c r="BQ215" s="100"/>
      <c r="BR215" s="100"/>
      <c r="BS215" s="100"/>
      <c r="BT215" s="100"/>
      <c r="BU215" s="100"/>
      <c r="BV215" s="100"/>
      <c r="BW215" s="100"/>
      <c r="BX215" s="100"/>
      <c r="BY215" s="100"/>
      <c r="BZ215" s="100"/>
      <c r="CA215" s="100"/>
      <c r="CB215" s="100"/>
      <c r="CC215" s="100"/>
      <c r="CD215" s="100"/>
      <c r="CE215" s="100"/>
      <c r="CF215" s="100"/>
      <c r="CG215" s="100"/>
      <c r="CH215" s="100"/>
      <c r="CI215" s="100"/>
      <c r="CJ215" s="120"/>
      <c r="CK215" s="120"/>
      <c r="CL215" s="120"/>
      <c r="CM215" s="120"/>
      <c r="CN215" s="120"/>
      <c r="CO215" s="120"/>
      <c r="CP215" s="120"/>
      <c r="CQ215" s="100"/>
      <c r="CR215" s="100"/>
      <c r="CS215" s="100"/>
      <c r="CT215" s="100"/>
      <c r="CU215" s="100"/>
      <c r="CV215" s="100"/>
      <c r="CW215" s="100"/>
      <c r="CX215" s="100"/>
      <c r="CY215" s="100"/>
      <c r="CZ215" s="100"/>
      <c r="DA215" s="100"/>
      <c r="DB215" s="100"/>
      <c r="DC215" s="100"/>
      <c r="DD215" s="100"/>
      <c r="DE215" s="100"/>
      <c r="DF215" s="100"/>
      <c r="DG215" s="100"/>
      <c r="DH215" s="100"/>
      <c r="DI215" s="100"/>
      <c r="DJ215" s="100"/>
      <c r="DK215" s="100"/>
      <c r="DL215" s="100"/>
      <c r="DM215" s="100"/>
      <c r="DN215" s="100"/>
      <c r="DO215" s="100"/>
      <c r="DP215" s="100"/>
      <c r="DQ215" s="100"/>
      <c r="DR215" s="100"/>
      <c r="DS215" s="100"/>
      <c r="DT215" s="100"/>
      <c r="DU215" s="100"/>
      <c r="DV215" s="100"/>
      <c r="DW215" s="100"/>
      <c r="DX215" s="100"/>
      <c r="DY215" s="100"/>
      <c r="DZ215" s="100"/>
      <c r="EA215" s="100"/>
      <c r="EB215" s="100"/>
      <c r="EC215" s="100"/>
      <c r="ED215" s="100"/>
      <c r="EE215" s="100"/>
      <c r="EF215" s="100"/>
      <c r="EG215" s="100"/>
      <c r="EH215" s="100"/>
      <c r="EI215" s="100"/>
      <c r="EJ215" s="100"/>
      <c r="EK215" s="100"/>
      <c r="EL215" s="100"/>
      <c r="EM215" s="100"/>
      <c r="EN215" s="100"/>
      <c r="EO215" s="100"/>
      <c r="EP215" s="100"/>
      <c r="EQ215" s="100"/>
      <c r="ER215" s="100"/>
      <c r="ES215" s="100"/>
      <c r="ET215" s="100"/>
      <c r="EU215" s="100"/>
      <c r="EV215" s="100"/>
      <c r="EW215" s="100"/>
      <c r="EX215" s="100"/>
      <c r="EY215" s="100"/>
      <c r="EZ215" s="100"/>
      <c r="FA215" s="100"/>
      <c r="FB215" s="100"/>
      <c r="FC215" s="100"/>
      <c r="FD215" s="100"/>
      <c r="FE215" s="100"/>
      <c r="FF215" s="100"/>
      <c r="FG215" s="100"/>
      <c r="FH215" s="100"/>
      <c r="FI215" s="100"/>
      <c r="FJ215" s="100"/>
      <c r="FK215" s="100"/>
      <c r="FL215" s="100"/>
      <c r="FM215" s="100"/>
      <c r="FN215" s="100"/>
      <c r="FO215" s="100"/>
      <c r="FP215" s="100"/>
      <c r="FQ215" s="100"/>
      <c r="FR215" s="100"/>
      <c r="FS215" s="100"/>
      <c r="FT215" s="100"/>
      <c r="FU215" s="100"/>
      <c r="FV215" s="100"/>
      <c r="FW215" s="100"/>
      <c r="FX215" s="100"/>
      <c r="FY215" s="100"/>
      <c r="FZ215" s="100"/>
      <c r="GA215" s="100"/>
      <c r="GB215" s="100"/>
      <c r="GC215" s="100"/>
      <c r="GD215" s="100"/>
      <c r="GE215" s="100"/>
      <c r="GF215" s="100"/>
      <c r="GG215" s="100"/>
      <c r="GH215" s="100"/>
      <c r="GI215" s="100"/>
      <c r="GJ215" s="100"/>
      <c r="GK215" s="100"/>
      <c r="GL215" s="100"/>
      <c r="GM215" s="100"/>
      <c r="GN215" s="100"/>
      <c r="GO215" s="100"/>
      <c r="GP215" s="100"/>
      <c r="GQ215" s="100"/>
      <c r="GR215" s="100"/>
      <c r="GS215" s="100"/>
      <c r="GT215" s="100"/>
      <c r="GU215" s="100"/>
      <c r="GV215" s="100"/>
      <c r="GW215" s="100"/>
      <c r="GX215" s="100"/>
      <c r="GY215" s="100"/>
      <c r="GZ215" s="100"/>
      <c r="HA215" s="100"/>
      <c r="HB215" s="100"/>
      <c r="HC215" s="100"/>
      <c r="HD215" s="100"/>
      <c r="HE215" s="100"/>
      <c r="HF215" s="100"/>
      <c r="HG215" s="100"/>
      <c r="HH215" s="100"/>
      <c r="HI215" s="100"/>
      <c r="HJ215" s="100"/>
      <c r="HK215" s="100"/>
      <c r="HL215" s="100"/>
      <c r="HM215" s="100"/>
      <c r="HN215" s="100"/>
      <c r="HO215" s="100"/>
      <c r="HP215" s="100"/>
      <c r="HQ215" s="100"/>
      <c r="HR215" s="100"/>
      <c r="HS215" s="100"/>
      <c r="HT215" s="100"/>
      <c r="HU215" s="100"/>
      <c r="HV215" s="100"/>
      <c r="HW215" s="100"/>
      <c r="HX215" s="100"/>
      <c r="HY215" s="100"/>
      <c r="HZ215" s="100"/>
    </row>
    <row r="216" customFormat="false" ht="12.8" hidden="false" customHeight="false" outlineLevel="0" collapsed="false">
      <c r="A216" s="100"/>
      <c r="B216" s="100"/>
      <c r="C216" s="100"/>
      <c r="D216" s="100"/>
      <c r="E216" s="100"/>
      <c r="F216" s="100"/>
      <c r="G216" s="163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63"/>
      <c r="AJ216" s="100"/>
      <c r="AK216" s="100"/>
      <c r="AL216" s="163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  <c r="BB216" s="100"/>
      <c r="BC216" s="100"/>
      <c r="BD216" s="100"/>
      <c r="BE216" s="100"/>
      <c r="BF216" s="100"/>
      <c r="BG216" s="100"/>
      <c r="BH216" s="100"/>
      <c r="BI216" s="100"/>
      <c r="BJ216" s="100"/>
      <c r="BK216" s="100"/>
      <c r="BL216" s="100"/>
      <c r="BM216" s="100"/>
      <c r="BN216" s="100"/>
      <c r="BO216" s="100"/>
      <c r="BP216" s="100"/>
      <c r="BQ216" s="100"/>
      <c r="BR216" s="100"/>
      <c r="BS216" s="100"/>
      <c r="BT216" s="100"/>
      <c r="BU216" s="100"/>
      <c r="BV216" s="100"/>
      <c r="BW216" s="100"/>
      <c r="BX216" s="100"/>
      <c r="BY216" s="100"/>
      <c r="BZ216" s="100"/>
      <c r="CA216" s="100"/>
      <c r="CB216" s="100"/>
      <c r="CC216" s="100"/>
      <c r="CD216" s="100"/>
      <c r="CE216" s="100"/>
      <c r="CF216" s="100"/>
      <c r="CG216" s="100"/>
      <c r="CH216" s="100"/>
      <c r="CI216" s="100"/>
      <c r="CJ216" s="120"/>
      <c r="CK216" s="120"/>
      <c r="CL216" s="120"/>
      <c r="CM216" s="120"/>
      <c r="CN216" s="120"/>
      <c r="CO216" s="120"/>
      <c r="CP216" s="120"/>
      <c r="CQ216" s="100"/>
      <c r="CR216" s="100"/>
      <c r="CS216" s="100"/>
      <c r="CT216" s="100"/>
      <c r="CU216" s="100"/>
      <c r="CV216" s="100"/>
      <c r="CW216" s="100"/>
      <c r="CX216" s="100"/>
      <c r="CY216" s="100"/>
      <c r="CZ216" s="100"/>
      <c r="DA216" s="100"/>
      <c r="DB216" s="100"/>
      <c r="DC216" s="100"/>
      <c r="DD216" s="100"/>
      <c r="DE216" s="100"/>
      <c r="DF216" s="100"/>
      <c r="DG216" s="100"/>
      <c r="DH216" s="100"/>
      <c r="DI216" s="100"/>
      <c r="DJ216" s="100"/>
      <c r="DK216" s="100"/>
      <c r="DL216" s="100"/>
      <c r="DM216" s="100"/>
      <c r="DN216" s="100"/>
      <c r="DO216" s="100"/>
      <c r="DP216" s="100"/>
      <c r="DQ216" s="100"/>
      <c r="DR216" s="100"/>
      <c r="DS216" s="100"/>
      <c r="DT216" s="100"/>
      <c r="DU216" s="100"/>
      <c r="DV216" s="100"/>
      <c r="DW216" s="100"/>
      <c r="DX216" s="100"/>
      <c r="DY216" s="100"/>
      <c r="DZ216" s="100"/>
      <c r="EA216" s="100"/>
      <c r="EB216" s="100"/>
      <c r="EC216" s="100"/>
      <c r="ED216" s="100"/>
      <c r="EE216" s="100"/>
      <c r="EF216" s="100"/>
      <c r="EG216" s="100"/>
      <c r="EH216" s="100"/>
      <c r="EI216" s="100"/>
      <c r="EJ216" s="100"/>
      <c r="EK216" s="100"/>
      <c r="EL216" s="100"/>
      <c r="EM216" s="100"/>
      <c r="EN216" s="100"/>
      <c r="EO216" s="100"/>
      <c r="EP216" s="100"/>
      <c r="EQ216" s="100"/>
      <c r="ER216" s="100"/>
      <c r="ES216" s="100"/>
      <c r="ET216" s="100"/>
      <c r="EU216" s="100"/>
      <c r="EV216" s="100"/>
      <c r="EW216" s="100"/>
      <c r="EX216" s="100"/>
      <c r="EY216" s="100"/>
      <c r="EZ216" s="100"/>
      <c r="FA216" s="100"/>
      <c r="FB216" s="100"/>
      <c r="FC216" s="100"/>
      <c r="FD216" s="100"/>
      <c r="FE216" s="100"/>
      <c r="FF216" s="100"/>
      <c r="FG216" s="100"/>
      <c r="FH216" s="100"/>
      <c r="FI216" s="100"/>
      <c r="FJ216" s="100"/>
      <c r="FK216" s="100"/>
      <c r="FL216" s="100"/>
      <c r="FM216" s="100"/>
      <c r="FN216" s="100"/>
      <c r="FO216" s="100"/>
      <c r="FP216" s="100"/>
      <c r="FQ216" s="100"/>
      <c r="FR216" s="100"/>
      <c r="FS216" s="100"/>
      <c r="FT216" s="100"/>
      <c r="FU216" s="100"/>
      <c r="FV216" s="100"/>
      <c r="FW216" s="100"/>
      <c r="FX216" s="100"/>
      <c r="FY216" s="100"/>
      <c r="FZ216" s="100"/>
      <c r="GA216" s="100"/>
      <c r="GB216" s="100"/>
      <c r="GC216" s="100"/>
      <c r="GD216" s="100"/>
      <c r="GE216" s="100"/>
      <c r="GF216" s="100"/>
      <c r="GG216" s="100"/>
      <c r="GH216" s="100"/>
      <c r="GI216" s="100"/>
      <c r="GJ216" s="100"/>
      <c r="GK216" s="100"/>
      <c r="GL216" s="100"/>
      <c r="GM216" s="100"/>
      <c r="GN216" s="100"/>
      <c r="GO216" s="100"/>
      <c r="GP216" s="100"/>
      <c r="GQ216" s="100"/>
      <c r="GR216" s="100"/>
      <c r="GS216" s="100"/>
      <c r="GT216" s="100"/>
      <c r="GU216" s="100"/>
      <c r="GV216" s="100"/>
      <c r="GW216" s="100"/>
      <c r="GX216" s="100"/>
      <c r="GY216" s="100"/>
      <c r="GZ216" s="100"/>
      <c r="HA216" s="100"/>
      <c r="HB216" s="100"/>
      <c r="HC216" s="100"/>
      <c r="HD216" s="100"/>
      <c r="HE216" s="100"/>
      <c r="HF216" s="100"/>
      <c r="HG216" s="100"/>
      <c r="HH216" s="100"/>
      <c r="HI216" s="100"/>
      <c r="HJ216" s="100"/>
      <c r="HK216" s="100"/>
      <c r="HL216" s="100"/>
      <c r="HM216" s="100"/>
      <c r="HN216" s="100"/>
      <c r="HO216" s="100"/>
      <c r="HP216" s="100"/>
      <c r="HQ216" s="100"/>
      <c r="HR216" s="100"/>
      <c r="HS216" s="100"/>
      <c r="HT216" s="100"/>
      <c r="HU216" s="100"/>
      <c r="HV216" s="100"/>
      <c r="HW216" s="100"/>
      <c r="HX216" s="100"/>
      <c r="HY216" s="100"/>
      <c r="HZ216" s="100"/>
    </row>
    <row r="217" customFormat="false" ht="12.8" hidden="false" customHeight="false" outlineLevel="0" collapsed="false">
      <c r="A217" s="100"/>
      <c r="B217" s="100"/>
      <c r="C217" s="100"/>
      <c r="D217" s="100"/>
      <c r="E217" s="100"/>
      <c r="F217" s="100"/>
      <c r="G217" s="163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63"/>
      <c r="AJ217" s="100"/>
      <c r="AK217" s="100"/>
      <c r="AL217" s="163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  <c r="BB217" s="100"/>
      <c r="BC217" s="100"/>
      <c r="BD217" s="100"/>
      <c r="BE217" s="100"/>
      <c r="BF217" s="100"/>
      <c r="BG217" s="100"/>
      <c r="BH217" s="100"/>
      <c r="BI217" s="100"/>
      <c r="BJ217" s="100"/>
      <c r="BK217" s="100"/>
      <c r="BL217" s="100"/>
      <c r="BM217" s="100"/>
      <c r="BN217" s="100"/>
      <c r="BO217" s="100"/>
      <c r="BP217" s="100"/>
      <c r="BQ217" s="100"/>
      <c r="BR217" s="100"/>
      <c r="BS217" s="100"/>
      <c r="BT217" s="100"/>
      <c r="BU217" s="100"/>
      <c r="BV217" s="100"/>
      <c r="BW217" s="100"/>
      <c r="BX217" s="100"/>
      <c r="BY217" s="100"/>
      <c r="BZ217" s="100"/>
      <c r="CA217" s="100"/>
      <c r="CB217" s="100"/>
      <c r="CC217" s="100"/>
      <c r="CD217" s="100"/>
      <c r="CE217" s="100"/>
      <c r="CF217" s="100"/>
      <c r="CG217" s="100"/>
      <c r="CH217" s="100"/>
      <c r="CI217" s="100"/>
      <c r="CJ217" s="120"/>
      <c r="CK217" s="120"/>
      <c r="CL217" s="120"/>
      <c r="CM217" s="120"/>
      <c r="CN217" s="120"/>
      <c r="CO217" s="120"/>
      <c r="CP217" s="120"/>
      <c r="CQ217" s="100"/>
      <c r="CR217" s="100"/>
      <c r="CS217" s="100"/>
      <c r="CT217" s="100"/>
      <c r="CU217" s="100"/>
      <c r="CV217" s="100"/>
      <c r="CW217" s="100"/>
      <c r="CX217" s="100"/>
      <c r="CY217" s="100"/>
      <c r="CZ217" s="100"/>
      <c r="DA217" s="100"/>
      <c r="DB217" s="100"/>
      <c r="DC217" s="100"/>
      <c r="DD217" s="100"/>
      <c r="DE217" s="100"/>
      <c r="DF217" s="100"/>
      <c r="DG217" s="100"/>
      <c r="DH217" s="100"/>
      <c r="DI217" s="100"/>
      <c r="DJ217" s="100"/>
      <c r="DK217" s="100"/>
      <c r="DL217" s="100"/>
      <c r="DM217" s="100"/>
      <c r="DN217" s="100"/>
      <c r="DO217" s="100"/>
      <c r="DP217" s="100"/>
      <c r="DQ217" s="100"/>
      <c r="DR217" s="100"/>
      <c r="DS217" s="100"/>
      <c r="DT217" s="100"/>
      <c r="DU217" s="100"/>
      <c r="DV217" s="100"/>
      <c r="DW217" s="100"/>
      <c r="DX217" s="100"/>
      <c r="DY217" s="100"/>
      <c r="DZ217" s="100"/>
      <c r="EA217" s="100"/>
      <c r="EB217" s="100"/>
      <c r="EC217" s="100"/>
      <c r="ED217" s="100"/>
      <c r="EE217" s="100"/>
      <c r="EF217" s="100"/>
      <c r="EG217" s="100"/>
      <c r="EH217" s="100"/>
      <c r="EI217" s="100"/>
      <c r="EJ217" s="100"/>
      <c r="EK217" s="100"/>
      <c r="EL217" s="100"/>
      <c r="EM217" s="100"/>
      <c r="EN217" s="100"/>
      <c r="EO217" s="100"/>
      <c r="EP217" s="100"/>
      <c r="EQ217" s="100"/>
      <c r="ER217" s="100"/>
      <c r="ES217" s="100"/>
      <c r="ET217" s="100"/>
      <c r="EU217" s="100"/>
      <c r="EV217" s="100"/>
      <c r="EW217" s="100"/>
      <c r="EX217" s="100"/>
      <c r="EY217" s="100"/>
      <c r="EZ217" s="100"/>
      <c r="FA217" s="100"/>
      <c r="FB217" s="100"/>
      <c r="FC217" s="100"/>
      <c r="FD217" s="100"/>
      <c r="FE217" s="100"/>
      <c r="FF217" s="100"/>
      <c r="FG217" s="100"/>
      <c r="FH217" s="100"/>
      <c r="FI217" s="100"/>
      <c r="FJ217" s="100"/>
      <c r="FK217" s="100"/>
      <c r="FL217" s="100"/>
      <c r="FM217" s="100"/>
      <c r="FN217" s="100"/>
      <c r="FO217" s="100"/>
      <c r="FP217" s="100"/>
      <c r="FQ217" s="100"/>
      <c r="FR217" s="100"/>
      <c r="FS217" s="100"/>
      <c r="FT217" s="100"/>
      <c r="FU217" s="100"/>
      <c r="FV217" s="100"/>
      <c r="FW217" s="100"/>
      <c r="FX217" s="100"/>
      <c r="FY217" s="100"/>
      <c r="FZ217" s="100"/>
      <c r="GA217" s="100"/>
      <c r="GB217" s="100"/>
      <c r="GC217" s="100"/>
      <c r="GD217" s="100"/>
      <c r="GE217" s="100"/>
      <c r="GF217" s="100"/>
      <c r="GG217" s="100"/>
      <c r="GH217" s="100"/>
      <c r="GI217" s="100"/>
      <c r="GJ217" s="100"/>
      <c r="GK217" s="100"/>
      <c r="GL217" s="100"/>
      <c r="GM217" s="100"/>
      <c r="GN217" s="100"/>
      <c r="GO217" s="100"/>
      <c r="GP217" s="100"/>
      <c r="GQ217" s="100"/>
      <c r="GR217" s="100"/>
      <c r="GS217" s="100"/>
      <c r="GT217" s="100"/>
      <c r="GU217" s="100"/>
      <c r="GV217" s="100"/>
      <c r="GW217" s="100"/>
      <c r="GX217" s="100"/>
      <c r="GY217" s="100"/>
      <c r="GZ217" s="100"/>
      <c r="HA217" s="100"/>
      <c r="HB217" s="100"/>
      <c r="HC217" s="100"/>
      <c r="HD217" s="100"/>
      <c r="HE217" s="100"/>
      <c r="HF217" s="100"/>
      <c r="HG217" s="100"/>
      <c r="HH217" s="100"/>
      <c r="HI217" s="100"/>
      <c r="HJ217" s="100"/>
      <c r="HK217" s="100"/>
      <c r="HL217" s="100"/>
      <c r="HM217" s="100"/>
      <c r="HN217" s="100"/>
      <c r="HO217" s="100"/>
      <c r="HP217" s="100"/>
      <c r="HQ217" s="100"/>
      <c r="HR217" s="100"/>
      <c r="HS217" s="100"/>
      <c r="HT217" s="100"/>
      <c r="HU217" s="100"/>
      <c r="HV217" s="100"/>
      <c r="HW217" s="100"/>
      <c r="HX217" s="100"/>
      <c r="HY217" s="100"/>
      <c r="HZ217" s="100"/>
    </row>
    <row r="218" customFormat="false" ht="12.8" hidden="false" customHeight="false" outlineLevel="0" collapsed="false">
      <c r="A218" s="100"/>
      <c r="B218" s="100"/>
      <c r="C218" s="100"/>
      <c r="D218" s="100"/>
      <c r="E218" s="100"/>
      <c r="F218" s="100"/>
      <c r="G218" s="163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63"/>
      <c r="AJ218" s="100"/>
      <c r="AK218" s="100"/>
      <c r="AL218" s="163"/>
      <c r="AM218" s="100"/>
      <c r="AN218" s="100"/>
      <c r="AO218" s="100"/>
      <c r="AP218" s="100"/>
      <c r="AQ218" s="100"/>
      <c r="AR218" s="100"/>
      <c r="AS218" s="100"/>
      <c r="AT218" s="100"/>
      <c r="AU218" s="100"/>
      <c r="AV218" s="100"/>
      <c r="AW218" s="100"/>
      <c r="AX218" s="100"/>
      <c r="AY218" s="100"/>
      <c r="AZ218" s="100"/>
      <c r="BA218" s="100"/>
      <c r="BB218" s="100"/>
      <c r="BC218" s="100"/>
      <c r="BD218" s="100"/>
      <c r="BE218" s="100"/>
      <c r="BF218" s="100"/>
      <c r="BG218" s="100"/>
      <c r="BH218" s="100"/>
      <c r="BI218" s="100"/>
      <c r="BJ218" s="100"/>
      <c r="BK218" s="100"/>
      <c r="BL218" s="100"/>
      <c r="BM218" s="100"/>
      <c r="BN218" s="100"/>
      <c r="BO218" s="100"/>
      <c r="BP218" s="100"/>
      <c r="BQ218" s="100"/>
      <c r="BR218" s="100"/>
      <c r="BS218" s="100"/>
      <c r="BT218" s="100"/>
      <c r="BU218" s="100"/>
      <c r="BV218" s="100"/>
      <c r="BW218" s="100"/>
      <c r="BX218" s="100"/>
      <c r="BY218" s="100"/>
      <c r="BZ218" s="100"/>
      <c r="CA218" s="100"/>
      <c r="CB218" s="100"/>
      <c r="CC218" s="100"/>
      <c r="CD218" s="100"/>
      <c r="CE218" s="100"/>
      <c r="CF218" s="100"/>
      <c r="CG218" s="100"/>
      <c r="CH218" s="100"/>
      <c r="CI218" s="100"/>
      <c r="CJ218" s="120"/>
      <c r="CK218" s="120"/>
      <c r="CL218" s="120"/>
      <c r="CM218" s="120"/>
      <c r="CN218" s="120"/>
      <c r="CO218" s="120"/>
      <c r="CP218" s="120"/>
      <c r="CQ218" s="100"/>
      <c r="CR218" s="100"/>
      <c r="CS218" s="100"/>
      <c r="CT218" s="100"/>
      <c r="CU218" s="100"/>
      <c r="CV218" s="100"/>
      <c r="CW218" s="100"/>
      <c r="CX218" s="100"/>
      <c r="CY218" s="100"/>
      <c r="CZ218" s="100"/>
      <c r="DA218" s="100"/>
      <c r="DB218" s="100"/>
      <c r="DC218" s="100"/>
      <c r="DD218" s="100"/>
      <c r="DE218" s="100"/>
      <c r="DF218" s="100"/>
      <c r="DG218" s="100"/>
      <c r="DH218" s="100"/>
      <c r="DI218" s="100"/>
      <c r="DJ218" s="100"/>
      <c r="DK218" s="100"/>
      <c r="DL218" s="100"/>
      <c r="DM218" s="100"/>
      <c r="DN218" s="100"/>
      <c r="DO218" s="100"/>
      <c r="DP218" s="100"/>
      <c r="DQ218" s="100"/>
      <c r="DR218" s="100"/>
      <c r="DS218" s="100"/>
      <c r="DT218" s="100"/>
      <c r="DU218" s="100"/>
      <c r="DV218" s="100"/>
      <c r="DW218" s="100"/>
      <c r="DX218" s="100"/>
      <c r="DY218" s="100"/>
      <c r="DZ218" s="100"/>
      <c r="EA218" s="100"/>
      <c r="EB218" s="100"/>
      <c r="EC218" s="100"/>
      <c r="ED218" s="100"/>
      <c r="EE218" s="100"/>
      <c r="EF218" s="100"/>
      <c r="EG218" s="100"/>
      <c r="EH218" s="100"/>
      <c r="EI218" s="100"/>
      <c r="EJ218" s="100"/>
      <c r="EK218" s="100"/>
      <c r="EL218" s="100"/>
      <c r="EM218" s="100"/>
      <c r="EN218" s="100"/>
      <c r="EO218" s="100"/>
      <c r="EP218" s="100"/>
      <c r="EQ218" s="100"/>
      <c r="ER218" s="100"/>
      <c r="ES218" s="100"/>
      <c r="ET218" s="100"/>
      <c r="EU218" s="100"/>
      <c r="EV218" s="100"/>
      <c r="EW218" s="100"/>
      <c r="EX218" s="100"/>
      <c r="EY218" s="100"/>
      <c r="EZ218" s="100"/>
      <c r="FA218" s="100"/>
      <c r="FB218" s="100"/>
      <c r="FC218" s="100"/>
      <c r="FD218" s="100"/>
      <c r="FE218" s="100"/>
      <c r="FF218" s="100"/>
      <c r="FG218" s="100"/>
      <c r="FH218" s="100"/>
      <c r="FI218" s="100"/>
      <c r="FJ218" s="100"/>
      <c r="FK218" s="100"/>
      <c r="FL218" s="100"/>
      <c r="FM218" s="100"/>
      <c r="FN218" s="100"/>
      <c r="FO218" s="100"/>
      <c r="FP218" s="100"/>
      <c r="FQ218" s="100"/>
      <c r="FR218" s="100"/>
      <c r="FS218" s="100"/>
      <c r="FT218" s="100"/>
      <c r="FU218" s="100"/>
      <c r="FV218" s="100"/>
      <c r="FW218" s="100"/>
      <c r="FX218" s="100"/>
      <c r="FY218" s="100"/>
      <c r="FZ218" s="100"/>
      <c r="GA218" s="100"/>
      <c r="GB218" s="100"/>
      <c r="GC218" s="100"/>
      <c r="GD218" s="100"/>
      <c r="GE218" s="100"/>
      <c r="GF218" s="100"/>
      <c r="GG218" s="100"/>
      <c r="GH218" s="100"/>
      <c r="GI218" s="100"/>
      <c r="GJ218" s="100"/>
      <c r="GK218" s="100"/>
      <c r="GL218" s="100"/>
      <c r="GM218" s="100"/>
      <c r="GN218" s="100"/>
      <c r="GO218" s="100"/>
      <c r="GP218" s="100"/>
      <c r="GQ218" s="100"/>
      <c r="GR218" s="100"/>
      <c r="GS218" s="100"/>
      <c r="GT218" s="100"/>
      <c r="GU218" s="100"/>
      <c r="GV218" s="100"/>
      <c r="GW218" s="100"/>
      <c r="GX218" s="100"/>
      <c r="GY218" s="100"/>
      <c r="GZ218" s="100"/>
      <c r="HA218" s="100"/>
      <c r="HB218" s="100"/>
      <c r="HC218" s="100"/>
      <c r="HD218" s="100"/>
      <c r="HE218" s="100"/>
      <c r="HF218" s="100"/>
      <c r="HG218" s="100"/>
      <c r="HH218" s="100"/>
      <c r="HI218" s="100"/>
      <c r="HJ218" s="100"/>
      <c r="HK218" s="100"/>
      <c r="HL218" s="100"/>
      <c r="HM218" s="100"/>
      <c r="HN218" s="100"/>
      <c r="HO218" s="100"/>
      <c r="HP218" s="100"/>
      <c r="HQ218" s="100"/>
      <c r="HR218" s="100"/>
      <c r="HS218" s="100"/>
      <c r="HT218" s="100"/>
      <c r="HU218" s="100"/>
      <c r="HV218" s="100"/>
      <c r="HW218" s="100"/>
      <c r="HX218" s="100"/>
      <c r="HY218" s="100"/>
      <c r="HZ218" s="100"/>
    </row>
    <row r="219" customFormat="false" ht="12.8" hidden="false" customHeight="false" outlineLevel="0" collapsed="false">
      <c r="A219" s="100"/>
      <c r="B219" s="100"/>
      <c r="C219" s="100"/>
      <c r="D219" s="100"/>
      <c r="E219" s="100"/>
      <c r="F219" s="100"/>
      <c r="G219" s="163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63"/>
      <c r="AJ219" s="100"/>
      <c r="AK219" s="100"/>
      <c r="AL219" s="163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  <c r="AW219" s="100"/>
      <c r="AX219" s="100"/>
      <c r="AY219" s="100"/>
      <c r="AZ219" s="100"/>
      <c r="BA219" s="100"/>
      <c r="BB219" s="100"/>
      <c r="BC219" s="100"/>
      <c r="BD219" s="100"/>
      <c r="BE219" s="100"/>
      <c r="BF219" s="100"/>
      <c r="BG219" s="100"/>
      <c r="BH219" s="100"/>
      <c r="BI219" s="100"/>
      <c r="BJ219" s="100"/>
      <c r="BK219" s="100"/>
      <c r="BL219" s="100"/>
      <c r="BM219" s="100"/>
      <c r="BN219" s="100"/>
      <c r="BO219" s="100"/>
      <c r="BP219" s="100"/>
      <c r="BQ219" s="100"/>
      <c r="BR219" s="100"/>
      <c r="BS219" s="100"/>
      <c r="BT219" s="100"/>
      <c r="BU219" s="100"/>
      <c r="BV219" s="100"/>
      <c r="BW219" s="100"/>
      <c r="BX219" s="100"/>
      <c r="BY219" s="100"/>
      <c r="BZ219" s="100"/>
      <c r="CA219" s="100"/>
      <c r="CB219" s="100"/>
      <c r="CC219" s="100"/>
      <c r="CD219" s="100"/>
      <c r="CE219" s="100"/>
      <c r="CF219" s="100"/>
      <c r="CG219" s="100"/>
      <c r="CH219" s="100"/>
      <c r="CI219" s="100"/>
      <c r="CJ219" s="120"/>
      <c r="CK219" s="120"/>
      <c r="CL219" s="120"/>
      <c r="CM219" s="120"/>
      <c r="CN219" s="120"/>
      <c r="CO219" s="120"/>
      <c r="CP219" s="120"/>
      <c r="CQ219" s="100"/>
      <c r="CR219" s="100"/>
      <c r="CS219" s="100"/>
      <c r="CT219" s="100"/>
      <c r="CU219" s="100"/>
      <c r="CV219" s="100"/>
      <c r="CW219" s="100"/>
      <c r="CX219" s="100"/>
      <c r="CY219" s="100"/>
      <c r="CZ219" s="100"/>
      <c r="DA219" s="100"/>
      <c r="DB219" s="100"/>
      <c r="DC219" s="100"/>
      <c r="DD219" s="100"/>
      <c r="DE219" s="100"/>
      <c r="DF219" s="100"/>
      <c r="DG219" s="100"/>
      <c r="DH219" s="100"/>
      <c r="DI219" s="100"/>
      <c r="DJ219" s="100"/>
      <c r="DK219" s="100"/>
      <c r="DL219" s="100"/>
      <c r="DM219" s="100"/>
      <c r="DN219" s="100"/>
      <c r="DO219" s="100"/>
      <c r="DP219" s="100"/>
      <c r="DQ219" s="100"/>
      <c r="DR219" s="100"/>
      <c r="DS219" s="100"/>
      <c r="DT219" s="100"/>
      <c r="DU219" s="100"/>
      <c r="DV219" s="100"/>
      <c r="DW219" s="100"/>
      <c r="DX219" s="100"/>
      <c r="DY219" s="100"/>
      <c r="DZ219" s="100"/>
      <c r="EA219" s="100"/>
      <c r="EB219" s="100"/>
      <c r="EC219" s="100"/>
      <c r="ED219" s="100"/>
      <c r="EE219" s="100"/>
      <c r="EF219" s="100"/>
      <c r="EG219" s="100"/>
      <c r="EH219" s="100"/>
      <c r="EI219" s="100"/>
      <c r="EJ219" s="100"/>
      <c r="EK219" s="100"/>
      <c r="EL219" s="100"/>
      <c r="EM219" s="100"/>
      <c r="EN219" s="100"/>
      <c r="EO219" s="100"/>
      <c r="EP219" s="100"/>
      <c r="EQ219" s="100"/>
      <c r="ER219" s="100"/>
      <c r="ES219" s="100"/>
      <c r="ET219" s="100"/>
      <c r="EU219" s="100"/>
      <c r="EV219" s="100"/>
      <c r="EW219" s="100"/>
      <c r="EX219" s="100"/>
      <c r="EY219" s="100"/>
      <c r="EZ219" s="100"/>
      <c r="FA219" s="100"/>
      <c r="FB219" s="100"/>
      <c r="FC219" s="100"/>
      <c r="FD219" s="100"/>
      <c r="FE219" s="100"/>
      <c r="FF219" s="100"/>
      <c r="FG219" s="100"/>
      <c r="FH219" s="100"/>
      <c r="FI219" s="100"/>
      <c r="FJ219" s="100"/>
      <c r="FK219" s="100"/>
      <c r="FL219" s="100"/>
      <c r="FM219" s="100"/>
      <c r="FN219" s="100"/>
      <c r="FO219" s="100"/>
      <c r="FP219" s="100"/>
      <c r="FQ219" s="100"/>
      <c r="FR219" s="100"/>
      <c r="FS219" s="100"/>
      <c r="FT219" s="100"/>
      <c r="FU219" s="100"/>
      <c r="FV219" s="100"/>
      <c r="FW219" s="100"/>
      <c r="FX219" s="100"/>
      <c r="FY219" s="100"/>
      <c r="FZ219" s="100"/>
      <c r="GA219" s="100"/>
      <c r="GB219" s="100"/>
      <c r="GC219" s="100"/>
      <c r="GD219" s="100"/>
      <c r="GE219" s="100"/>
      <c r="GF219" s="100"/>
      <c r="GG219" s="100"/>
      <c r="GH219" s="100"/>
      <c r="GI219" s="100"/>
      <c r="GJ219" s="100"/>
      <c r="GK219" s="100"/>
      <c r="GL219" s="100"/>
      <c r="GM219" s="100"/>
      <c r="GN219" s="100"/>
      <c r="GO219" s="100"/>
      <c r="GP219" s="100"/>
      <c r="GQ219" s="100"/>
      <c r="GR219" s="100"/>
      <c r="GS219" s="100"/>
      <c r="GT219" s="100"/>
      <c r="GU219" s="100"/>
      <c r="GV219" s="100"/>
      <c r="GW219" s="100"/>
      <c r="GX219" s="100"/>
      <c r="GY219" s="100"/>
      <c r="GZ219" s="100"/>
      <c r="HA219" s="100"/>
      <c r="HB219" s="100"/>
      <c r="HC219" s="100"/>
      <c r="HD219" s="100"/>
      <c r="HE219" s="100"/>
      <c r="HF219" s="100"/>
      <c r="HG219" s="100"/>
      <c r="HH219" s="100"/>
      <c r="HI219" s="100"/>
      <c r="HJ219" s="100"/>
      <c r="HK219" s="100"/>
      <c r="HL219" s="100"/>
      <c r="HM219" s="100"/>
      <c r="HN219" s="100"/>
      <c r="HO219" s="100"/>
      <c r="HP219" s="100"/>
      <c r="HQ219" s="100"/>
      <c r="HR219" s="100"/>
      <c r="HS219" s="100"/>
      <c r="HT219" s="100"/>
      <c r="HU219" s="100"/>
      <c r="HV219" s="100"/>
      <c r="HW219" s="100"/>
      <c r="HX219" s="100"/>
      <c r="HY219" s="100"/>
      <c r="HZ219" s="100"/>
    </row>
    <row r="220" customFormat="false" ht="12.8" hidden="false" customHeight="false" outlineLevel="0" collapsed="false">
      <c r="A220" s="100"/>
      <c r="B220" s="100"/>
      <c r="C220" s="100"/>
      <c r="D220" s="100"/>
      <c r="E220" s="100"/>
      <c r="F220" s="100"/>
      <c r="G220" s="163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63"/>
      <c r="AJ220" s="100"/>
      <c r="AK220" s="100"/>
      <c r="AL220" s="163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  <c r="AW220" s="100"/>
      <c r="AX220" s="100"/>
      <c r="AY220" s="100"/>
      <c r="AZ220" s="100"/>
      <c r="BA220" s="100"/>
      <c r="BB220" s="100"/>
      <c r="BC220" s="100"/>
      <c r="BD220" s="100"/>
      <c r="BE220" s="100"/>
      <c r="BF220" s="100"/>
      <c r="BG220" s="100"/>
      <c r="BH220" s="100"/>
      <c r="BI220" s="100"/>
      <c r="BJ220" s="100"/>
      <c r="BK220" s="100"/>
      <c r="BL220" s="100"/>
      <c r="BM220" s="100"/>
      <c r="BN220" s="100"/>
      <c r="BO220" s="100"/>
      <c r="BP220" s="100"/>
      <c r="BQ220" s="100"/>
      <c r="BR220" s="100"/>
      <c r="BS220" s="100"/>
      <c r="BT220" s="100"/>
      <c r="BU220" s="100"/>
      <c r="BV220" s="100"/>
      <c r="BW220" s="100"/>
      <c r="BX220" s="100"/>
      <c r="BY220" s="100"/>
      <c r="BZ220" s="100"/>
      <c r="CA220" s="100"/>
      <c r="CB220" s="100"/>
      <c r="CC220" s="100"/>
      <c r="CD220" s="100"/>
      <c r="CE220" s="100"/>
      <c r="CF220" s="100"/>
      <c r="CG220" s="100"/>
      <c r="CH220" s="100"/>
      <c r="CI220" s="100"/>
      <c r="CJ220" s="120"/>
      <c r="CK220" s="120"/>
      <c r="CL220" s="120"/>
      <c r="CM220" s="120"/>
      <c r="CN220" s="120"/>
      <c r="CO220" s="120"/>
      <c r="CP220" s="120"/>
      <c r="CQ220" s="100"/>
      <c r="CR220" s="100"/>
      <c r="CS220" s="100"/>
      <c r="CT220" s="100"/>
      <c r="CU220" s="100"/>
      <c r="CV220" s="100"/>
      <c r="CW220" s="100"/>
      <c r="CX220" s="100"/>
      <c r="CY220" s="100"/>
      <c r="CZ220" s="100"/>
      <c r="DA220" s="100"/>
      <c r="DB220" s="100"/>
      <c r="DC220" s="100"/>
      <c r="DD220" s="100"/>
      <c r="DE220" s="100"/>
      <c r="DF220" s="100"/>
      <c r="DG220" s="100"/>
      <c r="DH220" s="100"/>
      <c r="DI220" s="100"/>
      <c r="DJ220" s="100"/>
      <c r="DK220" s="100"/>
      <c r="DL220" s="100"/>
      <c r="DM220" s="100"/>
      <c r="DN220" s="100"/>
      <c r="DO220" s="100"/>
      <c r="DP220" s="100"/>
      <c r="DQ220" s="100"/>
      <c r="DR220" s="100"/>
      <c r="DS220" s="100"/>
      <c r="DT220" s="100"/>
      <c r="DU220" s="100"/>
      <c r="DV220" s="100"/>
      <c r="DW220" s="100"/>
      <c r="DX220" s="100"/>
      <c r="DY220" s="100"/>
      <c r="DZ220" s="100"/>
      <c r="EA220" s="100"/>
      <c r="EB220" s="100"/>
      <c r="EC220" s="100"/>
      <c r="ED220" s="100"/>
      <c r="EE220" s="100"/>
      <c r="EF220" s="100"/>
      <c r="EG220" s="100"/>
      <c r="EH220" s="100"/>
      <c r="EI220" s="100"/>
      <c r="EJ220" s="100"/>
      <c r="EK220" s="100"/>
      <c r="EL220" s="100"/>
      <c r="EM220" s="100"/>
      <c r="EN220" s="100"/>
      <c r="EO220" s="100"/>
      <c r="EP220" s="100"/>
      <c r="EQ220" s="100"/>
      <c r="ER220" s="100"/>
      <c r="ES220" s="100"/>
      <c r="ET220" s="100"/>
      <c r="EU220" s="100"/>
      <c r="EV220" s="100"/>
      <c r="EW220" s="100"/>
      <c r="EX220" s="100"/>
      <c r="EY220" s="100"/>
      <c r="EZ220" s="100"/>
      <c r="FA220" s="100"/>
      <c r="FB220" s="100"/>
      <c r="FC220" s="100"/>
      <c r="FD220" s="100"/>
      <c r="FE220" s="100"/>
      <c r="FF220" s="100"/>
      <c r="FG220" s="100"/>
      <c r="FH220" s="100"/>
      <c r="FI220" s="100"/>
      <c r="FJ220" s="100"/>
      <c r="FK220" s="100"/>
      <c r="FL220" s="100"/>
      <c r="FM220" s="100"/>
      <c r="FN220" s="100"/>
      <c r="FO220" s="100"/>
      <c r="FP220" s="100"/>
      <c r="FQ220" s="100"/>
      <c r="FR220" s="100"/>
      <c r="FS220" s="100"/>
      <c r="FT220" s="100"/>
      <c r="FU220" s="100"/>
      <c r="FV220" s="100"/>
      <c r="FW220" s="100"/>
      <c r="FX220" s="100"/>
      <c r="FY220" s="100"/>
      <c r="FZ220" s="100"/>
      <c r="GA220" s="100"/>
      <c r="GB220" s="100"/>
      <c r="GC220" s="100"/>
      <c r="GD220" s="100"/>
      <c r="GE220" s="100"/>
      <c r="GF220" s="100"/>
      <c r="GG220" s="100"/>
      <c r="GH220" s="100"/>
      <c r="GI220" s="100"/>
      <c r="GJ220" s="100"/>
      <c r="GK220" s="100"/>
      <c r="GL220" s="100"/>
      <c r="GM220" s="100"/>
      <c r="GN220" s="100"/>
      <c r="GO220" s="100"/>
      <c r="GP220" s="100"/>
      <c r="GQ220" s="100"/>
      <c r="GR220" s="100"/>
      <c r="GS220" s="100"/>
      <c r="GT220" s="100"/>
      <c r="GU220" s="100"/>
      <c r="GV220" s="100"/>
      <c r="GW220" s="100"/>
      <c r="GX220" s="100"/>
      <c r="GY220" s="100"/>
      <c r="GZ220" s="100"/>
      <c r="HA220" s="100"/>
      <c r="HB220" s="100"/>
      <c r="HC220" s="100"/>
      <c r="HD220" s="100"/>
      <c r="HE220" s="100"/>
      <c r="HF220" s="100"/>
      <c r="HG220" s="100"/>
      <c r="HH220" s="100"/>
      <c r="HI220" s="100"/>
      <c r="HJ220" s="100"/>
      <c r="HK220" s="100"/>
      <c r="HL220" s="100"/>
      <c r="HM220" s="100"/>
      <c r="HN220" s="100"/>
      <c r="HO220" s="100"/>
      <c r="HP220" s="100"/>
      <c r="HQ220" s="100"/>
      <c r="HR220" s="100"/>
      <c r="HS220" s="100"/>
      <c r="HT220" s="100"/>
      <c r="HU220" s="100"/>
      <c r="HV220" s="100"/>
      <c r="HW220" s="100"/>
      <c r="HX220" s="100"/>
      <c r="HY220" s="100"/>
      <c r="HZ220" s="100"/>
    </row>
    <row r="221" customFormat="false" ht="12.8" hidden="false" customHeight="false" outlineLevel="0" collapsed="false">
      <c r="A221" s="100"/>
      <c r="B221" s="100"/>
      <c r="C221" s="100"/>
      <c r="D221" s="100"/>
      <c r="E221" s="100"/>
      <c r="F221" s="100"/>
      <c r="G221" s="163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63"/>
      <c r="AJ221" s="100"/>
      <c r="AK221" s="100"/>
      <c r="AL221" s="163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  <c r="AW221" s="100"/>
      <c r="AX221" s="100"/>
      <c r="AY221" s="100"/>
      <c r="AZ221" s="100"/>
      <c r="BA221" s="100"/>
      <c r="BB221" s="100"/>
      <c r="BC221" s="100"/>
      <c r="BD221" s="100"/>
      <c r="BE221" s="100"/>
      <c r="BF221" s="100"/>
      <c r="BG221" s="100"/>
      <c r="BH221" s="100"/>
      <c r="BI221" s="100"/>
      <c r="BJ221" s="100"/>
      <c r="BK221" s="100"/>
      <c r="BL221" s="100"/>
      <c r="BM221" s="100"/>
      <c r="BN221" s="100"/>
      <c r="BO221" s="100"/>
      <c r="BP221" s="100"/>
      <c r="BQ221" s="100"/>
      <c r="BR221" s="100"/>
      <c r="BS221" s="100"/>
      <c r="BT221" s="100"/>
      <c r="BU221" s="100"/>
      <c r="BV221" s="100"/>
      <c r="BW221" s="100"/>
      <c r="BX221" s="100"/>
      <c r="BY221" s="100"/>
      <c r="BZ221" s="100"/>
      <c r="CA221" s="100"/>
      <c r="CB221" s="100"/>
      <c r="CC221" s="100"/>
      <c r="CD221" s="100"/>
      <c r="CE221" s="100"/>
      <c r="CF221" s="100"/>
      <c r="CG221" s="100"/>
      <c r="CH221" s="100"/>
      <c r="CI221" s="100"/>
      <c r="CJ221" s="120"/>
      <c r="CK221" s="120"/>
      <c r="CL221" s="120"/>
      <c r="CM221" s="120"/>
      <c r="CN221" s="120"/>
      <c r="CO221" s="120"/>
      <c r="CP221" s="120"/>
      <c r="CQ221" s="100"/>
      <c r="CR221" s="100"/>
      <c r="CS221" s="100"/>
      <c r="CT221" s="100"/>
      <c r="CU221" s="100"/>
      <c r="CV221" s="100"/>
      <c r="CW221" s="100"/>
      <c r="CX221" s="100"/>
      <c r="CY221" s="100"/>
      <c r="CZ221" s="100"/>
      <c r="DA221" s="100"/>
      <c r="DB221" s="100"/>
      <c r="DC221" s="100"/>
      <c r="DD221" s="100"/>
      <c r="DE221" s="100"/>
      <c r="DF221" s="100"/>
      <c r="DG221" s="100"/>
      <c r="DH221" s="100"/>
      <c r="DI221" s="100"/>
      <c r="DJ221" s="100"/>
      <c r="DK221" s="100"/>
      <c r="DL221" s="100"/>
      <c r="DM221" s="100"/>
      <c r="DN221" s="100"/>
      <c r="DO221" s="100"/>
      <c r="DP221" s="100"/>
      <c r="DQ221" s="100"/>
      <c r="DR221" s="100"/>
      <c r="DS221" s="100"/>
      <c r="DT221" s="100"/>
      <c r="DU221" s="100"/>
      <c r="DV221" s="100"/>
      <c r="DW221" s="100"/>
      <c r="DX221" s="100"/>
      <c r="DY221" s="100"/>
      <c r="DZ221" s="100"/>
      <c r="EA221" s="100"/>
      <c r="EB221" s="100"/>
      <c r="EC221" s="100"/>
      <c r="ED221" s="100"/>
      <c r="EE221" s="100"/>
      <c r="EF221" s="100"/>
      <c r="EG221" s="100"/>
      <c r="EH221" s="100"/>
      <c r="EI221" s="100"/>
      <c r="EJ221" s="100"/>
      <c r="EK221" s="100"/>
      <c r="EL221" s="100"/>
      <c r="EM221" s="100"/>
      <c r="EN221" s="100"/>
      <c r="EO221" s="100"/>
      <c r="EP221" s="100"/>
      <c r="EQ221" s="100"/>
      <c r="ER221" s="100"/>
      <c r="ES221" s="100"/>
      <c r="ET221" s="100"/>
      <c r="EU221" s="100"/>
      <c r="EV221" s="100"/>
      <c r="EW221" s="100"/>
      <c r="EX221" s="100"/>
      <c r="EY221" s="100"/>
      <c r="EZ221" s="100"/>
      <c r="FA221" s="100"/>
      <c r="FB221" s="100"/>
      <c r="FC221" s="100"/>
      <c r="FD221" s="100"/>
      <c r="FE221" s="100"/>
      <c r="FF221" s="100"/>
      <c r="FG221" s="100"/>
      <c r="FH221" s="100"/>
      <c r="FI221" s="100"/>
      <c r="FJ221" s="100"/>
      <c r="FK221" s="100"/>
      <c r="FL221" s="100"/>
      <c r="FM221" s="100"/>
      <c r="FN221" s="100"/>
      <c r="FO221" s="100"/>
      <c r="FP221" s="100"/>
      <c r="FQ221" s="100"/>
      <c r="FR221" s="100"/>
      <c r="FS221" s="100"/>
      <c r="FT221" s="100"/>
      <c r="FU221" s="100"/>
      <c r="FV221" s="100"/>
      <c r="FW221" s="100"/>
      <c r="FX221" s="100"/>
      <c r="FY221" s="100"/>
      <c r="FZ221" s="100"/>
      <c r="GA221" s="100"/>
      <c r="GB221" s="100"/>
      <c r="GC221" s="100"/>
      <c r="GD221" s="100"/>
      <c r="GE221" s="100"/>
      <c r="GF221" s="100"/>
      <c r="GG221" s="100"/>
      <c r="GH221" s="100"/>
      <c r="GI221" s="100"/>
      <c r="GJ221" s="100"/>
      <c r="GK221" s="100"/>
      <c r="GL221" s="100"/>
      <c r="GM221" s="100"/>
      <c r="GN221" s="100"/>
      <c r="GO221" s="100"/>
      <c r="GP221" s="100"/>
      <c r="GQ221" s="100"/>
      <c r="GR221" s="100"/>
      <c r="GS221" s="100"/>
      <c r="GT221" s="100"/>
      <c r="GU221" s="100"/>
      <c r="GV221" s="100"/>
      <c r="GW221" s="100"/>
      <c r="GX221" s="100"/>
      <c r="GY221" s="100"/>
      <c r="GZ221" s="100"/>
      <c r="HA221" s="100"/>
      <c r="HB221" s="100"/>
      <c r="HC221" s="100"/>
      <c r="HD221" s="100"/>
      <c r="HE221" s="100"/>
      <c r="HF221" s="100"/>
      <c r="HG221" s="100"/>
      <c r="HH221" s="100"/>
      <c r="HI221" s="100"/>
      <c r="HJ221" s="100"/>
      <c r="HK221" s="100"/>
      <c r="HL221" s="100"/>
      <c r="HM221" s="100"/>
      <c r="HN221" s="100"/>
      <c r="HO221" s="100"/>
      <c r="HP221" s="100"/>
      <c r="HQ221" s="100"/>
      <c r="HR221" s="100"/>
      <c r="HS221" s="100"/>
      <c r="HT221" s="100"/>
      <c r="HU221" s="100"/>
      <c r="HV221" s="100"/>
      <c r="HW221" s="100"/>
      <c r="HX221" s="100"/>
      <c r="HY221" s="100"/>
      <c r="HZ221" s="100"/>
    </row>
    <row r="222" customFormat="false" ht="12.8" hidden="false" customHeight="false" outlineLevel="0" collapsed="false">
      <c r="A222" s="100"/>
      <c r="B222" s="100"/>
      <c r="C222" s="100"/>
      <c r="D222" s="100"/>
      <c r="E222" s="100"/>
      <c r="F222" s="100"/>
      <c r="G222" s="163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63"/>
      <c r="AJ222" s="100"/>
      <c r="AK222" s="100"/>
      <c r="AL222" s="163"/>
      <c r="AM222" s="100"/>
      <c r="AN222" s="100"/>
      <c r="AO222" s="100"/>
      <c r="AP222" s="100"/>
      <c r="AQ222" s="100"/>
      <c r="AR222" s="100"/>
      <c r="AS222" s="100"/>
      <c r="AT222" s="100"/>
      <c r="AU222" s="100"/>
      <c r="AV222" s="100"/>
      <c r="AW222" s="100"/>
      <c r="AX222" s="100"/>
      <c r="AY222" s="100"/>
      <c r="AZ222" s="100"/>
      <c r="BA222" s="100"/>
      <c r="BB222" s="100"/>
      <c r="BC222" s="100"/>
      <c r="BD222" s="100"/>
      <c r="BE222" s="100"/>
      <c r="BF222" s="100"/>
      <c r="BG222" s="100"/>
      <c r="BH222" s="100"/>
      <c r="BI222" s="100"/>
      <c r="BJ222" s="100"/>
      <c r="BK222" s="100"/>
      <c r="BL222" s="100"/>
      <c r="BM222" s="100"/>
      <c r="BN222" s="100"/>
      <c r="BO222" s="100"/>
      <c r="BP222" s="100"/>
      <c r="BQ222" s="100"/>
      <c r="BR222" s="100"/>
      <c r="BS222" s="100"/>
      <c r="BT222" s="100"/>
      <c r="BU222" s="100"/>
      <c r="BV222" s="100"/>
      <c r="BW222" s="100"/>
      <c r="BX222" s="100"/>
      <c r="BY222" s="100"/>
      <c r="BZ222" s="100"/>
      <c r="CA222" s="100"/>
      <c r="CB222" s="100"/>
      <c r="CC222" s="100"/>
      <c r="CD222" s="100"/>
      <c r="CE222" s="100"/>
      <c r="CF222" s="100"/>
      <c r="CG222" s="100"/>
      <c r="CH222" s="100"/>
      <c r="CI222" s="100"/>
      <c r="CJ222" s="120"/>
      <c r="CK222" s="120"/>
      <c r="CL222" s="120"/>
      <c r="CM222" s="120"/>
      <c r="CN222" s="120"/>
      <c r="CO222" s="120"/>
      <c r="CP222" s="120"/>
      <c r="CQ222" s="100"/>
      <c r="CR222" s="100"/>
      <c r="CS222" s="100"/>
      <c r="CT222" s="100"/>
      <c r="CU222" s="100"/>
      <c r="CV222" s="100"/>
      <c r="CW222" s="100"/>
      <c r="CX222" s="100"/>
      <c r="CY222" s="100"/>
      <c r="CZ222" s="100"/>
      <c r="DA222" s="100"/>
      <c r="DB222" s="100"/>
      <c r="DC222" s="100"/>
      <c r="DD222" s="100"/>
      <c r="DE222" s="100"/>
      <c r="DF222" s="100"/>
      <c r="DG222" s="100"/>
      <c r="DH222" s="100"/>
      <c r="DI222" s="100"/>
      <c r="DJ222" s="100"/>
      <c r="DK222" s="100"/>
      <c r="DL222" s="100"/>
      <c r="DM222" s="100"/>
      <c r="DN222" s="100"/>
      <c r="DO222" s="100"/>
      <c r="DP222" s="100"/>
      <c r="DQ222" s="100"/>
      <c r="DR222" s="100"/>
      <c r="DS222" s="100"/>
      <c r="DT222" s="100"/>
      <c r="DU222" s="100"/>
      <c r="DV222" s="100"/>
      <c r="DW222" s="100"/>
      <c r="DX222" s="100"/>
      <c r="DY222" s="100"/>
      <c r="DZ222" s="100"/>
      <c r="EA222" s="100"/>
      <c r="EB222" s="100"/>
      <c r="EC222" s="100"/>
      <c r="ED222" s="100"/>
      <c r="EE222" s="100"/>
      <c r="EF222" s="100"/>
      <c r="EG222" s="100"/>
      <c r="EH222" s="100"/>
      <c r="EI222" s="100"/>
      <c r="EJ222" s="100"/>
      <c r="EK222" s="100"/>
      <c r="EL222" s="100"/>
      <c r="EM222" s="100"/>
      <c r="EN222" s="100"/>
      <c r="EO222" s="100"/>
      <c r="EP222" s="100"/>
      <c r="EQ222" s="100"/>
      <c r="ER222" s="100"/>
      <c r="ES222" s="100"/>
      <c r="ET222" s="100"/>
      <c r="EU222" s="100"/>
      <c r="EV222" s="100"/>
      <c r="EW222" s="100"/>
      <c r="EX222" s="100"/>
      <c r="EY222" s="100"/>
      <c r="EZ222" s="100"/>
      <c r="FA222" s="100"/>
      <c r="FB222" s="100"/>
      <c r="FC222" s="100"/>
      <c r="FD222" s="100"/>
      <c r="FE222" s="100"/>
      <c r="FF222" s="100"/>
      <c r="FG222" s="100"/>
      <c r="FH222" s="100"/>
      <c r="FI222" s="100"/>
      <c r="FJ222" s="100"/>
      <c r="FK222" s="100"/>
      <c r="FL222" s="100"/>
      <c r="FM222" s="100"/>
      <c r="FN222" s="100"/>
      <c r="FO222" s="100"/>
      <c r="FP222" s="100"/>
      <c r="FQ222" s="100"/>
      <c r="FR222" s="100"/>
      <c r="FS222" s="100"/>
      <c r="FT222" s="100"/>
      <c r="FU222" s="100"/>
      <c r="FV222" s="100"/>
      <c r="FW222" s="100"/>
      <c r="FX222" s="100"/>
      <c r="FY222" s="100"/>
      <c r="FZ222" s="100"/>
      <c r="GA222" s="100"/>
      <c r="GB222" s="100"/>
      <c r="GC222" s="100"/>
      <c r="GD222" s="100"/>
      <c r="GE222" s="100"/>
      <c r="GF222" s="100"/>
      <c r="GG222" s="100"/>
      <c r="GH222" s="100"/>
      <c r="GI222" s="100"/>
      <c r="GJ222" s="100"/>
      <c r="GK222" s="100"/>
      <c r="GL222" s="100"/>
      <c r="GM222" s="100"/>
      <c r="GN222" s="100"/>
      <c r="GO222" s="100"/>
      <c r="GP222" s="100"/>
      <c r="GQ222" s="100"/>
      <c r="GR222" s="100"/>
      <c r="GS222" s="100"/>
      <c r="GT222" s="100"/>
      <c r="GU222" s="100"/>
      <c r="GV222" s="100"/>
      <c r="GW222" s="100"/>
      <c r="GX222" s="100"/>
      <c r="GY222" s="100"/>
      <c r="GZ222" s="100"/>
      <c r="HA222" s="100"/>
      <c r="HB222" s="100"/>
      <c r="HC222" s="100"/>
      <c r="HD222" s="100"/>
      <c r="HE222" s="100"/>
      <c r="HF222" s="100"/>
      <c r="HG222" s="100"/>
      <c r="HH222" s="100"/>
      <c r="HI222" s="100"/>
      <c r="HJ222" s="100"/>
      <c r="HK222" s="100"/>
      <c r="HL222" s="100"/>
      <c r="HM222" s="100"/>
      <c r="HN222" s="100"/>
      <c r="HO222" s="100"/>
      <c r="HP222" s="100"/>
      <c r="HQ222" s="100"/>
      <c r="HR222" s="100"/>
      <c r="HS222" s="100"/>
      <c r="HT222" s="100"/>
      <c r="HU222" s="100"/>
      <c r="HV222" s="100"/>
      <c r="HW222" s="100"/>
      <c r="HX222" s="100"/>
      <c r="HY222" s="100"/>
      <c r="HZ222" s="100"/>
    </row>
    <row r="223" customFormat="false" ht="12.8" hidden="false" customHeight="false" outlineLevel="0" collapsed="false">
      <c r="A223" s="100"/>
      <c r="B223" s="100"/>
      <c r="C223" s="100"/>
      <c r="D223" s="100"/>
      <c r="E223" s="100"/>
      <c r="F223" s="100"/>
      <c r="G223" s="163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63"/>
      <c r="AJ223" s="100"/>
      <c r="AK223" s="100"/>
      <c r="AL223" s="163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  <c r="AW223" s="100"/>
      <c r="AX223" s="100"/>
      <c r="AY223" s="100"/>
      <c r="AZ223" s="100"/>
      <c r="BA223" s="100"/>
      <c r="BB223" s="100"/>
      <c r="BC223" s="100"/>
      <c r="BD223" s="100"/>
      <c r="BE223" s="100"/>
      <c r="BF223" s="100"/>
      <c r="BG223" s="100"/>
      <c r="BH223" s="100"/>
      <c r="BI223" s="100"/>
      <c r="BJ223" s="100"/>
      <c r="BK223" s="100"/>
      <c r="BL223" s="100"/>
      <c r="BM223" s="100"/>
      <c r="BN223" s="100"/>
      <c r="BO223" s="100"/>
      <c r="BP223" s="100"/>
      <c r="BQ223" s="100"/>
      <c r="BR223" s="100"/>
      <c r="BS223" s="100"/>
      <c r="BT223" s="100"/>
      <c r="BU223" s="100"/>
      <c r="BV223" s="100"/>
      <c r="BW223" s="100"/>
      <c r="BX223" s="100"/>
      <c r="BY223" s="100"/>
      <c r="BZ223" s="100"/>
      <c r="CA223" s="100"/>
      <c r="CB223" s="100"/>
      <c r="CC223" s="100"/>
      <c r="CD223" s="100"/>
      <c r="CE223" s="100"/>
      <c r="CF223" s="100"/>
      <c r="CG223" s="100"/>
      <c r="CH223" s="100"/>
      <c r="CI223" s="100"/>
      <c r="CJ223" s="120"/>
      <c r="CK223" s="120"/>
      <c r="CL223" s="120"/>
      <c r="CM223" s="120"/>
      <c r="CN223" s="120"/>
      <c r="CO223" s="120"/>
      <c r="CP223" s="120"/>
      <c r="CQ223" s="100"/>
      <c r="CR223" s="100"/>
      <c r="CS223" s="100"/>
      <c r="CT223" s="100"/>
      <c r="CU223" s="100"/>
      <c r="CV223" s="100"/>
      <c r="CW223" s="100"/>
      <c r="CX223" s="100"/>
      <c r="CY223" s="100"/>
      <c r="CZ223" s="100"/>
      <c r="DA223" s="100"/>
      <c r="DB223" s="100"/>
      <c r="DC223" s="100"/>
      <c r="DD223" s="100"/>
      <c r="DE223" s="100"/>
      <c r="DF223" s="100"/>
      <c r="DG223" s="100"/>
      <c r="DH223" s="100"/>
      <c r="DI223" s="100"/>
      <c r="DJ223" s="100"/>
      <c r="DK223" s="100"/>
      <c r="DL223" s="100"/>
      <c r="DM223" s="100"/>
      <c r="DN223" s="100"/>
      <c r="DO223" s="100"/>
      <c r="DP223" s="100"/>
      <c r="DQ223" s="100"/>
      <c r="DR223" s="100"/>
      <c r="DS223" s="100"/>
      <c r="DT223" s="100"/>
      <c r="DU223" s="100"/>
      <c r="DV223" s="100"/>
      <c r="DW223" s="100"/>
      <c r="DX223" s="100"/>
      <c r="DY223" s="100"/>
      <c r="DZ223" s="100"/>
      <c r="EA223" s="100"/>
      <c r="EB223" s="100"/>
      <c r="EC223" s="100"/>
      <c r="ED223" s="100"/>
      <c r="EE223" s="100"/>
      <c r="EF223" s="100"/>
      <c r="EG223" s="100"/>
      <c r="EH223" s="100"/>
      <c r="EI223" s="100"/>
      <c r="EJ223" s="100"/>
      <c r="EK223" s="100"/>
      <c r="EL223" s="100"/>
      <c r="EM223" s="100"/>
      <c r="EN223" s="100"/>
      <c r="EO223" s="100"/>
      <c r="EP223" s="100"/>
      <c r="EQ223" s="100"/>
      <c r="ER223" s="100"/>
      <c r="ES223" s="100"/>
      <c r="ET223" s="100"/>
      <c r="EU223" s="100"/>
      <c r="EV223" s="100"/>
      <c r="EW223" s="100"/>
      <c r="EX223" s="100"/>
      <c r="EY223" s="100"/>
      <c r="EZ223" s="100"/>
      <c r="FA223" s="100"/>
      <c r="FB223" s="100"/>
      <c r="FC223" s="100"/>
      <c r="FD223" s="100"/>
      <c r="FE223" s="100"/>
      <c r="FF223" s="100"/>
      <c r="FG223" s="100"/>
      <c r="FH223" s="100"/>
      <c r="FI223" s="100"/>
      <c r="FJ223" s="100"/>
      <c r="FK223" s="100"/>
      <c r="FL223" s="100"/>
      <c r="FM223" s="100"/>
      <c r="FN223" s="100"/>
      <c r="FO223" s="100"/>
      <c r="FP223" s="100"/>
      <c r="FQ223" s="100"/>
      <c r="FR223" s="100"/>
      <c r="FS223" s="100"/>
      <c r="FT223" s="100"/>
      <c r="FU223" s="100"/>
      <c r="FV223" s="100"/>
      <c r="FW223" s="100"/>
      <c r="FX223" s="100"/>
      <c r="FY223" s="100"/>
      <c r="FZ223" s="100"/>
      <c r="GA223" s="100"/>
      <c r="GB223" s="100"/>
      <c r="GC223" s="100"/>
      <c r="GD223" s="100"/>
      <c r="GE223" s="100"/>
      <c r="GF223" s="100"/>
      <c r="GG223" s="100"/>
      <c r="GH223" s="100"/>
      <c r="GI223" s="100"/>
      <c r="GJ223" s="100"/>
      <c r="GK223" s="100"/>
      <c r="GL223" s="100"/>
      <c r="GM223" s="100"/>
      <c r="GN223" s="100"/>
      <c r="GO223" s="100"/>
      <c r="GP223" s="100"/>
      <c r="GQ223" s="100"/>
      <c r="GR223" s="100"/>
      <c r="GS223" s="100"/>
      <c r="GT223" s="100"/>
      <c r="GU223" s="100"/>
      <c r="GV223" s="100"/>
      <c r="GW223" s="100"/>
      <c r="GX223" s="100"/>
      <c r="GY223" s="100"/>
      <c r="GZ223" s="100"/>
      <c r="HA223" s="100"/>
      <c r="HB223" s="100"/>
      <c r="HC223" s="100"/>
      <c r="HD223" s="100"/>
      <c r="HE223" s="100"/>
      <c r="HF223" s="100"/>
      <c r="HG223" s="100"/>
      <c r="HH223" s="100"/>
      <c r="HI223" s="100"/>
      <c r="HJ223" s="100"/>
      <c r="HK223" s="100"/>
      <c r="HL223" s="100"/>
      <c r="HM223" s="100"/>
      <c r="HN223" s="100"/>
      <c r="HO223" s="100"/>
      <c r="HP223" s="100"/>
      <c r="HQ223" s="100"/>
      <c r="HR223" s="100"/>
      <c r="HS223" s="100"/>
      <c r="HT223" s="100"/>
      <c r="HU223" s="100"/>
      <c r="HV223" s="100"/>
      <c r="HW223" s="100"/>
      <c r="HX223" s="100"/>
      <c r="HY223" s="100"/>
      <c r="HZ223" s="100"/>
    </row>
    <row r="224" customFormat="false" ht="12.8" hidden="false" customHeight="false" outlineLevel="0" collapsed="false">
      <c r="A224" s="100"/>
      <c r="B224" s="100"/>
      <c r="C224" s="100"/>
      <c r="D224" s="100"/>
      <c r="E224" s="100"/>
      <c r="F224" s="100"/>
      <c r="G224" s="163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63"/>
      <c r="AJ224" s="100"/>
      <c r="AK224" s="100"/>
      <c r="AL224" s="163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  <c r="AW224" s="100"/>
      <c r="AX224" s="100"/>
      <c r="AY224" s="100"/>
      <c r="AZ224" s="100"/>
      <c r="BA224" s="100"/>
      <c r="BB224" s="100"/>
      <c r="BC224" s="100"/>
      <c r="BD224" s="100"/>
      <c r="BE224" s="100"/>
      <c r="BF224" s="100"/>
      <c r="BG224" s="100"/>
      <c r="BH224" s="100"/>
      <c r="BI224" s="100"/>
      <c r="BJ224" s="100"/>
      <c r="BK224" s="100"/>
      <c r="BL224" s="100"/>
      <c r="BM224" s="100"/>
      <c r="BN224" s="100"/>
      <c r="BO224" s="100"/>
      <c r="BP224" s="100"/>
      <c r="BQ224" s="100"/>
      <c r="BR224" s="100"/>
      <c r="BS224" s="100"/>
      <c r="BT224" s="100"/>
      <c r="BU224" s="100"/>
      <c r="BV224" s="100"/>
      <c r="BW224" s="100"/>
      <c r="BX224" s="100"/>
      <c r="BY224" s="100"/>
      <c r="BZ224" s="100"/>
      <c r="CA224" s="100"/>
      <c r="CB224" s="100"/>
      <c r="CC224" s="100"/>
      <c r="CD224" s="100"/>
      <c r="CE224" s="100"/>
      <c r="CF224" s="100"/>
      <c r="CG224" s="100"/>
      <c r="CH224" s="100"/>
      <c r="CI224" s="100"/>
      <c r="CJ224" s="120"/>
      <c r="CK224" s="120"/>
      <c r="CL224" s="120"/>
      <c r="CM224" s="120"/>
      <c r="CN224" s="120"/>
      <c r="CO224" s="120"/>
      <c r="CP224" s="120"/>
      <c r="CQ224" s="100"/>
      <c r="CR224" s="100"/>
      <c r="CS224" s="100"/>
      <c r="CT224" s="100"/>
      <c r="CU224" s="100"/>
      <c r="CV224" s="100"/>
      <c r="CW224" s="100"/>
      <c r="CX224" s="100"/>
      <c r="CY224" s="100"/>
      <c r="CZ224" s="100"/>
      <c r="DA224" s="100"/>
      <c r="DB224" s="100"/>
      <c r="DC224" s="100"/>
      <c r="DD224" s="100"/>
      <c r="DE224" s="100"/>
      <c r="DF224" s="100"/>
      <c r="DG224" s="100"/>
      <c r="DH224" s="100"/>
      <c r="DI224" s="100"/>
      <c r="DJ224" s="100"/>
      <c r="DK224" s="100"/>
      <c r="DL224" s="100"/>
      <c r="DM224" s="100"/>
      <c r="DN224" s="100"/>
      <c r="DO224" s="100"/>
      <c r="DP224" s="100"/>
      <c r="DQ224" s="100"/>
      <c r="DR224" s="100"/>
      <c r="DS224" s="100"/>
      <c r="DT224" s="100"/>
      <c r="DU224" s="100"/>
      <c r="DV224" s="100"/>
      <c r="DW224" s="100"/>
      <c r="DX224" s="100"/>
      <c r="DY224" s="100"/>
      <c r="DZ224" s="100"/>
      <c r="EA224" s="100"/>
      <c r="EB224" s="100"/>
      <c r="EC224" s="100"/>
      <c r="ED224" s="100"/>
      <c r="EE224" s="100"/>
      <c r="EF224" s="100"/>
      <c r="EG224" s="100"/>
      <c r="EH224" s="100"/>
      <c r="EI224" s="100"/>
      <c r="EJ224" s="100"/>
      <c r="EK224" s="100"/>
      <c r="EL224" s="100"/>
      <c r="EM224" s="100"/>
      <c r="EN224" s="100"/>
      <c r="EO224" s="100"/>
      <c r="EP224" s="100"/>
      <c r="EQ224" s="100"/>
      <c r="ER224" s="100"/>
      <c r="ES224" s="100"/>
      <c r="ET224" s="100"/>
      <c r="EU224" s="100"/>
      <c r="EV224" s="100"/>
      <c r="EW224" s="100"/>
      <c r="EX224" s="100"/>
      <c r="EY224" s="100"/>
      <c r="EZ224" s="100"/>
      <c r="FA224" s="100"/>
      <c r="FB224" s="100"/>
      <c r="FC224" s="100"/>
      <c r="FD224" s="100"/>
      <c r="FE224" s="100"/>
      <c r="FF224" s="100"/>
      <c r="FG224" s="100"/>
      <c r="FH224" s="100"/>
      <c r="FI224" s="100"/>
      <c r="FJ224" s="100"/>
      <c r="FK224" s="100"/>
      <c r="FL224" s="100"/>
      <c r="FM224" s="100"/>
      <c r="FN224" s="100"/>
      <c r="FO224" s="100"/>
      <c r="FP224" s="100"/>
      <c r="FQ224" s="100"/>
      <c r="FR224" s="100"/>
      <c r="FS224" s="100"/>
      <c r="FT224" s="100"/>
      <c r="FU224" s="100"/>
      <c r="FV224" s="100"/>
      <c r="FW224" s="100"/>
      <c r="FX224" s="100"/>
      <c r="FY224" s="100"/>
      <c r="FZ224" s="100"/>
      <c r="GA224" s="100"/>
      <c r="GB224" s="100"/>
      <c r="GC224" s="100"/>
      <c r="GD224" s="100"/>
      <c r="GE224" s="100"/>
      <c r="GF224" s="100"/>
      <c r="GG224" s="100"/>
      <c r="GH224" s="100"/>
      <c r="GI224" s="100"/>
      <c r="GJ224" s="100"/>
      <c r="GK224" s="100"/>
      <c r="GL224" s="100"/>
      <c r="GM224" s="100"/>
      <c r="GN224" s="100"/>
      <c r="GO224" s="100"/>
      <c r="GP224" s="100"/>
      <c r="GQ224" s="100"/>
      <c r="GR224" s="100"/>
      <c r="GS224" s="100"/>
      <c r="GT224" s="100"/>
      <c r="GU224" s="100"/>
      <c r="GV224" s="100"/>
      <c r="GW224" s="100"/>
      <c r="GX224" s="100"/>
      <c r="GY224" s="100"/>
      <c r="GZ224" s="100"/>
      <c r="HA224" s="100"/>
      <c r="HB224" s="100"/>
      <c r="HC224" s="100"/>
      <c r="HD224" s="100"/>
      <c r="HE224" s="100"/>
      <c r="HF224" s="100"/>
      <c r="HG224" s="100"/>
      <c r="HH224" s="100"/>
      <c r="HI224" s="100"/>
      <c r="HJ224" s="100"/>
      <c r="HK224" s="100"/>
      <c r="HL224" s="100"/>
      <c r="HM224" s="100"/>
      <c r="HN224" s="100"/>
      <c r="HO224" s="100"/>
      <c r="HP224" s="100"/>
      <c r="HQ224" s="100"/>
      <c r="HR224" s="100"/>
      <c r="HS224" s="100"/>
      <c r="HT224" s="100"/>
      <c r="HU224" s="100"/>
      <c r="HV224" s="100"/>
      <c r="HW224" s="100"/>
      <c r="HX224" s="100"/>
      <c r="HY224" s="100"/>
      <c r="HZ224" s="100"/>
    </row>
    <row r="225" customFormat="false" ht="12.8" hidden="false" customHeight="false" outlineLevel="0" collapsed="false">
      <c r="A225" s="100"/>
      <c r="B225" s="100"/>
      <c r="C225" s="100"/>
      <c r="D225" s="100"/>
      <c r="E225" s="100"/>
      <c r="F225" s="100"/>
      <c r="G225" s="163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63"/>
      <c r="AJ225" s="100"/>
      <c r="AK225" s="100"/>
      <c r="AL225" s="163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  <c r="AW225" s="100"/>
      <c r="AX225" s="100"/>
      <c r="AY225" s="100"/>
      <c r="AZ225" s="100"/>
      <c r="BA225" s="100"/>
      <c r="BB225" s="100"/>
      <c r="BC225" s="100"/>
      <c r="BD225" s="100"/>
      <c r="BE225" s="100"/>
      <c r="BF225" s="100"/>
      <c r="BG225" s="100"/>
      <c r="BH225" s="100"/>
      <c r="BI225" s="100"/>
      <c r="BJ225" s="100"/>
      <c r="BK225" s="100"/>
      <c r="BL225" s="100"/>
      <c r="BM225" s="100"/>
      <c r="BN225" s="100"/>
      <c r="BO225" s="100"/>
      <c r="BP225" s="100"/>
      <c r="BQ225" s="100"/>
      <c r="BR225" s="100"/>
      <c r="BS225" s="100"/>
      <c r="BT225" s="100"/>
      <c r="BU225" s="100"/>
      <c r="BV225" s="100"/>
      <c r="BW225" s="100"/>
      <c r="BX225" s="100"/>
      <c r="BY225" s="100"/>
      <c r="BZ225" s="100"/>
      <c r="CA225" s="100"/>
      <c r="CB225" s="100"/>
      <c r="CC225" s="100"/>
      <c r="CD225" s="100"/>
      <c r="CE225" s="100"/>
      <c r="CF225" s="100"/>
      <c r="CG225" s="100"/>
      <c r="CH225" s="100"/>
      <c r="CI225" s="100"/>
      <c r="CJ225" s="120"/>
      <c r="CK225" s="120"/>
      <c r="CL225" s="120"/>
      <c r="CM225" s="120"/>
      <c r="CN225" s="120"/>
      <c r="CO225" s="120"/>
      <c r="CP225" s="120"/>
      <c r="CQ225" s="100"/>
      <c r="CR225" s="100"/>
      <c r="CS225" s="100"/>
      <c r="CT225" s="100"/>
      <c r="CU225" s="100"/>
      <c r="CV225" s="100"/>
      <c r="CW225" s="100"/>
      <c r="CX225" s="100"/>
      <c r="CY225" s="100"/>
      <c r="CZ225" s="100"/>
      <c r="DA225" s="100"/>
      <c r="DB225" s="100"/>
      <c r="DC225" s="100"/>
      <c r="DD225" s="100"/>
      <c r="DE225" s="100"/>
      <c r="DF225" s="100"/>
      <c r="DG225" s="100"/>
      <c r="DH225" s="100"/>
      <c r="DI225" s="100"/>
      <c r="DJ225" s="100"/>
      <c r="DK225" s="100"/>
      <c r="DL225" s="100"/>
      <c r="DM225" s="100"/>
      <c r="DN225" s="100"/>
      <c r="DO225" s="100"/>
      <c r="DP225" s="100"/>
      <c r="DQ225" s="100"/>
      <c r="DR225" s="100"/>
      <c r="DS225" s="100"/>
      <c r="DT225" s="100"/>
      <c r="DU225" s="100"/>
      <c r="DV225" s="100"/>
      <c r="DW225" s="100"/>
      <c r="DX225" s="100"/>
      <c r="DY225" s="100"/>
      <c r="DZ225" s="100"/>
      <c r="EA225" s="100"/>
      <c r="EB225" s="100"/>
      <c r="EC225" s="100"/>
      <c r="ED225" s="100"/>
      <c r="EE225" s="100"/>
      <c r="EF225" s="100"/>
      <c r="EG225" s="100"/>
      <c r="EH225" s="100"/>
      <c r="EI225" s="100"/>
      <c r="EJ225" s="100"/>
      <c r="EK225" s="100"/>
      <c r="EL225" s="100"/>
      <c r="EM225" s="100"/>
      <c r="EN225" s="100"/>
      <c r="EO225" s="100"/>
      <c r="EP225" s="100"/>
      <c r="EQ225" s="100"/>
      <c r="ER225" s="100"/>
      <c r="ES225" s="100"/>
      <c r="ET225" s="100"/>
      <c r="EU225" s="100"/>
      <c r="EV225" s="100"/>
      <c r="EW225" s="100"/>
      <c r="EX225" s="100"/>
      <c r="EY225" s="100"/>
      <c r="EZ225" s="100"/>
      <c r="FA225" s="100"/>
      <c r="FB225" s="100"/>
      <c r="FC225" s="100"/>
      <c r="FD225" s="100"/>
      <c r="FE225" s="100"/>
      <c r="FF225" s="100"/>
      <c r="FG225" s="100"/>
      <c r="FH225" s="100"/>
      <c r="FI225" s="100"/>
      <c r="FJ225" s="100"/>
      <c r="FK225" s="100"/>
      <c r="FL225" s="100"/>
      <c r="FM225" s="100"/>
      <c r="FN225" s="100"/>
      <c r="FO225" s="100"/>
      <c r="FP225" s="100"/>
      <c r="FQ225" s="100"/>
      <c r="FR225" s="100"/>
      <c r="FS225" s="100"/>
      <c r="FT225" s="100"/>
      <c r="FU225" s="100"/>
      <c r="FV225" s="100"/>
      <c r="FW225" s="100"/>
      <c r="FX225" s="100"/>
      <c r="FY225" s="100"/>
      <c r="FZ225" s="100"/>
      <c r="GA225" s="100"/>
      <c r="GB225" s="100"/>
      <c r="GC225" s="100"/>
      <c r="GD225" s="100"/>
      <c r="GE225" s="100"/>
      <c r="GF225" s="100"/>
      <c r="GG225" s="100"/>
      <c r="GH225" s="100"/>
      <c r="GI225" s="100"/>
      <c r="GJ225" s="100"/>
      <c r="GK225" s="100"/>
      <c r="GL225" s="100"/>
      <c r="GM225" s="100"/>
      <c r="GN225" s="100"/>
      <c r="GO225" s="100"/>
      <c r="GP225" s="100"/>
      <c r="GQ225" s="100"/>
      <c r="GR225" s="100"/>
      <c r="GS225" s="100"/>
      <c r="GT225" s="100"/>
      <c r="GU225" s="100"/>
      <c r="GV225" s="100"/>
      <c r="GW225" s="100"/>
      <c r="GX225" s="100"/>
      <c r="GY225" s="100"/>
      <c r="GZ225" s="100"/>
      <c r="HA225" s="100"/>
      <c r="HB225" s="100"/>
      <c r="HC225" s="100"/>
      <c r="HD225" s="100"/>
      <c r="HE225" s="100"/>
      <c r="HF225" s="100"/>
      <c r="HG225" s="100"/>
      <c r="HH225" s="100"/>
      <c r="HI225" s="100"/>
      <c r="HJ225" s="100"/>
      <c r="HK225" s="100"/>
      <c r="HL225" s="100"/>
      <c r="HM225" s="100"/>
      <c r="HN225" s="100"/>
      <c r="HO225" s="100"/>
      <c r="HP225" s="100"/>
      <c r="HQ225" s="100"/>
      <c r="HR225" s="100"/>
      <c r="HS225" s="100"/>
      <c r="HT225" s="100"/>
      <c r="HU225" s="100"/>
      <c r="HV225" s="100"/>
      <c r="HW225" s="100"/>
      <c r="HX225" s="100"/>
      <c r="HY225" s="100"/>
      <c r="HZ225" s="100"/>
    </row>
    <row r="226" customFormat="false" ht="12.8" hidden="false" customHeight="false" outlineLevel="0" collapsed="false">
      <c r="A226" s="100"/>
      <c r="B226" s="100"/>
      <c r="C226" s="100"/>
      <c r="D226" s="100"/>
      <c r="E226" s="100"/>
      <c r="F226" s="100"/>
      <c r="G226" s="163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63"/>
      <c r="AJ226" s="100"/>
      <c r="AK226" s="100"/>
      <c r="AL226" s="163"/>
      <c r="AM226" s="100"/>
      <c r="AN226" s="100"/>
      <c r="AO226" s="100"/>
      <c r="AP226" s="100"/>
      <c r="AQ226" s="100"/>
      <c r="AR226" s="100"/>
      <c r="AS226" s="100"/>
      <c r="AT226" s="100"/>
      <c r="AU226" s="100"/>
      <c r="AV226" s="100"/>
      <c r="AW226" s="100"/>
      <c r="AX226" s="100"/>
      <c r="AY226" s="100"/>
      <c r="AZ226" s="100"/>
      <c r="BA226" s="100"/>
      <c r="BB226" s="100"/>
      <c r="BC226" s="100"/>
      <c r="BD226" s="100"/>
      <c r="BE226" s="100"/>
      <c r="BF226" s="100"/>
      <c r="BG226" s="100"/>
      <c r="BH226" s="100"/>
      <c r="BI226" s="100"/>
      <c r="BJ226" s="100"/>
      <c r="BK226" s="100"/>
      <c r="BL226" s="100"/>
      <c r="BM226" s="100"/>
      <c r="BN226" s="100"/>
      <c r="BO226" s="100"/>
      <c r="BP226" s="100"/>
      <c r="BQ226" s="100"/>
      <c r="BR226" s="100"/>
      <c r="BS226" s="100"/>
      <c r="BT226" s="100"/>
      <c r="BU226" s="100"/>
      <c r="BV226" s="100"/>
      <c r="BW226" s="100"/>
      <c r="BX226" s="100"/>
      <c r="BY226" s="100"/>
      <c r="BZ226" s="100"/>
      <c r="CA226" s="100"/>
      <c r="CB226" s="100"/>
      <c r="CC226" s="100"/>
      <c r="CD226" s="100"/>
      <c r="CE226" s="100"/>
      <c r="CF226" s="100"/>
      <c r="CG226" s="100"/>
      <c r="CH226" s="100"/>
      <c r="CI226" s="100"/>
      <c r="CJ226" s="120"/>
      <c r="CK226" s="120"/>
      <c r="CL226" s="120"/>
      <c r="CM226" s="120"/>
      <c r="CN226" s="120"/>
      <c r="CO226" s="120"/>
      <c r="CP226" s="120"/>
      <c r="CQ226" s="100"/>
      <c r="CR226" s="100"/>
      <c r="CS226" s="100"/>
      <c r="CT226" s="100"/>
      <c r="CU226" s="100"/>
      <c r="CV226" s="100"/>
      <c r="CW226" s="100"/>
      <c r="CX226" s="100"/>
      <c r="CY226" s="100"/>
      <c r="CZ226" s="100"/>
      <c r="DA226" s="100"/>
      <c r="DB226" s="100"/>
      <c r="DC226" s="100"/>
      <c r="DD226" s="100"/>
      <c r="DE226" s="100"/>
      <c r="DF226" s="100"/>
      <c r="DG226" s="100"/>
      <c r="DH226" s="100"/>
      <c r="DI226" s="100"/>
      <c r="DJ226" s="100"/>
      <c r="DK226" s="100"/>
      <c r="DL226" s="100"/>
      <c r="DM226" s="100"/>
      <c r="DN226" s="100"/>
      <c r="DO226" s="100"/>
      <c r="DP226" s="100"/>
      <c r="DQ226" s="100"/>
      <c r="DR226" s="100"/>
      <c r="DS226" s="100"/>
      <c r="DT226" s="100"/>
      <c r="DU226" s="100"/>
      <c r="DV226" s="100"/>
      <c r="DW226" s="100"/>
      <c r="DX226" s="100"/>
      <c r="DY226" s="100"/>
      <c r="DZ226" s="100"/>
      <c r="EA226" s="100"/>
      <c r="EB226" s="100"/>
      <c r="EC226" s="100"/>
      <c r="ED226" s="100"/>
      <c r="EE226" s="100"/>
      <c r="EF226" s="100"/>
      <c r="EG226" s="100"/>
      <c r="EH226" s="100"/>
      <c r="EI226" s="100"/>
      <c r="EJ226" s="100"/>
      <c r="EK226" s="100"/>
      <c r="EL226" s="100"/>
      <c r="EM226" s="100"/>
      <c r="EN226" s="100"/>
      <c r="EO226" s="100"/>
      <c r="EP226" s="100"/>
      <c r="EQ226" s="100"/>
      <c r="ER226" s="100"/>
      <c r="ES226" s="100"/>
      <c r="ET226" s="100"/>
      <c r="EU226" s="100"/>
      <c r="EV226" s="100"/>
      <c r="EW226" s="100"/>
      <c r="EX226" s="100"/>
      <c r="EY226" s="100"/>
      <c r="EZ226" s="100"/>
      <c r="FA226" s="100"/>
      <c r="FB226" s="100"/>
      <c r="FC226" s="100"/>
      <c r="FD226" s="100"/>
      <c r="FE226" s="100"/>
      <c r="FF226" s="100"/>
      <c r="FG226" s="100"/>
      <c r="FH226" s="100"/>
      <c r="FI226" s="100"/>
      <c r="FJ226" s="100"/>
      <c r="FK226" s="100"/>
      <c r="FL226" s="100"/>
      <c r="FM226" s="100"/>
      <c r="FN226" s="100"/>
      <c r="FO226" s="100"/>
      <c r="FP226" s="100"/>
      <c r="FQ226" s="100"/>
      <c r="FR226" s="100"/>
      <c r="FS226" s="100"/>
      <c r="FT226" s="100"/>
      <c r="FU226" s="100"/>
      <c r="FV226" s="100"/>
      <c r="FW226" s="100"/>
      <c r="FX226" s="100"/>
      <c r="FY226" s="100"/>
      <c r="FZ226" s="100"/>
      <c r="GA226" s="100"/>
      <c r="GB226" s="100"/>
      <c r="GC226" s="100"/>
      <c r="GD226" s="100"/>
      <c r="GE226" s="100"/>
      <c r="GF226" s="100"/>
      <c r="GG226" s="100"/>
      <c r="GH226" s="100"/>
      <c r="GI226" s="100"/>
      <c r="GJ226" s="100"/>
      <c r="GK226" s="100"/>
      <c r="GL226" s="100"/>
      <c r="GM226" s="100"/>
      <c r="GN226" s="100"/>
      <c r="GO226" s="100"/>
      <c r="GP226" s="100"/>
      <c r="GQ226" s="100"/>
      <c r="GR226" s="100"/>
      <c r="GS226" s="100"/>
      <c r="GT226" s="100"/>
      <c r="GU226" s="100"/>
      <c r="GV226" s="100"/>
      <c r="GW226" s="100"/>
      <c r="GX226" s="100"/>
      <c r="GY226" s="100"/>
      <c r="GZ226" s="100"/>
      <c r="HA226" s="100"/>
      <c r="HB226" s="100"/>
      <c r="HC226" s="100"/>
      <c r="HD226" s="100"/>
      <c r="HE226" s="100"/>
      <c r="HF226" s="100"/>
      <c r="HG226" s="100"/>
      <c r="HH226" s="100"/>
      <c r="HI226" s="100"/>
      <c r="HJ226" s="100"/>
      <c r="HK226" s="100"/>
      <c r="HL226" s="100"/>
      <c r="HM226" s="100"/>
      <c r="HN226" s="100"/>
      <c r="HO226" s="100"/>
      <c r="HP226" s="100"/>
      <c r="HQ226" s="100"/>
      <c r="HR226" s="100"/>
      <c r="HS226" s="100"/>
      <c r="HT226" s="100"/>
      <c r="HU226" s="100"/>
      <c r="HV226" s="100"/>
      <c r="HW226" s="100"/>
      <c r="HX226" s="100"/>
      <c r="HY226" s="100"/>
      <c r="HZ226" s="100"/>
    </row>
    <row r="227" customFormat="false" ht="12.8" hidden="false" customHeight="false" outlineLevel="0" collapsed="false">
      <c r="A227" s="100"/>
      <c r="B227" s="100"/>
      <c r="C227" s="100"/>
      <c r="D227" s="100"/>
      <c r="E227" s="100"/>
      <c r="F227" s="100"/>
      <c r="G227" s="163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63"/>
      <c r="AJ227" s="100"/>
      <c r="AK227" s="100"/>
      <c r="AL227" s="163"/>
      <c r="AM227" s="100"/>
      <c r="AN227" s="100"/>
      <c r="AO227" s="100"/>
      <c r="AP227" s="100"/>
      <c r="AQ227" s="100"/>
      <c r="AR227" s="100"/>
      <c r="AS227" s="100"/>
      <c r="AT227" s="100"/>
      <c r="AU227" s="100"/>
      <c r="AV227" s="100"/>
      <c r="AW227" s="100"/>
      <c r="AX227" s="100"/>
      <c r="AY227" s="100"/>
      <c r="AZ227" s="100"/>
      <c r="BA227" s="100"/>
      <c r="BB227" s="100"/>
      <c r="BC227" s="100"/>
      <c r="BD227" s="100"/>
      <c r="BE227" s="100"/>
      <c r="BF227" s="100"/>
      <c r="BG227" s="100"/>
      <c r="BH227" s="100"/>
      <c r="BI227" s="100"/>
      <c r="BJ227" s="100"/>
      <c r="BK227" s="100"/>
      <c r="BL227" s="100"/>
      <c r="BM227" s="100"/>
      <c r="BN227" s="100"/>
      <c r="BO227" s="100"/>
      <c r="BP227" s="100"/>
      <c r="BQ227" s="100"/>
      <c r="BR227" s="100"/>
      <c r="BS227" s="100"/>
      <c r="BT227" s="100"/>
      <c r="BU227" s="100"/>
      <c r="BV227" s="100"/>
      <c r="BW227" s="100"/>
      <c r="BX227" s="100"/>
      <c r="BY227" s="100"/>
      <c r="BZ227" s="100"/>
      <c r="CA227" s="100"/>
      <c r="CB227" s="100"/>
      <c r="CC227" s="100"/>
      <c r="CD227" s="100"/>
      <c r="CE227" s="100"/>
      <c r="CF227" s="100"/>
      <c r="CG227" s="100"/>
      <c r="CH227" s="100"/>
      <c r="CI227" s="100"/>
      <c r="CJ227" s="120"/>
      <c r="CK227" s="120"/>
      <c r="CL227" s="120"/>
      <c r="CM227" s="120"/>
      <c r="CN227" s="120"/>
      <c r="CO227" s="120"/>
      <c r="CP227" s="120"/>
      <c r="CQ227" s="100"/>
      <c r="CR227" s="100"/>
      <c r="CS227" s="100"/>
      <c r="CT227" s="100"/>
      <c r="CU227" s="100"/>
      <c r="CV227" s="100"/>
      <c r="CW227" s="100"/>
      <c r="CX227" s="100"/>
      <c r="CY227" s="100"/>
      <c r="CZ227" s="100"/>
      <c r="DA227" s="100"/>
      <c r="DB227" s="100"/>
      <c r="DC227" s="100"/>
      <c r="DD227" s="100"/>
      <c r="DE227" s="100"/>
      <c r="DF227" s="100"/>
      <c r="DG227" s="100"/>
      <c r="DH227" s="100"/>
      <c r="DI227" s="100"/>
      <c r="DJ227" s="100"/>
      <c r="DK227" s="100"/>
      <c r="DL227" s="100"/>
      <c r="DM227" s="100"/>
      <c r="DN227" s="100"/>
      <c r="DO227" s="100"/>
      <c r="DP227" s="100"/>
      <c r="DQ227" s="100"/>
      <c r="DR227" s="100"/>
      <c r="DS227" s="100"/>
      <c r="DT227" s="100"/>
      <c r="DU227" s="100"/>
      <c r="DV227" s="100"/>
      <c r="DW227" s="100"/>
      <c r="DX227" s="100"/>
      <c r="DY227" s="100"/>
      <c r="DZ227" s="100"/>
      <c r="EA227" s="100"/>
      <c r="EB227" s="100"/>
      <c r="EC227" s="100"/>
      <c r="ED227" s="100"/>
      <c r="EE227" s="100"/>
      <c r="EF227" s="100"/>
      <c r="EG227" s="100"/>
      <c r="EH227" s="100"/>
      <c r="EI227" s="100"/>
      <c r="EJ227" s="100"/>
      <c r="EK227" s="100"/>
      <c r="EL227" s="100"/>
      <c r="EM227" s="100"/>
      <c r="EN227" s="100"/>
      <c r="EO227" s="100"/>
      <c r="EP227" s="100"/>
      <c r="EQ227" s="100"/>
      <c r="ER227" s="100"/>
      <c r="ES227" s="100"/>
      <c r="ET227" s="100"/>
      <c r="EU227" s="100"/>
      <c r="EV227" s="100"/>
      <c r="EW227" s="100"/>
      <c r="EX227" s="100"/>
      <c r="EY227" s="100"/>
      <c r="EZ227" s="100"/>
      <c r="FA227" s="100"/>
      <c r="FB227" s="100"/>
      <c r="FC227" s="100"/>
      <c r="FD227" s="100"/>
      <c r="FE227" s="100"/>
      <c r="FF227" s="100"/>
      <c r="FG227" s="100"/>
      <c r="FH227" s="100"/>
      <c r="FI227" s="100"/>
      <c r="FJ227" s="100"/>
      <c r="FK227" s="100"/>
      <c r="FL227" s="100"/>
      <c r="FM227" s="100"/>
      <c r="FN227" s="100"/>
      <c r="FO227" s="100"/>
      <c r="FP227" s="100"/>
      <c r="FQ227" s="100"/>
      <c r="FR227" s="100"/>
      <c r="FS227" s="100"/>
      <c r="FT227" s="100"/>
      <c r="FU227" s="100"/>
      <c r="FV227" s="100"/>
      <c r="FW227" s="100"/>
      <c r="FX227" s="100"/>
      <c r="FY227" s="100"/>
      <c r="FZ227" s="100"/>
      <c r="GA227" s="100"/>
      <c r="GB227" s="100"/>
      <c r="GC227" s="100"/>
      <c r="GD227" s="100"/>
      <c r="GE227" s="100"/>
      <c r="GF227" s="100"/>
      <c r="GG227" s="100"/>
      <c r="GH227" s="100"/>
      <c r="GI227" s="100"/>
      <c r="GJ227" s="100"/>
      <c r="GK227" s="100"/>
      <c r="GL227" s="100"/>
      <c r="GM227" s="100"/>
      <c r="GN227" s="100"/>
      <c r="GO227" s="100"/>
      <c r="GP227" s="100"/>
      <c r="GQ227" s="100"/>
      <c r="GR227" s="100"/>
      <c r="GS227" s="100"/>
      <c r="GT227" s="100"/>
      <c r="GU227" s="100"/>
      <c r="GV227" s="100"/>
      <c r="GW227" s="100"/>
      <c r="GX227" s="100"/>
      <c r="GY227" s="100"/>
      <c r="GZ227" s="100"/>
      <c r="HA227" s="100"/>
      <c r="HB227" s="100"/>
      <c r="HC227" s="100"/>
      <c r="HD227" s="100"/>
      <c r="HE227" s="100"/>
      <c r="HF227" s="100"/>
      <c r="HG227" s="100"/>
      <c r="HH227" s="100"/>
      <c r="HI227" s="100"/>
      <c r="HJ227" s="100"/>
      <c r="HK227" s="100"/>
      <c r="HL227" s="100"/>
      <c r="HM227" s="100"/>
      <c r="HN227" s="100"/>
      <c r="HO227" s="100"/>
      <c r="HP227" s="100"/>
      <c r="HQ227" s="100"/>
      <c r="HR227" s="100"/>
      <c r="HS227" s="100"/>
      <c r="HT227" s="100"/>
      <c r="HU227" s="100"/>
      <c r="HV227" s="100"/>
      <c r="HW227" s="100"/>
      <c r="HX227" s="100"/>
      <c r="HY227" s="100"/>
      <c r="HZ227" s="100"/>
    </row>
    <row r="228" customFormat="false" ht="12.8" hidden="false" customHeight="false" outlineLevel="0" collapsed="false">
      <c r="A228" s="100"/>
      <c r="B228" s="100"/>
      <c r="C228" s="100"/>
      <c r="D228" s="100"/>
      <c r="E228" s="100"/>
      <c r="F228" s="100"/>
      <c r="G228" s="163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63"/>
      <c r="AJ228" s="100"/>
      <c r="AK228" s="100"/>
      <c r="AL228" s="163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0"/>
      <c r="BK228" s="100"/>
      <c r="BL228" s="100"/>
      <c r="BM228" s="100"/>
      <c r="BN228" s="100"/>
      <c r="BO228" s="100"/>
      <c r="BP228" s="100"/>
      <c r="BQ228" s="100"/>
      <c r="BR228" s="100"/>
      <c r="BS228" s="100"/>
      <c r="BT228" s="100"/>
      <c r="BU228" s="100"/>
      <c r="BV228" s="100"/>
      <c r="BW228" s="100"/>
      <c r="BX228" s="100"/>
      <c r="BY228" s="100"/>
      <c r="BZ228" s="100"/>
      <c r="CA228" s="100"/>
      <c r="CB228" s="100"/>
      <c r="CC228" s="100"/>
      <c r="CD228" s="100"/>
      <c r="CE228" s="100"/>
      <c r="CF228" s="100"/>
      <c r="CG228" s="100"/>
      <c r="CH228" s="100"/>
      <c r="CI228" s="100"/>
      <c r="CJ228" s="120"/>
      <c r="CK228" s="120"/>
      <c r="CL228" s="120"/>
      <c r="CM228" s="120"/>
      <c r="CN228" s="120"/>
      <c r="CO228" s="120"/>
      <c r="CP228" s="120"/>
      <c r="CQ228" s="100"/>
      <c r="CR228" s="100"/>
      <c r="CS228" s="100"/>
      <c r="CT228" s="100"/>
      <c r="CU228" s="100"/>
      <c r="CV228" s="100"/>
      <c r="CW228" s="100"/>
      <c r="CX228" s="100"/>
      <c r="CY228" s="100"/>
      <c r="CZ228" s="100"/>
      <c r="DA228" s="100"/>
      <c r="DB228" s="100"/>
      <c r="DC228" s="100"/>
      <c r="DD228" s="100"/>
      <c r="DE228" s="100"/>
      <c r="DF228" s="100"/>
      <c r="DG228" s="100"/>
      <c r="DH228" s="100"/>
      <c r="DI228" s="100"/>
      <c r="DJ228" s="100"/>
      <c r="DK228" s="100"/>
      <c r="DL228" s="100"/>
      <c r="DM228" s="100"/>
      <c r="DN228" s="100"/>
      <c r="DO228" s="100"/>
      <c r="DP228" s="100"/>
      <c r="DQ228" s="100"/>
      <c r="DR228" s="100"/>
      <c r="DS228" s="100"/>
      <c r="DT228" s="100"/>
      <c r="DU228" s="100"/>
      <c r="DV228" s="100"/>
      <c r="DW228" s="100"/>
      <c r="DX228" s="100"/>
      <c r="DY228" s="100"/>
      <c r="DZ228" s="100"/>
      <c r="EA228" s="100"/>
      <c r="EB228" s="100"/>
      <c r="EC228" s="100"/>
      <c r="ED228" s="100"/>
      <c r="EE228" s="100"/>
      <c r="EF228" s="100"/>
      <c r="EG228" s="100"/>
      <c r="EH228" s="100"/>
      <c r="EI228" s="100"/>
      <c r="EJ228" s="100"/>
      <c r="EK228" s="100"/>
      <c r="EL228" s="100"/>
      <c r="EM228" s="100"/>
      <c r="EN228" s="100"/>
      <c r="EO228" s="100"/>
      <c r="EP228" s="100"/>
      <c r="EQ228" s="100"/>
      <c r="ER228" s="100"/>
      <c r="ES228" s="100"/>
      <c r="ET228" s="100"/>
      <c r="EU228" s="100"/>
      <c r="EV228" s="100"/>
      <c r="EW228" s="100"/>
      <c r="EX228" s="100"/>
      <c r="EY228" s="100"/>
      <c r="EZ228" s="100"/>
      <c r="FA228" s="100"/>
      <c r="FB228" s="100"/>
      <c r="FC228" s="100"/>
      <c r="FD228" s="100"/>
      <c r="FE228" s="100"/>
      <c r="FF228" s="100"/>
      <c r="FG228" s="100"/>
      <c r="FH228" s="100"/>
      <c r="FI228" s="100"/>
      <c r="FJ228" s="100"/>
      <c r="FK228" s="100"/>
      <c r="FL228" s="100"/>
      <c r="FM228" s="100"/>
      <c r="FN228" s="100"/>
      <c r="FO228" s="100"/>
      <c r="FP228" s="100"/>
      <c r="FQ228" s="100"/>
      <c r="FR228" s="100"/>
      <c r="FS228" s="100"/>
      <c r="FT228" s="100"/>
      <c r="FU228" s="100"/>
      <c r="FV228" s="100"/>
      <c r="FW228" s="100"/>
      <c r="FX228" s="100"/>
      <c r="FY228" s="100"/>
      <c r="FZ228" s="100"/>
      <c r="GA228" s="100"/>
      <c r="GB228" s="100"/>
      <c r="GC228" s="100"/>
      <c r="GD228" s="100"/>
      <c r="GE228" s="100"/>
      <c r="GF228" s="100"/>
      <c r="GG228" s="100"/>
      <c r="GH228" s="100"/>
      <c r="GI228" s="100"/>
      <c r="GJ228" s="100"/>
      <c r="GK228" s="100"/>
      <c r="GL228" s="100"/>
      <c r="GM228" s="100"/>
      <c r="GN228" s="100"/>
      <c r="GO228" s="100"/>
      <c r="GP228" s="100"/>
      <c r="GQ228" s="100"/>
      <c r="GR228" s="100"/>
      <c r="GS228" s="100"/>
      <c r="GT228" s="100"/>
      <c r="GU228" s="100"/>
      <c r="GV228" s="100"/>
      <c r="GW228" s="100"/>
      <c r="GX228" s="100"/>
      <c r="GY228" s="100"/>
      <c r="GZ228" s="100"/>
      <c r="HA228" s="100"/>
      <c r="HB228" s="100"/>
      <c r="HC228" s="100"/>
      <c r="HD228" s="100"/>
      <c r="HE228" s="100"/>
      <c r="HF228" s="100"/>
      <c r="HG228" s="100"/>
      <c r="HH228" s="100"/>
      <c r="HI228" s="100"/>
      <c r="HJ228" s="100"/>
      <c r="HK228" s="100"/>
      <c r="HL228" s="100"/>
      <c r="HM228" s="100"/>
      <c r="HN228" s="100"/>
      <c r="HO228" s="100"/>
      <c r="HP228" s="100"/>
      <c r="HQ228" s="100"/>
      <c r="HR228" s="100"/>
      <c r="HS228" s="100"/>
      <c r="HT228" s="100"/>
      <c r="HU228" s="100"/>
      <c r="HV228" s="100"/>
      <c r="HW228" s="100"/>
      <c r="HX228" s="100"/>
      <c r="HY228" s="100"/>
      <c r="HZ228" s="100"/>
    </row>
    <row r="229" customFormat="false" ht="12.8" hidden="false" customHeight="false" outlineLevel="0" collapsed="false">
      <c r="A229" s="100"/>
      <c r="B229" s="100"/>
      <c r="C229" s="100"/>
      <c r="D229" s="100"/>
      <c r="E229" s="100"/>
      <c r="F229" s="100"/>
      <c r="G229" s="163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63"/>
      <c r="AJ229" s="100"/>
      <c r="AK229" s="100"/>
      <c r="AL229" s="163"/>
      <c r="AM229" s="100"/>
      <c r="AN229" s="100"/>
      <c r="AO229" s="100"/>
      <c r="AP229" s="100"/>
      <c r="AQ229" s="100"/>
      <c r="AR229" s="100"/>
      <c r="AS229" s="100"/>
      <c r="AT229" s="100"/>
      <c r="AU229" s="100"/>
      <c r="AV229" s="100"/>
      <c r="AW229" s="100"/>
      <c r="AX229" s="100"/>
      <c r="AY229" s="100"/>
      <c r="AZ229" s="100"/>
      <c r="BA229" s="100"/>
      <c r="BB229" s="100"/>
      <c r="BC229" s="100"/>
      <c r="BD229" s="100"/>
      <c r="BE229" s="100"/>
      <c r="BF229" s="100"/>
      <c r="BG229" s="100"/>
      <c r="BH229" s="100"/>
      <c r="BI229" s="100"/>
      <c r="BJ229" s="100"/>
      <c r="BK229" s="100"/>
      <c r="BL229" s="100"/>
      <c r="BM229" s="100"/>
      <c r="BN229" s="100"/>
      <c r="BO229" s="100"/>
      <c r="BP229" s="100"/>
      <c r="BQ229" s="100"/>
      <c r="BR229" s="100"/>
      <c r="BS229" s="100"/>
      <c r="BT229" s="100"/>
      <c r="BU229" s="100"/>
      <c r="BV229" s="100"/>
      <c r="BW229" s="100"/>
      <c r="BX229" s="100"/>
      <c r="BY229" s="100"/>
      <c r="BZ229" s="100"/>
      <c r="CA229" s="100"/>
      <c r="CB229" s="100"/>
      <c r="CC229" s="100"/>
      <c r="CD229" s="100"/>
      <c r="CE229" s="100"/>
      <c r="CF229" s="100"/>
      <c r="CG229" s="100"/>
      <c r="CH229" s="100"/>
      <c r="CI229" s="100"/>
      <c r="CJ229" s="120"/>
      <c r="CK229" s="120"/>
      <c r="CL229" s="120"/>
      <c r="CM229" s="120"/>
      <c r="CN229" s="120"/>
      <c r="CO229" s="120"/>
      <c r="CP229" s="120"/>
      <c r="CQ229" s="100"/>
      <c r="CR229" s="100"/>
      <c r="CS229" s="100"/>
      <c r="CT229" s="100"/>
      <c r="CU229" s="100"/>
      <c r="CV229" s="100"/>
      <c r="CW229" s="100"/>
      <c r="CX229" s="100"/>
      <c r="CY229" s="100"/>
      <c r="CZ229" s="100"/>
      <c r="DA229" s="100"/>
      <c r="DB229" s="100"/>
      <c r="DC229" s="100"/>
      <c r="DD229" s="100"/>
      <c r="DE229" s="100"/>
      <c r="DF229" s="100"/>
      <c r="DG229" s="100"/>
      <c r="DH229" s="100"/>
      <c r="DI229" s="100"/>
      <c r="DJ229" s="100"/>
      <c r="DK229" s="100"/>
      <c r="DL229" s="100"/>
      <c r="DM229" s="100"/>
      <c r="DN229" s="100"/>
      <c r="DO229" s="100"/>
      <c r="DP229" s="100"/>
      <c r="DQ229" s="100"/>
      <c r="DR229" s="100"/>
      <c r="DS229" s="100"/>
      <c r="DT229" s="100"/>
      <c r="DU229" s="100"/>
      <c r="DV229" s="100"/>
      <c r="DW229" s="100"/>
      <c r="DX229" s="100"/>
      <c r="DY229" s="100"/>
      <c r="DZ229" s="100"/>
      <c r="EA229" s="100"/>
      <c r="EB229" s="100"/>
      <c r="EC229" s="100"/>
      <c r="ED229" s="100"/>
      <c r="EE229" s="100"/>
      <c r="EF229" s="100"/>
      <c r="EG229" s="100"/>
      <c r="EH229" s="100"/>
      <c r="EI229" s="100"/>
      <c r="EJ229" s="100"/>
      <c r="EK229" s="100"/>
      <c r="EL229" s="100"/>
      <c r="EM229" s="100"/>
      <c r="EN229" s="100"/>
      <c r="EO229" s="100"/>
      <c r="EP229" s="100"/>
      <c r="EQ229" s="100"/>
      <c r="ER229" s="100"/>
      <c r="ES229" s="100"/>
      <c r="ET229" s="100"/>
      <c r="EU229" s="100"/>
      <c r="EV229" s="100"/>
      <c r="EW229" s="100"/>
      <c r="EX229" s="100"/>
      <c r="EY229" s="100"/>
      <c r="EZ229" s="100"/>
      <c r="FA229" s="100"/>
      <c r="FB229" s="100"/>
      <c r="FC229" s="100"/>
      <c r="FD229" s="100"/>
      <c r="FE229" s="100"/>
      <c r="FF229" s="100"/>
      <c r="FG229" s="100"/>
      <c r="FH229" s="100"/>
      <c r="FI229" s="100"/>
      <c r="FJ229" s="100"/>
      <c r="FK229" s="100"/>
      <c r="FL229" s="100"/>
      <c r="FM229" s="100"/>
      <c r="FN229" s="100"/>
      <c r="FO229" s="100"/>
      <c r="FP229" s="100"/>
      <c r="FQ229" s="100"/>
      <c r="FR229" s="100"/>
      <c r="FS229" s="100"/>
      <c r="FT229" s="100"/>
      <c r="FU229" s="100"/>
      <c r="FV229" s="100"/>
      <c r="FW229" s="100"/>
      <c r="FX229" s="100"/>
      <c r="FY229" s="100"/>
      <c r="FZ229" s="100"/>
      <c r="GA229" s="100"/>
      <c r="GB229" s="100"/>
      <c r="GC229" s="100"/>
      <c r="GD229" s="100"/>
      <c r="GE229" s="100"/>
      <c r="GF229" s="100"/>
      <c r="GG229" s="100"/>
      <c r="GH229" s="100"/>
      <c r="GI229" s="100"/>
      <c r="GJ229" s="100"/>
      <c r="GK229" s="100"/>
      <c r="GL229" s="100"/>
      <c r="GM229" s="100"/>
      <c r="GN229" s="100"/>
      <c r="GO229" s="100"/>
      <c r="GP229" s="100"/>
      <c r="GQ229" s="100"/>
      <c r="GR229" s="100"/>
      <c r="GS229" s="100"/>
      <c r="GT229" s="100"/>
      <c r="GU229" s="100"/>
      <c r="GV229" s="100"/>
      <c r="GW229" s="100"/>
      <c r="GX229" s="100"/>
      <c r="GY229" s="100"/>
      <c r="GZ229" s="100"/>
      <c r="HA229" s="100"/>
      <c r="HB229" s="100"/>
      <c r="HC229" s="100"/>
      <c r="HD229" s="100"/>
      <c r="HE229" s="100"/>
      <c r="HF229" s="100"/>
      <c r="HG229" s="100"/>
      <c r="HH229" s="100"/>
      <c r="HI229" s="100"/>
      <c r="HJ229" s="100"/>
      <c r="HK229" s="100"/>
      <c r="HL229" s="100"/>
      <c r="HM229" s="100"/>
      <c r="HN229" s="100"/>
      <c r="HO229" s="100"/>
      <c r="HP229" s="100"/>
      <c r="HQ229" s="100"/>
      <c r="HR229" s="100"/>
      <c r="HS229" s="100"/>
      <c r="HT229" s="100"/>
      <c r="HU229" s="100"/>
      <c r="HV229" s="100"/>
      <c r="HW229" s="100"/>
      <c r="HX229" s="100"/>
      <c r="HY229" s="100"/>
      <c r="HZ229" s="100"/>
    </row>
    <row r="230" customFormat="false" ht="12.8" hidden="false" customHeight="false" outlineLevel="0" collapsed="false">
      <c r="A230" s="100"/>
      <c r="B230" s="100"/>
      <c r="C230" s="100"/>
      <c r="D230" s="100"/>
      <c r="E230" s="100"/>
      <c r="F230" s="100"/>
      <c r="G230" s="163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63"/>
      <c r="AJ230" s="100"/>
      <c r="AK230" s="100"/>
      <c r="AL230" s="163"/>
      <c r="AM230" s="100"/>
      <c r="AN230" s="100"/>
      <c r="AO230" s="100"/>
      <c r="AP230" s="100"/>
      <c r="AQ230" s="100"/>
      <c r="AR230" s="100"/>
      <c r="AS230" s="100"/>
      <c r="AT230" s="100"/>
      <c r="AU230" s="100"/>
      <c r="AV230" s="100"/>
      <c r="AW230" s="100"/>
      <c r="AX230" s="100"/>
      <c r="AY230" s="100"/>
      <c r="AZ230" s="100"/>
      <c r="BA230" s="100"/>
      <c r="BB230" s="100"/>
      <c r="BC230" s="100"/>
      <c r="BD230" s="100"/>
      <c r="BE230" s="100"/>
      <c r="BF230" s="100"/>
      <c r="BG230" s="100"/>
      <c r="BH230" s="100"/>
      <c r="BI230" s="100"/>
      <c r="BJ230" s="100"/>
      <c r="BK230" s="100"/>
      <c r="BL230" s="100"/>
      <c r="BM230" s="100"/>
      <c r="BN230" s="100"/>
      <c r="BO230" s="100"/>
      <c r="BP230" s="100"/>
      <c r="BQ230" s="100"/>
      <c r="BR230" s="100"/>
      <c r="BS230" s="100"/>
      <c r="BT230" s="100"/>
      <c r="BU230" s="100"/>
      <c r="BV230" s="100"/>
      <c r="BW230" s="100"/>
      <c r="BX230" s="100"/>
      <c r="BY230" s="100"/>
      <c r="BZ230" s="100"/>
      <c r="CA230" s="100"/>
      <c r="CB230" s="100"/>
      <c r="CC230" s="100"/>
      <c r="CD230" s="100"/>
      <c r="CE230" s="100"/>
      <c r="CF230" s="100"/>
      <c r="CG230" s="100"/>
      <c r="CH230" s="100"/>
      <c r="CI230" s="100"/>
      <c r="CJ230" s="120"/>
      <c r="CK230" s="120"/>
      <c r="CL230" s="120"/>
      <c r="CM230" s="120"/>
      <c r="CN230" s="120"/>
      <c r="CO230" s="120"/>
      <c r="CP230" s="120"/>
      <c r="CQ230" s="100"/>
      <c r="CR230" s="100"/>
      <c r="CS230" s="100"/>
      <c r="CT230" s="100"/>
      <c r="CU230" s="100"/>
      <c r="CV230" s="100"/>
      <c r="CW230" s="100"/>
      <c r="CX230" s="100"/>
      <c r="CY230" s="100"/>
      <c r="CZ230" s="100"/>
      <c r="DA230" s="100"/>
      <c r="DB230" s="100"/>
      <c r="DC230" s="100"/>
      <c r="DD230" s="100"/>
      <c r="DE230" s="100"/>
      <c r="DF230" s="100"/>
      <c r="DG230" s="100"/>
      <c r="DH230" s="100"/>
      <c r="DI230" s="100"/>
      <c r="DJ230" s="100"/>
      <c r="DK230" s="100"/>
      <c r="DL230" s="100"/>
      <c r="DM230" s="100"/>
      <c r="DN230" s="100"/>
      <c r="DO230" s="100"/>
      <c r="DP230" s="100"/>
      <c r="DQ230" s="100"/>
      <c r="DR230" s="100"/>
      <c r="DS230" s="100"/>
      <c r="DT230" s="100"/>
      <c r="DU230" s="100"/>
      <c r="DV230" s="100"/>
      <c r="DW230" s="100"/>
      <c r="DX230" s="100"/>
      <c r="DY230" s="100"/>
      <c r="DZ230" s="100"/>
      <c r="EA230" s="100"/>
      <c r="EB230" s="100"/>
      <c r="EC230" s="100"/>
      <c r="ED230" s="100"/>
      <c r="EE230" s="100"/>
      <c r="EF230" s="100"/>
      <c r="EG230" s="100"/>
      <c r="EH230" s="100"/>
      <c r="EI230" s="100"/>
      <c r="EJ230" s="100"/>
      <c r="EK230" s="100"/>
      <c r="EL230" s="100"/>
      <c r="EM230" s="100"/>
      <c r="EN230" s="100"/>
      <c r="EO230" s="100"/>
      <c r="EP230" s="100"/>
      <c r="EQ230" s="100"/>
      <c r="ER230" s="100"/>
      <c r="ES230" s="100"/>
      <c r="ET230" s="100"/>
      <c r="EU230" s="100"/>
      <c r="EV230" s="100"/>
      <c r="EW230" s="100"/>
      <c r="EX230" s="100"/>
      <c r="EY230" s="100"/>
      <c r="EZ230" s="100"/>
      <c r="FA230" s="100"/>
      <c r="FB230" s="100"/>
      <c r="FC230" s="100"/>
      <c r="FD230" s="100"/>
      <c r="FE230" s="100"/>
      <c r="FF230" s="100"/>
      <c r="FG230" s="100"/>
      <c r="FH230" s="100"/>
      <c r="FI230" s="100"/>
      <c r="FJ230" s="100"/>
      <c r="FK230" s="100"/>
      <c r="FL230" s="100"/>
      <c r="FM230" s="100"/>
      <c r="FN230" s="100"/>
      <c r="FO230" s="100"/>
      <c r="FP230" s="100"/>
      <c r="FQ230" s="100"/>
      <c r="FR230" s="100"/>
      <c r="FS230" s="100"/>
      <c r="FT230" s="100"/>
      <c r="FU230" s="100"/>
      <c r="FV230" s="100"/>
      <c r="FW230" s="100"/>
      <c r="FX230" s="100"/>
      <c r="FY230" s="100"/>
      <c r="FZ230" s="100"/>
      <c r="GA230" s="100"/>
      <c r="GB230" s="100"/>
      <c r="GC230" s="100"/>
      <c r="GD230" s="100"/>
      <c r="GE230" s="100"/>
      <c r="GF230" s="100"/>
      <c r="GG230" s="100"/>
      <c r="GH230" s="100"/>
      <c r="GI230" s="100"/>
      <c r="GJ230" s="100"/>
      <c r="GK230" s="100"/>
      <c r="GL230" s="100"/>
      <c r="GM230" s="100"/>
      <c r="GN230" s="100"/>
      <c r="GO230" s="100"/>
      <c r="GP230" s="100"/>
      <c r="GQ230" s="100"/>
      <c r="GR230" s="100"/>
      <c r="GS230" s="100"/>
      <c r="GT230" s="100"/>
      <c r="GU230" s="100"/>
      <c r="GV230" s="100"/>
      <c r="GW230" s="100"/>
      <c r="GX230" s="100"/>
      <c r="GY230" s="100"/>
      <c r="GZ230" s="100"/>
      <c r="HA230" s="100"/>
      <c r="HB230" s="100"/>
      <c r="HC230" s="100"/>
      <c r="HD230" s="100"/>
      <c r="HE230" s="100"/>
      <c r="HF230" s="100"/>
      <c r="HG230" s="100"/>
      <c r="HH230" s="100"/>
      <c r="HI230" s="100"/>
      <c r="HJ230" s="100"/>
      <c r="HK230" s="100"/>
      <c r="HL230" s="100"/>
      <c r="HM230" s="100"/>
      <c r="HN230" s="100"/>
      <c r="HO230" s="100"/>
      <c r="HP230" s="100"/>
      <c r="HQ230" s="100"/>
      <c r="HR230" s="100"/>
      <c r="HS230" s="100"/>
      <c r="HT230" s="100"/>
      <c r="HU230" s="100"/>
      <c r="HV230" s="100"/>
      <c r="HW230" s="100"/>
      <c r="HX230" s="100"/>
      <c r="HY230" s="100"/>
      <c r="HZ230" s="100"/>
    </row>
    <row r="231" customFormat="false" ht="12.8" hidden="false" customHeight="false" outlineLevel="0" collapsed="false">
      <c r="A231" s="100"/>
      <c r="B231" s="100"/>
      <c r="C231" s="100"/>
      <c r="D231" s="100"/>
      <c r="E231" s="100"/>
      <c r="F231" s="100"/>
      <c r="G231" s="163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63"/>
      <c r="AJ231" s="100"/>
      <c r="AK231" s="100"/>
      <c r="AL231" s="163"/>
      <c r="AM231" s="100"/>
      <c r="AN231" s="100"/>
      <c r="AO231" s="100"/>
      <c r="AP231" s="100"/>
      <c r="AQ231" s="100"/>
      <c r="AR231" s="100"/>
      <c r="AS231" s="100"/>
      <c r="AT231" s="100"/>
      <c r="AU231" s="100"/>
      <c r="AV231" s="100"/>
      <c r="AW231" s="100"/>
      <c r="AX231" s="100"/>
      <c r="AY231" s="100"/>
      <c r="AZ231" s="100"/>
      <c r="BA231" s="100"/>
      <c r="BB231" s="100"/>
      <c r="BC231" s="100"/>
      <c r="BD231" s="100"/>
      <c r="BE231" s="100"/>
      <c r="BF231" s="100"/>
      <c r="BG231" s="100"/>
      <c r="BH231" s="100"/>
      <c r="BI231" s="100"/>
      <c r="BJ231" s="100"/>
      <c r="BK231" s="100"/>
      <c r="BL231" s="100"/>
      <c r="BM231" s="100"/>
      <c r="BN231" s="100"/>
      <c r="BO231" s="100"/>
      <c r="BP231" s="100"/>
      <c r="BQ231" s="100"/>
      <c r="BR231" s="100"/>
      <c r="BS231" s="100"/>
      <c r="BT231" s="100"/>
      <c r="BU231" s="100"/>
      <c r="BV231" s="100"/>
      <c r="BW231" s="100"/>
      <c r="BX231" s="100"/>
      <c r="BY231" s="100"/>
      <c r="BZ231" s="100"/>
      <c r="CA231" s="100"/>
      <c r="CB231" s="100"/>
      <c r="CC231" s="100"/>
      <c r="CD231" s="100"/>
      <c r="CE231" s="100"/>
      <c r="CF231" s="100"/>
      <c r="CG231" s="100"/>
      <c r="CH231" s="100"/>
      <c r="CI231" s="100"/>
      <c r="CJ231" s="120"/>
      <c r="CK231" s="120"/>
      <c r="CL231" s="120"/>
      <c r="CM231" s="120"/>
      <c r="CN231" s="120"/>
      <c r="CO231" s="120"/>
      <c r="CP231" s="120"/>
      <c r="CQ231" s="100"/>
      <c r="CR231" s="100"/>
      <c r="CS231" s="100"/>
      <c r="CT231" s="100"/>
      <c r="CU231" s="100"/>
      <c r="CV231" s="100"/>
      <c r="CW231" s="100"/>
      <c r="CX231" s="100"/>
      <c r="CY231" s="100"/>
      <c r="CZ231" s="100"/>
      <c r="DA231" s="100"/>
      <c r="DB231" s="100"/>
      <c r="DC231" s="100"/>
      <c r="DD231" s="100"/>
      <c r="DE231" s="100"/>
      <c r="DF231" s="100"/>
      <c r="DG231" s="100"/>
      <c r="DH231" s="100"/>
      <c r="DI231" s="100"/>
      <c r="DJ231" s="100"/>
      <c r="DK231" s="100"/>
      <c r="DL231" s="100"/>
      <c r="DM231" s="100"/>
      <c r="DN231" s="100"/>
      <c r="DO231" s="100"/>
      <c r="DP231" s="100"/>
      <c r="DQ231" s="100"/>
      <c r="DR231" s="100"/>
      <c r="DS231" s="100"/>
      <c r="DT231" s="100"/>
      <c r="DU231" s="100"/>
      <c r="DV231" s="100"/>
      <c r="DW231" s="100"/>
      <c r="DX231" s="100"/>
      <c r="DY231" s="100"/>
      <c r="DZ231" s="100"/>
      <c r="EA231" s="100"/>
      <c r="EB231" s="100"/>
      <c r="EC231" s="100"/>
      <c r="ED231" s="100"/>
      <c r="EE231" s="100"/>
      <c r="EF231" s="100"/>
      <c r="EG231" s="100"/>
      <c r="EH231" s="100"/>
      <c r="EI231" s="100"/>
      <c r="EJ231" s="100"/>
      <c r="EK231" s="100"/>
      <c r="EL231" s="100"/>
      <c r="EM231" s="100"/>
      <c r="EN231" s="100"/>
      <c r="EO231" s="100"/>
      <c r="EP231" s="100"/>
      <c r="EQ231" s="100"/>
      <c r="ER231" s="100"/>
      <c r="ES231" s="100"/>
      <c r="ET231" s="100"/>
      <c r="EU231" s="100"/>
      <c r="EV231" s="100"/>
      <c r="EW231" s="100"/>
      <c r="EX231" s="100"/>
      <c r="EY231" s="100"/>
      <c r="EZ231" s="100"/>
      <c r="FA231" s="100"/>
      <c r="FB231" s="100"/>
      <c r="FC231" s="100"/>
      <c r="FD231" s="100"/>
      <c r="FE231" s="100"/>
      <c r="FF231" s="100"/>
      <c r="FG231" s="100"/>
      <c r="FH231" s="100"/>
      <c r="FI231" s="100"/>
      <c r="FJ231" s="100"/>
      <c r="FK231" s="100"/>
      <c r="FL231" s="100"/>
      <c r="FM231" s="100"/>
      <c r="FN231" s="100"/>
      <c r="FO231" s="100"/>
      <c r="FP231" s="100"/>
      <c r="FQ231" s="100"/>
      <c r="FR231" s="100"/>
      <c r="FS231" s="100"/>
      <c r="FT231" s="100"/>
      <c r="FU231" s="100"/>
      <c r="FV231" s="100"/>
      <c r="FW231" s="100"/>
      <c r="FX231" s="100"/>
      <c r="FY231" s="100"/>
      <c r="FZ231" s="100"/>
      <c r="GA231" s="100"/>
      <c r="GB231" s="100"/>
      <c r="GC231" s="100"/>
      <c r="GD231" s="100"/>
      <c r="GE231" s="100"/>
      <c r="GF231" s="100"/>
      <c r="GG231" s="100"/>
      <c r="GH231" s="100"/>
      <c r="GI231" s="100"/>
      <c r="GJ231" s="100"/>
      <c r="GK231" s="100"/>
      <c r="GL231" s="100"/>
      <c r="GM231" s="100"/>
      <c r="GN231" s="100"/>
      <c r="GO231" s="100"/>
      <c r="GP231" s="100"/>
      <c r="GQ231" s="100"/>
      <c r="GR231" s="100"/>
      <c r="GS231" s="100"/>
      <c r="GT231" s="100"/>
      <c r="GU231" s="100"/>
      <c r="GV231" s="100"/>
      <c r="GW231" s="100"/>
      <c r="GX231" s="100"/>
      <c r="GY231" s="100"/>
      <c r="GZ231" s="100"/>
      <c r="HA231" s="100"/>
      <c r="HB231" s="100"/>
      <c r="HC231" s="100"/>
      <c r="HD231" s="100"/>
      <c r="HE231" s="100"/>
      <c r="HF231" s="100"/>
      <c r="HG231" s="100"/>
      <c r="HH231" s="100"/>
      <c r="HI231" s="100"/>
      <c r="HJ231" s="100"/>
      <c r="HK231" s="100"/>
      <c r="HL231" s="100"/>
      <c r="HM231" s="100"/>
      <c r="HN231" s="100"/>
      <c r="HO231" s="100"/>
      <c r="HP231" s="100"/>
      <c r="HQ231" s="100"/>
      <c r="HR231" s="100"/>
      <c r="HS231" s="100"/>
      <c r="HT231" s="100"/>
      <c r="HU231" s="100"/>
      <c r="HV231" s="100"/>
      <c r="HW231" s="100"/>
      <c r="HX231" s="100"/>
      <c r="HY231" s="100"/>
      <c r="HZ231" s="100"/>
    </row>
    <row r="232" customFormat="false" ht="12.8" hidden="false" customHeight="false" outlineLevel="0" collapsed="false">
      <c r="A232" s="100"/>
      <c r="B232" s="100"/>
      <c r="C232" s="100"/>
      <c r="D232" s="100"/>
      <c r="E232" s="100"/>
      <c r="F232" s="100"/>
      <c r="G232" s="163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63"/>
      <c r="AJ232" s="100"/>
      <c r="AK232" s="100"/>
      <c r="AL232" s="163"/>
      <c r="AM232" s="100"/>
      <c r="AN232" s="100"/>
      <c r="AO232" s="100"/>
      <c r="AP232" s="100"/>
      <c r="AQ232" s="100"/>
      <c r="AR232" s="100"/>
      <c r="AS232" s="100"/>
      <c r="AT232" s="100"/>
      <c r="AU232" s="100"/>
      <c r="AV232" s="100"/>
      <c r="AW232" s="100"/>
      <c r="AX232" s="100"/>
      <c r="AY232" s="100"/>
      <c r="AZ232" s="100"/>
      <c r="BA232" s="100"/>
      <c r="BB232" s="100"/>
      <c r="BC232" s="100"/>
      <c r="BD232" s="100"/>
      <c r="BE232" s="100"/>
      <c r="BF232" s="100"/>
      <c r="BG232" s="100"/>
      <c r="BH232" s="100"/>
      <c r="BI232" s="100"/>
      <c r="BJ232" s="100"/>
      <c r="BK232" s="100"/>
      <c r="BL232" s="100"/>
      <c r="BM232" s="100"/>
      <c r="BN232" s="100"/>
      <c r="BO232" s="100"/>
      <c r="BP232" s="100"/>
      <c r="BQ232" s="100"/>
      <c r="BR232" s="100"/>
      <c r="BS232" s="100"/>
      <c r="BT232" s="100"/>
      <c r="BU232" s="100"/>
      <c r="BV232" s="100"/>
      <c r="BW232" s="100"/>
      <c r="BX232" s="100"/>
      <c r="BY232" s="100"/>
      <c r="BZ232" s="100"/>
      <c r="CA232" s="100"/>
      <c r="CB232" s="100"/>
      <c r="CC232" s="100"/>
      <c r="CD232" s="100"/>
      <c r="CE232" s="100"/>
      <c r="CF232" s="100"/>
      <c r="CG232" s="100"/>
      <c r="CH232" s="100"/>
      <c r="CI232" s="100"/>
      <c r="CJ232" s="120"/>
      <c r="CK232" s="120"/>
      <c r="CL232" s="120"/>
      <c r="CM232" s="120"/>
      <c r="CN232" s="120"/>
      <c r="CO232" s="120"/>
      <c r="CP232" s="120"/>
      <c r="CQ232" s="100"/>
      <c r="CR232" s="100"/>
      <c r="CS232" s="100"/>
      <c r="CT232" s="100"/>
      <c r="CU232" s="100"/>
      <c r="CV232" s="100"/>
      <c r="CW232" s="100"/>
      <c r="CX232" s="100"/>
      <c r="CY232" s="100"/>
      <c r="CZ232" s="100"/>
      <c r="DA232" s="100"/>
      <c r="DB232" s="100"/>
      <c r="DC232" s="100"/>
      <c r="DD232" s="100"/>
      <c r="DE232" s="100"/>
      <c r="DF232" s="100"/>
      <c r="DG232" s="100"/>
      <c r="DH232" s="100"/>
      <c r="DI232" s="100"/>
      <c r="DJ232" s="100"/>
      <c r="DK232" s="100"/>
      <c r="DL232" s="100"/>
      <c r="DM232" s="100"/>
      <c r="DN232" s="100"/>
      <c r="DO232" s="100"/>
      <c r="DP232" s="100"/>
      <c r="DQ232" s="100"/>
      <c r="DR232" s="100"/>
      <c r="DS232" s="100"/>
      <c r="DT232" s="100"/>
      <c r="DU232" s="100"/>
      <c r="DV232" s="100"/>
      <c r="DW232" s="100"/>
      <c r="DX232" s="100"/>
      <c r="DY232" s="100"/>
      <c r="DZ232" s="100"/>
      <c r="EA232" s="100"/>
      <c r="EB232" s="100"/>
      <c r="EC232" s="100"/>
      <c r="ED232" s="100"/>
      <c r="EE232" s="100"/>
      <c r="EF232" s="100"/>
      <c r="EG232" s="100"/>
      <c r="EH232" s="100"/>
      <c r="EI232" s="100"/>
      <c r="EJ232" s="100"/>
      <c r="EK232" s="100"/>
      <c r="EL232" s="100"/>
      <c r="EM232" s="100"/>
      <c r="EN232" s="100"/>
      <c r="EO232" s="100"/>
      <c r="EP232" s="100"/>
      <c r="EQ232" s="100"/>
      <c r="ER232" s="100"/>
      <c r="ES232" s="100"/>
      <c r="ET232" s="100"/>
      <c r="EU232" s="100"/>
      <c r="EV232" s="100"/>
      <c r="EW232" s="100"/>
      <c r="EX232" s="100"/>
      <c r="EY232" s="100"/>
      <c r="EZ232" s="100"/>
      <c r="FA232" s="100"/>
      <c r="FB232" s="100"/>
      <c r="FC232" s="100"/>
      <c r="FD232" s="100"/>
      <c r="FE232" s="100"/>
      <c r="FF232" s="100"/>
      <c r="FG232" s="100"/>
      <c r="FH232" s="100"/>
      <c r="FI232" s="100"/>
      <c r="FJ232" s="100"/>
      <c r="FK232" s="100"/>
      <c r="FL232" s="100"/>
      <c r="FM232" s="100"/>
      <c r="FN232" s="100"/>
      <c r="FO232" s="100"/>
      <c r="FP232" s="100"/>
      <c r="FQ232" s="100"/>
      <c r="FR232" s="100"/>
      <c r="FS232" s="100"/>
      <c r="FT232" s="100"/>
      <c r="FU232" s="100"/>
      <c r="FV232" s="100"/>
      <c r="FW232" s="100"/>
      <c r="FX232" s="100"/>
      <c r="FY232" s="100"/>
      <c r="FZ232" s="100"/>
      <c r="GA232" s="100"/>
      <c r="GB232" s="100"/>
      <c r="GC232" s="100"/>
      <c r="GD232" s="100"/>
      <c r="GE232" s="100"/>
      <c r="GF232" s="100"/>
      <c r="GG232" s="100"/>
      <c r="GH232" s="100"/>
      <c r="GI232" s="100"/>
      <c r="GJ232" s="100"/>
      <c r="GK232" s="100"/>
      <c r="GL232" s="100"/>
      <c r="GM232" s="100"/>
      <c r="GN232" s="100"/>
      <c r="GO232" s="100"/>
      <c r="GP232" s="100"/>
      <c r="GQ232" s="100"/>
      <c r="GR232" s="100"/>
      <c r="GS232" s="100"/>
      <c r="GT232" s="100"/>
      <c r="GU232" s="100"/>
      <c r="GV232" s="100"/>
      <c r="GW232" s="100"/>
      <c r="GX232" s="100"/>
      <c r="GY232" s="100"/>
      <c r="GZ232" s="100"/>
      <c r="HA232" s="100"/>
      <c r="HB232" s="100"/>
      <c r="HC232" s="100"/>
      <c r="HD232" s="100"/>
      <c r="HE232" s="100"/>
      <c r="HF232" s="100"/>
      <c r="HG232" s="100"/>
      <c r="HH232" s="100"/>
      <c r="HI232" s="100"/>
      <c r="HJ232" s="100"/>
      <c r="HK232" s="100"/>
      <c r="HL232" s="100"/>
      <c r="HM232" s="100"/>
      <c r="HN232" s="100"/>
      <c r="HO232" s="100"/>
      <c r="HP232" s="100"/>
      <c r="HQ232" s="100"/>
      <c r="HR232" s="100"/>
      <c r="HS232" s="100"/>
      <c r="HT232" s="100"/>
      <c r="HU232" s="100"/>
      <c r="HV232" s="100"/>
      <c r="HW232" s="100"/>
      <c r="HX232" s="100"/>
      <c r="HY232" s="100"/>
      <c r="HZ232" s="100"/>
    </row>
    <row r="233" customFormat="false" ht="12.8" hidden="false" customHeight="false" outlineLevel="0" collapsed="false">
      <c r="A233" s="100"/>
      <c r="B233" s="100"/>
      <c r="C233" s="100"/>
      <c r="D233" s="100"/>
      <c r="E233" s="100"/>
      <c r="F233" s="100"/>
      <c r="G233" s="163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63"/>
      <c r="AJ233" s="100"/>
      <c r="AK233" s="100"/>
      <c r="AL233" s="163"/>
      <c r="AM233" s="100"/>
      <c r="AN233" s="100"/>
      <c r="AO233" s="100"/>
      <c r="AP233" s="100"/>
      <c r="AQ233" s="100"/>
      <c r="AR233" s="100"/>
      <c r="AS233" s="100"/>
      <c r="AT233" s="100"/>
      <c r="AU233" s="100"/>
      <c r="AV233" s="100"/>
      <c r="AW233" s="100"/>
      <c r="AX233" s="100"/>
      <c r="AY233" s="100"/>
      <c r="AZ233" s="100"/>
      <c r="BA233" s="100"/>
      <c r="BB233" s="100"/>
      <c r="BC233" s="100"/>
      <c r="BD233" s="100"/>
      <c r="BE233" s="100"/>
      <c r="BF233" s="100"/>
      <c r="BG233" s="100"/>
      <c r="BH233" s="100"/>
      <c r="BI233" s="100"/>
      <c r="BJ233" s="100"/>
      <c r="BK233" s="100"/>
      <c r="BL233" s="100"/>
      <c r="BM233" s="100"/>
      <c r="BN233" s="100"/>
      <c r="BO233" s="100"/>
      <c r="BP233" s="100"/>
      <c r="BQ233" s="100"/>
      <c r="BR233" s="100"/>
      <c r="BS233" s="100"/>
      <c r="BT233" s="100"/>
      <c r="BU233" s="100"/>
      <c r="BV233" s="100"/>
      <c r="BW233" s="100"/>
      <c r="BX233" s="100"/>
      <c r="BY233" s="100"/>
      <c r="BZ233" s="100"/>
      <c r="CA233" s="100"/>
      <c r="CB233" s="100"/>
      <c r="CC233" s="100"/>
      <c r="CD233" s="100"/>
      <c r="CE233" s="100"/>
      <c r="CF233" s="100"/>
      <c r="CG233" s="100"/>
      <c r="CH233" s="100"/>
      <c r="CI233" s="100"/>
      <c r="CJ233" s="120"/>
      <c r="CK233" s="120"/>
      <c r="CL233" s="120"/>
      <c r="CM233" s="120"/>
      <c r="CN233" s="120"/>
      <c r="CO233" s="120"/>
      <c r="CP233" s="120"/>
      <c r="CQ233" s="100"/>
      <c r="CR233" s="100"/>
      <c r="CS233" s="100"/>
      <c r="CT233" s="100"/>
      <c r="CU233" s="100"/>
      <c r="CV233" s="100"/>
      <c r="CW233" s="100"/>
      <c r="CX233" s="100"/>
      <c r="CY233" s="100"/>
      <c r="CZ233" s="100"/>
      <c r="DA233" s="100"/>
      <c r="DB233" s="100"/>
      <c r="DC233" s="100"/>
      <c r="DD233" s="100"/>
      <c r="DE233" s="100"/>
      <c r="DF233" s="100"/>
      <c r="DG233" s="100"/>
      <c r="DH233" s="100"/>
      <c r="DI233" s="100"/>
      <c r="DJ233" s="100"/>
      <c r="DK233" s="100"/>
      <c r="DL233" s="100"/>
      <c r="DM233" s="100"/>
      <c r="DN233" s="100"/>
      <c r="DO233" s="100"/>
      <c r="DP233" s="100"/>
      <c r="DQ233" s="100"/>
      <c r="DR233" s="100"/>
      <c r="DS233" s="100"/>
      <c r="DT233" s="100"/>
      <c r="DU233" s="100"/>
      <c r="DV233" s="100"/>
      <c r="DW233" s="100"/>
      <c r="DX233" s="100"/>
      <c r="DY233" s="100"/>
      <c r="DZ233" s="100"/>
      <c r="EA233" s="100"/>
      <c r="EB233" s="100"/>
      <c r="EC233" s="100"/>
      <c r="ED233" s="100"/>
      <c r="EE233" s="100"/>
      <c r="EF233" s="100"/>
      <c r="EG233" s="100"/>
      <c r="EH233" s="100"/>
      <c r="EI233" s="100"/>
      <c r="EJ233" s="100"/>
      <c r="EK233" s="100"/>
      <c r="EL233" s="100"/>
      <c r="EM233" s="100"/>
      <c r="EN233" s="100"/>
      <c r="EO233" s="100"/>
      <c r="EP233" s="100"/>
      <c r="EQ233" s="100"/>
      <c r="ER233" s="100"/>
      <c r="ES233" s="100"/>
      <c r="ET233" s="100"/>
      <c r="EU233" s="100"/>
      <c r="EV233" s="100"/>
      <c r="EW233" s="100"/>
      <c r="EX233" s="100"/>
      <c r="EY233" s="100"/>
      <c r="EZ233" s="100"/>
      <c r="FA233" s="100"/>
      <c r="FB233" s="100"/>
      <c r="FC233" s="100"/>
      <c r="FD233" s="100"/>
      <c r="FE233" s="100"/>
      <c r="FF233" s="100"/>
      <c r="FG233" s="100"/>
      <c r="FH233" s="100"/>
      <c r="FI233" s="100"/>
      <c r="FJ233" s="100"/>
      <c r="FK233" s="100"/>
      <c r="FL233" s="100"/>
      <c r="FM233" s="100"/>
      <c r="FN233" s="100"/>
      <c r="FO233" s="100"/>
      <c r="FP233" s="100"/>
      <c r="FQ233" s="100"/>
      <c r="FR233" s="100"/>
      <c r="FS233" s="100"/>
      <c r="FT233" s="100"/>
      <c r="FU233" s="100"/>
      <c r="FV233" s="100"/>
      <c r="FW233" s="100"/>
      <c r="FX233" s="100"/>
      <c r="FY233" s="100"/>
      <c r="FZ233" s="100"/>
      <c r="GA233" s="100"/>
      <c r="GB233" s="100"/>
      <c r="GC233" s="100"/>
      <c r="GD233" s="100"/>
      <c r="GE233" s="100"/>
      <c r="GF233" s="100"/>
      <c r="GG233" s="100"/>
      <c r="GH233" s="100"/>
      <c r="GI233" s="100"/>
      <c r="GJ233" s="100"/>
      <c r="GK233" s="100"/>
      <c r="GL233" s="100"/>
      <c r="GM233" s="100"/>
      <c r="GN233" s="100"/>
      <c r="GO233" s="100"/>
      <c r="GP233" s="100"/>
      <c r="GQ233" s="100"/>
      <c r="GR233" s="100"/>
      <c r="GS233" s="100"/>
      <c r="GT233" s="100"/>
      <c r="GU233" s="100"/>
      <c r="GV233" s="100"/>
      <c r="GW233" s="100"/>
      <c r="GX233" s="100"/>
      <c r="GY233" s="100"/>
      <c r="GZ233" s="100"/>
      <c r="HA233" s="100"/>
      <c r="HB233" s="100"/>
      <c r="HC233" s="100"/>
      <c r="HD233" s="100"/>
      <c r="HE233" s="100"/>
      <c r="HF233" s="100"/>
      <c r="HG233" s="100"/>
      <c r="HH233" s="100"/>
      <c r="HI233" s="100"/>
      <c r="HJ233" s="100"/>
      <c r="HK233" s="100"/>
      <c r="HL233" s="100"/>
      <c r="HM233" s="100"/>
      <c r="HN233" s="100"/>
      <c r="HO233" s="100"/>
      <c r="HP233" s="100"/>
      <c r="HQ233" s="100"/>
      <c r="HR233" s="100"/>
      <c r="HS233" s="100"/>
      <c r="HT233" s="100"/>
      <c r="HU233" s="100"/>
      <c r="HV233" s="100"/>
      <c r="HW233" s="100"/>
      <c r="HX233" s="100"/>
      <c r="HY233" s="100"/>
      <c r="HZ233" s="100"/>
    </row>
    <row r="234" customFormat="false" ht="12.8" hidden="false" customHeight="false" outlineLevel="0" collapsed="false">
      <c r="A234" s="100"/>
      <c r="B234" s="100"/>
      <c r="C234" s="100"/>
      <c r="D234" s="100"/>
      <c r="E234" s="100"/>
      <c r="F234" s="100"/>
      <c r="G234" s="163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63"/>
      <c r="AJ234" s="100"/>
      <c r="AK234" s="100"/>
      <c r="AL234" s="163"/>
      <c r="AM234" s="100"/>
      <c r="AN234" s="100"/>
      <c r="AO234" s="100"/>
      <c r="AP234" s="100"/>
      <c r="AQ234" s="100"/>
      <c r="AR234" s="100"/>
      <c r="AS234" s="100"/>
      <c r="AT234" s="100"/>
      <c r="AU234" s="100"/>
      <c r="AV234" s="100"/>
      <c r="AW234" s="100"/>
      <c r="AX234" s="100"/>
      <c r="AY234" s="100"/>
      <c r="AZ234" s="100"/>
      <c r="BA234" s="100"/>
      <c r="BB234" s="100"/>
      <c r="BC234" s="100"/>
      <c r="BD234" s="100"/>
      <c r="BE234" s="100"/>
      <c r="BF234" s="100"/>
      <c r="BG234" s="100"/>
      <c r="BH234" s="100"/>
      <c r="BI234" s="100"/>
      <c r="BJ234" s="100"/>
      <c r="BK234" s="100"/>
      <c r="BL234" s="100"/>
      <c r="BM234" s="100"/>
      <c r="BN234" s="100"/>
      <c r="BO234" s="100"/>
      <c r="BP234" s="100"/>
      <c r="BQ234" s="100"/>
      <c r="BR234" s="100"/>
      <c r="BS234" s="100"/>
      <c r="BT234" s="100"/>
      <c r="BU234" s="100"/>
      <c r="BV234" s="100"/>
      <c r="BW234" s="100"/>
      <c r="BX234" s="100"/>
      <c r="BY234" s="100"/>
      <c r="BZ234" s="100"/>
      <c r="CA234" s="100"/>
      <c r="CB234" s="100"/>
      <c r="CC234" s="100"/>
      <c r="CD234" s="100"/>
      <c r="CE234" s="100"/>
      <c r="CF234" s="100"/>
      <c r="CG234" s="100"/>
      <c r="CH234" s="100"/>
      <c r="CI234" s="100"/>
      <c r="CJ234" s="120"/>
      <c r="CK234" s="120"/>
      <c r="CL234" s="120"/>
      <c r="CM234" s="120"/>
      <c r="CN234" s="120"/>
      <c r="CO234" s="120"/>
      <c r="CP234" s="120"/>
      <c r="CQ234" s="100"/>
      <c r="CR234" s="100"/>
      <c r="CS234" s="100"/>
      <c r="CT234" s="100"/>
      <c r="CU234" s="100"/>
      <c r="CV234" s="100"/>
      <c r="CW234" s="100"/>
      <c r="CX234" s="100"/>
      <c r="CY234" s="100"/>
      <c r="CZ234" s="100"/>
      <c r="DA234" s="100"/>
      <c r="DB234" s="100"/>
      <c r="DC234" s="100"/>
      <c r="DD234" s="100"/>
      <c r="DE234" s="100"/>
      <c r="DF234" s="100"/>
      <c r="DG234" s="100"/>
      <c r="DH234" s="100"/>
      <c r="DI234" s="100"/>
      <c r="DJ234" s="100"/>
      <c r="DK234" s="100"/>
      <c r="DL234" s="100"/>
      <c r="DM234" s="100"/>
      <c r="DN234" s="100"/>
      <c r="DO234" s="100"/>
      <c r="DP234" s="100"/>
      <c r="DQ234" s="100"/>
      <c r="DR234" s="100"/>
      <c r="DS234" s="100"/>
      <c r="DT234" s="100"/>
      <c r="DU234" s="100"/>
      <c r="DV234" s="100"/>
      <c r="DW234" s="100"/>
      <c r="DX234" s="100"/>
      <c r="DY234" s="100"/>
      <c r="DZ234" s="100"/>
      <c r="EA234" s="100"/>
      <c r="EB234" s="100"/>
      <c r="EC234" s="100"/>
      <c r="ED234" s="100"/>
      <c r="EE234" s="100"/>
      <c r="EF234" s="100"/>
      <c r="EG234" s="100"/>
      <c r="EH234" s="100"/>
      <c r="EI234" s="100"/>
      <c r="EJ234" s="100"/>
      <c r="EK234" s="100"/>
      <c r="EL234" s="100"/>
      <c r="EM234" s="100"/>
      <c r="EN234" s="100"/>
      <c r="EO234" s="100"/>
      <c r="EP234" s="100"/>
      <c r="EQ234" s="100"/>
      <c r="ER234" s="100"/>
      <c r="ES234" s="100"/>
      <c r="ET234" s="100"/>
      <c r="EU234" s="100"/>
      <c r="EV234" s="100"/>
      <c r="EW234" s="100"/>
      <c r="EX234" s="100"/>
      <c r="EY234" s="100"/>
      <c r="EZ234" s="100"/>
      <c r="FA234" s="100"/>
      <c r="FB234" s="100"/>
      <c r="FC234" s="100"/>
      <c r="FD234" s="100"/>
      <c r="FE234" s="100"/>
      <c r="FF234" s="100"/>
      <c r="FG234" s="100"/>
      <c r="FH234" s="100"/>
      <c r="FI234" s="100"/>
      <c r="FJ234" s="100"/>
      <c r="FK234" s="100"/>
      <c r="FL234" s="100"/>
      <c r="FM234" s="100"/>
      <c r="FN234" s="100"/>
      <c r="FO234" s="100"/>
      <c r="FP234" s="100"/>
      <c r="FQ234" s="100"/>
      <c r="FR234" s="100"/>
      <c r="FS234" s="100"/>
      <c r="FT234" s="100"/>
      <c r="FU234" s="100"/>
      <c r="FV234" s="100"/>
      <c r="FW234" s="100"/>
      <c r="FX234" s="100"/>
      <c r="FY234" s="100"/>
      <c r="FZ234" s="100"/>
      <c r="GA234" s="100"/>
      <c r="GB234" s="100"/>
      <c r="GC234" s="100"/>
      <c r="GD234" s="100"/>
      <c r="GE234" s="100"/>
      <c r="GF234" s="100"/>
      <c r="GG234" s="100"/>
      <c r="GH234" s="100"/>
      <c r="GI234" s="100"/>
      <c r="GJ234" s="100"/>
      <c r="GK234" s="100"/>
      <c r="GL234" s="100"/>
      <c r="GM234" s="100"/>
      <c r="GN234" s="100"/>
      <c r="GO234" s="100"/>
      <c r="GP234" s="100"/>
      <c r="GQ234" s="100"/>
      <c r="GR234" s="100"/>
      <c r="GS234" s="100"/>
      <c r="GT234" s="100"/>
      <c r="GU234" s="100"/>
      <c r="GV234" s="100"/>
      <c r="GW234" s="100"/>
      <c r="GX234" s="100"/>
      <c r="GY234" s="100"/>
      <c r="GZ234" s="100"/>
      <c r="HA234" s="100"/>
      <c r="HB234" s="100"/>
      <c r="HC234" s="100"/>
      <c r="HD234" s="100"/>
      <c r="HE234" s="100"/>
      <c r="HF234" s="100"/>
      <c r="HG234" s="100"/>
      <c r="HH234" s="100"/>
      <c r="HI234" s="100"/>
      <c r="HJ234" s="100"/>
      <c r="HK234" s="100"/>
      <c r="HL234" s="100"/>
      <c r="HM234" s="100"/>
      <c r="HN234" s="100"/>
      <c r="HO234" s="100"/>
      <c r="HP234" s="100"/>
      <c r="HQ234" s="100"/>
      <c r="HR234" s="100"/>
      <c r="HS234" s="100"/>
      <c r="HT234" s="100"/>
      <c r="HU234" s="100"/>
      <c r="HV234" s="100"/>
      <c r="HW234" s="100"/>
      <c r="HX234" s="100"/>
      <c r="HY234" s="100"/>
      <c r="HZ234" s="100"/>
    </row>
    <row r="235" customFormat="false" ht="12.8" hidden="false" customHeight="false" outlineLevel="0" collapsed="false">
      <c r="A235" s="100"/>
      <c r="B235" s="100"/>
      <c r="C235" s="100"/>
      <c r="D235" s="100"/>
      <c r="E235" s="100"/>
      <c r="F235" s="100"/>
      <c r="G235" s="163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63"/>
      <c r="AJ235" s="100"/>
      <c r="AK235" s="100"/>
      <c r="AL235" s="163"/>
      <c r="AM235" s="100"/>
      <c r="AN235" s="100"/>
      <c r="AO235" s="100"/>
      <c r="AP235" s="100"/>
      <c r="AQ235" s="100"/>
      <c r="AR235" s="100"/>
      <c r="AS235" s="100"/>
      <c r="AT235" s="100"/>
      <c r="AU235" s="100"/>
      <c r="AV235" s="100"/>
      <c r="AW235" s="100"/>
      <c r="AX235" s="100"/>
      <c r="AY235" s="100"/>
      <c r="AZ235" s="100"/>
      <c r="BA235" s="100"/>
      <c r="BB235" s="100"/>
      <c r="BC235" s="100"/>
      <c r="BD235" s="100"/>
      <c r="BE235" s="100"/>
      <c r="BF235" s="100"/>
      <c r="BG235" s="100"/>
      <c r="BH235" s="100"/>
      <c r="BI235" s="100"/>
      <c r="BJ235" s="100"/>
      <c r="BK235" s="100"/>
      <c r="BL235" s="100"/>
      <c r="BM235" s="100"/>
      <c r="BN235" s="100"/>
      <c r="BO235" s="100"/>
      <c r="BP235" s="100"/>
      <c r="BQ235" s="100"/>
      <c r="BR235" s="100"/>
      <c r="BS235" s="100"/>
      <c r="BT235" s="100"/>
      <c r="BU235" s="100"/>
      <c r="BV235" s="100"/>
      <c r="BW235" s="100"/>
      <c r="BX235" s="100"/>
      <c r="BY235" s="100"/>
      <c r="BZ235" s="100"/>
      <c r="CA235" s="100"/>
      <c r="CB235" s="100"/>
      <c r="CC235" s="100"/>
      <c r="CD235" s="100"/>
      <c r="CE235" s="100"/>
      <c r="CF235" s="100"/>
      <c r="CG235" s="100"/>
      <c r="CH235" s="100"/>
      <c r="CI235" s="100"/>
      <c r="CJ235" s="120"/>
      <c r="CK235" s="120"/>
      <c r="CL235" s="120"/>
      <c r="CM235" s="120"/>
      <c r="CN235" s="120"/>
      <c r="CO235" s="120"/>
      <c r="CP235" s="120"/>
      <c r="CQ235" s="100"/>
      <c r="CR235" s="100"/>
      <c r="CS235" s="100"/>
      <c r="CT235" s="100"/>
      <c r="CU235" s="100"/>
      <c r="CV235" s="100"/>
      <c r="CW235" s="100"/>
      <c r="CX235" s="100"/>
      <c r="CY235" s="100"/>
      <c r="CZ235" s="100"/>
      <c r="DA235" s="100"/>
      <c r="DB235" s="100"/>
      <c r="DC235" s="100"/>
      <c r="DD235" s="100"/>
      <c r="DE235" s="100"/>
      <c r="DF235" s="100"/>
      <c r="DG235" s="100"/>
      <c r="DH235" s="100"/>
      <c r="DI235" s="100"/>
      <c r="DJ235" s="100"/>
      <c r="DK235" s="100"/>
      <c r="DL235" s="100"/>
      <c r="DM235" s="100"/>
      <c r="DN235" s="100"/>
      <c r="DO235" s="100"/>
      <c r="DP235" s="100"/>
      <c r="DQ235" s="100"/>
      <c r="DR235" s="100"/>
      <c r="DS235" s="100"/>
      <c r="DT235" s="100"/>
      <c r="DU235" s="100"/>
      <c r="DV235" s="100"/>
      <c r="DW235" s="100"/>
      <c r="DX235" s="100"/>
      <c r="DY235" s="100"/>
      <c r="DZ235" s="100"/>
      <c r="EA235" s="100"/>
      <c r="EB235" s="100"/>
      <c r="EC235" s="100"/>
      <c r="ED235" s="100"/>
      <c r="EE235" s="100"/>
      <c r="EF235" s="100"/>
      <c r="EG235" s="100"/>
      <c r="EH235" s="100"/>
      <c r="EI235" s="100"/>
      <c r="EJ235" s="100"/>
      <c r="EK235" s="100"/>
      <c r="EL235" s="100"/>
      <c r="EM235" s="100"/>
      <c r="EN235" s="100"/>
      <c r="EO235" s="100"/>
      <c r="EP235" s="100"/>
      <c r="EQ235" s="100"/>
      <c r="ER235" s="100"/>
      <c r="ES235" s="100"/>
      <c r="ET235" s="100"/>
      <c r="EU235" s="100"/>
      <c r="EV235" s="100"/>
      <c r="EW235" s="100"/>
      <c r="EX235" s="100"/>
      <c r="EY235" s="100"/>
      <c r="EZ235" s="100"/>
      <c r="FA235" s="100"/>
      <c r="FB235" s="100"/>
      <c r="FC235" s="100"/>
      <c r="FD235" s="100"/>
      <c r="FE235" s="100"/>
      <c r="FF235" s="100"/>
      <c r="FG235" s="100"/>
      <c r="FH235" s="100"/>
      <c r="FI235" s="100"/>
      <c r="FJ235" s="100"/>
      <c r="FK235" s="100"/>
      <c r="FL235" s="100"/>
      <c r="FM235" s="100"/>
      <c r="FN235" s="100"/>
      <c r="FO235" s="100"/>
      <c r="FP235" s="100"/>
      <c r="FQ235" s="100"/>
      <c r="FR235" s="100"/>
      <c r="FS235" s="100"/>
      <c r="FT235" s="100"/>
      <c r="FU235" s="100"/>
      <c r="FV235" s="100"/>
      <c r="FW235" s="100"/>
      <c r="FX235" s="100"/>
      <c r="FY235" s="100"/>
      <c r="FZ235" s="100"/>
      <c r="GA235" s="100"/>
      <c r="GB235" s="100"/>
      <c r="GC235" s="100"/>
      <c r="GD235" s="100"/>
      <c r="GE235" s="100"/>
      <c r="GF235" s="100"/>
      <c r="GG235" s="100"/>
      <c r="GH235" s="100"/>
      <c r="GI235" s="100"/>
      <c r="GJ235" s="100"/>
      <c r="GK235" s="100"/>
      <c r="GL235" s="100"/>
      <c r="GM235" s="100"/>
      <c r="GN235" s="100"/>
      <c r="GO235" s="100"/>
      <c r="GP235" s="100"/>
      <c r="GQ235" s="100"/>
      <c r="GR235" s="100"/>
      <c r="GS235" s="100"/>
      <c r="GT235" s="100"/>
      <c r="GU235" s="100"/>
      <c r="GV235" s="100"/>
      <c r="GW235" s="100"/>
      <c r="GX235" s="100"/>
      <c r="GY235" s="100"/>
      <c r="GZ235" s="100"/>
      <c r="HA235" s="100"/>
      <c r="HB235" s="100"/>
      <c r="HC235" s="100"/>
      <c r="HD235" s="100"/>
      <c r="HE235" s="100"/>
      <c r="HF235" s="100"/>
      <c r="HG235" s="100"/>
      <c r="HH235" s="100"/>
      <c r="HI235" s="100"/>
      <c r="HJ235" s="100"/>
      <c r="HK235" s="100"/>
      <c r="HL235" s="100"/>
      <c r="HM235" s="100"/>
      <c r="HN235" s="100"/>
      <c r="HO235" s="100"/>
      <c r="HP235" s="100"/>
      <c r="HQ235" s="100"/>
      <c r="HR235" s="100"/>
      <c r="HS235" s="100"/>
      <c r="HT235" s="100"/>
      <c r="HU235" s="100"/>
      <c r="HV235" s="100"/>
      <c r="HW235" s="100"/>
      <c r="HX235" s="100"/>
      <c r="HY235" s="100"/>
      <c r="HZ235" s="100"/>
    </row>
    <row r="236" customFormat="false" ht="12.8" hidden="false" customHeight="false" outlineLevel="0" collapsed="false">
      <c r="A236" s="100"/>
      <c r="B236" s="100"/>
      <c r="C236" s="100"/>
      <c r="D236" s="100"/>
      <c r="E236" s="100"/>
      <c r="F236" s="100"/>
      <c r="G236" s="163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63"/>
      <c r="AJ236" s="100"/>
      <c r="AK236" s="100"/>
      <c r="AL236" s="163"/>
      <c r="AM236" s="100"/>
      <c r="AN236" s="100"/>
      <c r="AO236" s="100"/>
      <c r="AP236" s="100"/>
      <c r="AQ236" s="100"/>
      <c r="AR236" s="100"/>
      <c r="AS236" s="100"/>
      <c r="AT236" s="100"/>
      <c r="AU236" s="100"/>
      <c r="AV236" s="100"/>
      <c r="AW236" s="100"/>
      <c r="AX236" s="100"/>
      <c r="AY236" s="100"/>
      <c r="AZ236" s="100"/>
      <c r="BA236" s="100"/>
      <c r="BB236" s="100"/>
      <c r="BC236" s="100"/>
      <c r="BD236" s="100"/>
      <c r="BE236" s="100"/>
      <c r="BF236" s="100"/>
      <c r="BG236" s="100"/>
      <c r="BH236" s="100"/>
      <c r="BI236" s="100"/>
      <c r="BJ236" s="100"/>
      <c r="BK236" s="100"/>
      <c r="BL236" s="100"/>
      <c r="BM236" s="100"/>
      <c r="BN236" s="100"/>
      <c r="BO236" s="100"/>
      <c r="BP236" s="100"/>
      <c r="BQ236" s="100"/>
      <c r="BR236" s="100"/>
      <c r="BS236" s="100"/>
      <c r="BT236" s="100"/>
      <c r="BU236" s="100"/>
      <c r="BV236" s="100"/>
      <c r="BW236" s="100"/>
      <c r="BX236" s="100"/>
      <c r="BY236" s="100"/>
      <c r="BZ236" s="100"/>
      <c r="CA236" s="100"/>
      <c r="CB236" s="100"/>
      <c r="CC236" s="100"/>
      <c r="CD236" s="100"/>
      <c r="CE236" s="100"/>
      <c r="CF236" s="100"/>
      <c r="CG236" s="100"/>
      <c r="CH236" s="100"/>
      <c r="CI236" s="100"/>
      <c r="CJ236" s="120"/>
      <c r="CK236" s="120"/>
      <c r="CL236" s="120"/>
      <c r="CM236" s="120"/>
      <c r="CN236" s="120"/>
      <c r="CO236" s="120"/>
      <c r="CP236" s="120"/>
      <c r="CQ236" s="100"/>
      <c r="CR236" s="100"/>
      <c r="CS236" s="100"/>
      <c r="CT236" s="100"/>
      <c r="CU236" s="100"/>
      <c r="CV236" s="100"/>
      <c r="CW236" s="100"/>
      <c r="CX236" s="100"/>
      <c r="CY236" s="100"/>
      <c r="CZ236" s="100"/>
      <c r="DA236" s="100"/>
      <c r="DB236" s="100"/>
      <c r="DC236" s="100"/>
      <c r="DD236" s="100"/>
      <c r="DE236" s="100"/>
      <c r="DF236" s="100"/>
      <c r="DG236" s="100"/>
      <c r="DH236" s="100"/>
      <c r="DI236" s="100"/>
      <c r="DJ236" s="100"/>
      <c r="DK236" s="100"/>
      <c r="DL236" s="100"/>
      <c r="DM236" s="100"/>
      <c r="DN236" s="100"/>
      <c r="DO236" s="100"/>
      <c r="DP236" s="100"/>
      <c r="DQ236" s="100"/>
      <c r="DR236" s="100"/>
      <c r="DS236" s="100"/>
      <c r="DT236" s="100"/>
      <c r="DU236" s="100"/>
      <c r="DV236" s="100"/>
      <c r="DW236" s="100"/>
      <c r="DX236" s="100"/>
      <c r="DY236" s="100"/>
      <c r="DZ236" s="100"/>
      <c r="EA236" s="100"/>
      <c r="EB236" s="100"/>
      <c r="EC236" s="100"/>
      <c r="ED236" s="100"/>
      <c r="EE236" s="100"/>
      <c r="EF236" s="100"/>
      <c r="EG236" s="100"/>
      <c r="EH236" s="100"/>
      <c r="EI236" s="100"/>
      <c r="EJ236" s="100"/>
      <c r="EK236" s="100"/>
      <c r="EL236" s="100"/>
      <c r="EM236" s="100"/>
      <c r="EN236" s="100"/>
      <c r="EO236" s="100"/>
      <c r="EP236" s="100"/>
      <c r="EQ236" s="100"/>
      <c r="ER236" s="100"/>
      <c r="ES236" s="100"/>
      <c r="ET236" s="100"/>
      <c r="EU236" s="100"/>
      <c r="EV236" s="100"/>
      <c r="EW236" s="100"/>
      <c r="EX236" s="100"/>
      <c r="EY236" s="100"/>
      <c r="EZ236" s="100"/>
      <c r="FA236" s="100"/>
      <c r="FB236" s="100"/>
      <c r="FC236" s="100"/>
      <c r="FD236" s="100"/>
      <c r="FE236" s="100"/>
      <c r="FF236" s="100"/>
      <c r="FG236" s="100"/>
      <c r="FH236" s="100"/>
      <c r="FI236" s="100"/>
      <c r="FJ236" s="100"/>
      <c r="FK236" s="100"/>
      <c r="FL236" s="100"/>
      <c r="FM236" s="100"/>
      <c r="FN236" s="100"/>
      <c r="FO236" s="100"/>
      <c r="FP236" s="100"/>
      <c r="FQ236" s="100"/>
      <c r="FR236" s="100"/>
      <c r="FS236" s="100"/>
      <c r="FT236" s="100"/>
      <c r="FU236" s="100"/>
      <c r="FV236" s="100"/>
      <c r="FW236" s="100"/>
      <c r="FX236" s="100"/>
      <c r="FY236" s="100"/>
      <c r="FZ236" s="100"/>
      <c r="GA236" s="100"/>
      <c r="GB236" s="100"/>
      <c r="GC236" s="100"/>
      <c r="GD236" s="100"/>
      <c r="GE236" s="100"/>
      <c r="GF236" s="100"/>
      <c r="GG236" s="100"/>
      <c r="GH236" s="100"/>
      <c r="GI236" s="100"/>
      <c r="GJ236" s="100"/>
      <c r="GK236" s="100"/>
      <c r="GL236" s="100"/>
      <c r="GM236" s="100"/>
      <c r="GN236" s="100"/>
      <c r="GO236" s="100"/>
      <c r="GP236" s="100"/>
      <c r="GQ236" s="100"/>
      <c r="GR236" s="100"/>
      <c r="GS236" s="100"/>
      <c r="GT236" s="100"/>
      <c r="GU236" s="100"/>
      <c r="GV236" s="100"/>
      <c r="GW236" s="100"/>
      <c r="GX236" s="100"/>
      <c r="GY236" s="100"/>
      <c r="GZ236" s="100"/>
      <c r="HA236" s="100"/>
      <c r="HB236" s="100"/>
      <c r="HC236" s="100"/>
      <c r="HD236" s="100"/>
      <c r="HE236" s="100"/>
      <c r="HF236" s="100"/>
      <c r="HG236" s="100"/>
      <c r="HH236" s="100"/>
      <c r="HI236" s="100"/>
      <c r="HJ236" s="100"/>
      <c r="HK236" s="100"/>
      <c r="HL236" s="100"/>
      <c r="HM236" s="100"/>
      <c r="HN236" s="100"/>
      <c r="HO236" s="100"/>
      <c r="HP236" s="100"/>
      <c r="HQ236" s="100"/>
      <c r="HR236" s="100"/>
      <c r="HS236" s="100"/>
      <c r="HT236" s="100"/>
      <c r="HU236" s="100"/>
      <c r="HV236" s="100"/>
      <c r="HW236" s="100"/>
      <c r="HX236" s="100"/>
      <c r="HY236" s="100"/>
      <c r="HZ236" s="100"/>
    </row>
    <row r="237" customFormat="false" ht="12.8" hidden="false" customHeight="false" outlineLevel="0" collapsed="false">
      <c r="A237" s="100"/>
      <c r="B237" s="100"/>
      <c r="C237" s="100"/>
      <c r="D237" s="100"/>
      <c r="E237" s="100"/>
      <c r="F237" s="100"/>
      <c r="G237" s="163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63"/>
      <c r="AJ237" s="100"/>
      <c r="AK237" s="100"/>
      <c r="AL237" s="163"/>
      <c r="AM237" s="100"/>
      <c r="AN237" s="100"/>
      <c r="AO237" s="100"/>
      <c r="AP237" s="100"/>
      <c r="AQ237" s="100"/>
      <c r="AR237" s="100"/>
      <c r="AS237" s="100"/>
      <c r="AT237" s="100"/>
      <c r="AU237" s="100"/>
      <c r="AV237" s="100"/>
      <c r="AW237" s="100"/>
      <c r="AX237" s="100"/>
      <c r="AY237" s="100"/>
      <c r="AZ237" s="100"/>
      <c r="BA237" s="100"/>
      <c r="BB237" s="100"/>
      <c r="BC237" s="100"/>
      <c r="BD237" s="100"/>
      <c r="BE237" s="100"/>
      <c r="BF237" s="100"/>
      <c r="BG237" s="100"/>
      <c r="BH237" s="100"/>
      <c r="BI237" s="100"/>
      <c r="BJ237" s="100"/>
      <c r="BK237" s="100"/>
      <c r="BL237" s="100"/>
      <c r="BM237" s="100"/>
      <c r="BN237" s="100"/>
      <c r="BO237" s="100"/>
      <c r="BP237" s="100"/>
      <c r="BQ237" s="100"/>
      <c r="BR237" s="100"/>
      <c r="BS237" s="100"/>
      <c r="BT237" s="100"/>
      <c r="BU237" s="100"/>
      <c r="BV237" s="100"/>
      <c r="BW237" s="100"/>
      <c r="BX237" s="100"/>
      <c r="BY237" s="100"/>
      <c r="BZ237" s="100"/>
      <c r="CA237" s="100"/>
      <c r="CB237" s="100"/>
      <c r="CC237" s="100"/>
      <c r="CD237" s="100"/>
      <c r="CE237" s="100"/>
      <c r="CF237" s="100"/>
      <c r="CG237" s="100"/>
      <c r="CH237" s="100"/>
      <c r="CI237" s="100"/>
      <c r="CJ237" s="120"/>
      <c r="CK237" s="120"/>
      <c r="CL237" s="120"/>
      <c r="CM237" s="120"/>
      <c r="CN237" s="120"/>
      <c r="CO237" s="120"/>
      <c r="CP237" s="120"/>
      <c r="CQ237" s="100"/>
      <c r="CR237" s="100"/>
      <c r="CS237" s="100"/>
      <c r="CT237" s="100"/>
      <c r="CU237" s="100"/>
      <c r="CV237" s="100"/>
      <c r="CW237" s="100"/>
      <c r="CX237" s="100"/>
      <c r="CY237" s="100"/>
      <c r="CZ237" s="100"/>
      <c r="DA237" s="100"/>
      <c r="DB237" s="100"/>
      <c r="DC237" s="100"/>
      <c r="DD237" s="100"/>
      <c r="DE237" s="100"/>
      <c r="DF237" s="100"/>
      <c r="DG237" s="100"/>
      <c r="DH237" s="100"/>
      <c r="DI237" s="100"/>
      <c r="DJ237" s="100"/>
      <c r="DK237" s="100"/>
      <c r="DL237" s="100"/>
      <c r="DM237" s="100"/>
      <c r="DN237" s="100"/>
      <c r="DO237" s="100"/>
      <c r="DP237" s="100"/>
      <c r="DQ237" s="100"/>
      <c r="DR237" s="100"/>
      <c r="DS237" s="100"/>
      <c r="DT237" s="100"/>
      <c r="DU237" s="100"/>
      <c r="DV237" s="100"/>
      <c r="DW237" s="100"/>
      <c r="DX237" s="100"/>
      <c r="DY237" s="100"/>
      <c r="DZ237" s="100"/>
      <c r="EA237" s="100"/>
      <c r="EB237" s="100"/>
      <c r="EC237" s="100"/>
      <c r="ED237" s="100"/>
      <c r="EE237" s="100"/>
      <c r="EF237" s="100"/>
      <c r="EG237" s="100"/>
      <c r="EH237" s="100"/>
      <c r="EI237" s="100"/>
      <c r="EJ237" s="100"/>
      <c r="EK237" s="100"/>
      <c r="EL237" s="100"/>
      <c r="EM237" s="100"/>
      <c r="EN237" s="100"/>
      <c r="EO237" s="100"/>
      <c r="EP237" s="100"/>
      <c r="EQ237" s="100"/>
      <c r="ER237" s="100"/>
      <c r="ES237" s="100"/>
      <c r="ET237" s="100"/>
      <c r="EU237" s="100"/>
      <c r="EV237" s="100"/>
      <c r="EW237" s="100"/>
      <c r="EX237" s="100"/>
      <c r="EY237" s="100"/>
      <c r="EZ237" s="100"/>
      <c r="FA237" s="100"/>
      <c r="FB237" s="100"/>
      <c r="FC237" s="100"/>
      <c r="FD237" s="100"/>
      <c r="FE237" s="100"/>
      <c r="FF237" s="100"/>
      <c r="FG237" s="100"/>
      <c r="FH237" s="100"/>
      <c r="FI237" s="100"/>
      <c r="FJ237" s="100"/>
      <c r="FK237" s="100"/>
      <c r="FL237" s="100"/>
      <c r="FM237" s="100"/>
      <c r="FN237" s="100"/>
      <c r="FO237" s="100"/>
      <c r="FP237" s="100"/>
      <c r="FQ237" s="100"/>
      <c r="FR237" s="100"/>
      <c r="FS237" s="100"/>
      <c r="FT237" s="100"/>
      <c r="FU237" s="100"/>
      <c r="FV237" s="100"/>
      <c r="FW237" s="100"/>
      <c r="FX237" s="100"/>
      <c r="FY237" s="100"/>
      <c r="FZ237" s="100"/>
      <c r="GA237" s="100"/>
      <c r="GB237" s="100"/>
      <c r="GC237" s="100"/>
      <c r="GD237" s="100"/>
      <c r="GE237" s="100"/>
      <c r="GF237" s="100"/>
      <c r="GG237" s="100"/>
      <c r="GH237" s="100"/>
      <c r="GI237" s="100"/>
      <c r="GJ237" s="100"/>
      <c r="GK237" s="100"/>
      <c r="GL237" s="100"/>
      <c r="GM237" s="100"/>
      <c r="GN237" s="100"/>
      <c r="GO237" s="100"/>
      <c r="GP237" s="100"/>
      <c r="GQ237" s="100"/>
      <c r="GR237" s="100"/>
      <c r="GS237" s="100"/>
      <c r="GT237" s="100"/>
      <c r="GU237" s="100"/>
      <c r="GV237" s="100"/>
      <c r="GW237" s="100"/>
      <c r="GX237" s="100"/>
      <c r="GY237" s="100"/>
      <c r="GZ237" s="100"/>
      <c r="HA237" s="100"/>
      <c r="HB237" s="100"/>
      <c r="HC237" s="100"/>
      <c r="HD237" s="100"/>
      <c r="HE237" s="100"/>
      <c r="HF237" s="100"/>
      <c r="HG237" s="100"/>
      <c r="HH237" s="100"/>
      <c r="HI237" s="100"/>
      <c r="HJ237" s="100"/>
      <c r="HK237" s="100"/>
      <c r="HL237" s="100"/>
      <c r="HM237" s="100"/>
      <c r="HN237" s="100"/>
      <c r="HO237" s="100"/>
      <c r="HP237" s="100"/>
      <c r="HQ237" s="100"/>
      <c r="HR237" s="100"/>
      <c r="HS237" s="100"/>
      <c r="HT237" s="100"/>
      <c r="HU237" s="100"/>
      <c r="HV237" s="100"/>
      <c r="HW237" s="100"/>
      <c r="HX237" s="100"/>
      <c r="HY237" s="100"/>
      <c r="HZ237" s="100"/>
    </row>
    <row r="238" customFormat="false" ht="12.8" hidden="false" customHeight="false" outlineLevel="0" collapsed="false">
      <c r="A238" s="100"/>
      <c r="B238" s="100"/>
      <c r="C238" s="100"/>
      <c r="D238" s="100"/>
      <c r="E238" s="100"/>
      <c r="F238" s="100"/>
      <c r="G238" s="163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63"/>
      <c r="AJ238" s="100"/>
      <c r="AK238" s="100"/>
      <c r="AL238" s="163"/>
      <c r="AM238" s="100"/>
      <c r="AN238" s="100"/>
      <c r="AO238" s="100"/>
      <c r="AP238" s="100"/>
      <c r="AQ238" s="100"/>
      <c r="AR238" s="100"/>
      <c r="AS238" s="100"/>
      <c r="AT238" s="100"/>
      <c r="AU238" s="100"/>
      <c r="AV238" s="100"/>
      <c r="AW238" s="100"/>
      <c r="AX238" s="100"/>
      <c r="AY238" s="100"/>
      <c r="AZ238" s="100"/>
      <c r="BA238" s="100"/>
      <c r="BB238" s="100"/>
      <c r="BC238" s="100"/>
      <c r="BD238" s="100"/>
      <c r="BE238" s="100"/>
      <c r="BF238" s="100"/>
      <c r="BG238" s="100"/>
      <c r="BH238" s="100"/>
      <c r="BI238" s="100"/>
      <c r="BJ238" s="100"/>
      <c r="BK238" s="100"/>
      <c r="BL238" s="100"/>
      <c r="BM238" s="100"/>
      <c r="BN238" s="100"/>
      <c r="BO238" s="100"/>
      <c r="BP238" s="100"/>
      <c r="BQ238" s="100"/>
      <c r="BR238" s="100"/>
      <c r="BS238" s="100"/>
      <c r="BT238" s="100"/>
      <c r="BU238" s="100"/>
      <c r="BV238" s="100"/>
      <c r="BW238" s="100"/>
      <c r="BX238" s="100"/>
      <c r="BY238" s="100"/>
      <c r="BZ238" s="100"/>
      <c r="CA238" s="100"/>
      <c r="CB238" s="100"/>
      <c r="CC238" s="100"/>
      <c r="CD238" s="100"/>
      <c r="CE238" s="100"/>
      <c r="CF238" s="100"/>
      <c r="CG238" s="100"/>
      <c r="CH238" s="100"/>
      <c r="CI238" s="100"/>
      <c r="CJ238" s="120"/>
      <c r="CK238" s="120"/>
      <c r="CL238" s="120"/>
      <c r="CM238" s="120"/>
      <c r="CN238" s="120"/>
      <c r="CO238" s="120"/>
      <c r="CP238" s="120"/>
      <c r="CQ238" s="100"/>
      <c r="CR238" s="100"/>
      <c r="CS238" s="100"/>
      <c r="CT238" s="100"/>
      <c r="CU238" s="100"/>
      <c r="CV238" s="100"/>
      <c r="CW238" s="100"/>
      <c r="CX238" s="100"/>
      <c r="CY238" s="100"/>
      <c r="CZ238" s="100"/>
      <c r="DA238" s="100"/>
      <c r="DB238" s="100"/>
      <c r="DC238" s="100"/>
      <c r="DD238" s="100"/>
      <c r="DE238" s="100"/>
      <c r="DF238" s="100"/>
      <c r="DG238" s="100"/>
      <c r="DH238" s="100"/>
      <c r="DI238" s="100"/>
      <c r="DJ238" s="100"/>
      <c r="DK238" s="100"/>
      <c r="DL238" s="100"/>
      <c r="DM238" s="100"/>
      <c r="DN238" s="100"/>
      <c r="DO238" s="100"/>
      <c r="DP238" s="100"/>
      <c r="DQ238" s="100"/>
      <c r="DR238" s="100"/>
      <c r="DS238" s="100"/>
      <c r="DT238" s="100"/>
      <c r="DU238" s="100"/>
      <c r="DV238" s="100"/>
      <c r="DW238" s="100"/>
      <c r="DX238" s="100"/>
      <c r="DY238" s="100"/>
      <c r="DZ238" s="100"/>
      <c r="EA238" s="100"/>
      <c r="EB238" s="100"/>
      <c r="EC238" s="100"/>
      <c r="ED238" s="100"/>
      <c r="EE238" s="100"/>
      <c r="EF238" s="100"/>
      <c r="EG238" s="100"/>
      <c r="EH238" s="100"/>
      <c r="EI238" s="100"/>
      <c r="EJ238" s="100"/>
      <c r="EK238" s="100"/>
      <c r="EL238" s="100"/>
      <c r="EM238" s="100"/>
      <c r="EN238" s="100"/>
      <c r="EO238" s="100"/>
      <c r="EP238" s="100"/>
      <c r="EQ238" s="100"/>
      <c r="ER238" s="100"/>
      <c r="ES238" s="100"/>
      <c r="ET238" s="100"/>
      <c r="EU238" s="100"/>
      <c r="EV238" s="100"/>
      <c r="EW238" s="100"/>
      <c r="EX238" s="100"/>
      <c r="EY238" s="100"/>
      <c r="EZ238" s="100"/>
      <c r="FA238" s="100"/>
      <c r="FB238" s="100"/>
      <c r="FC238" s="100"/>
      <c r="FD238" s="100"/>
      <c r="FE238" s="100"/>
      <c r="FF238" s="100"/>
      <c r="FG238" s="100"/>
      <c r="FH238" s="100"/>
      <c r="FI238" s="100"/>
      <c r="FJ238" s="100"/>
      <c r="FK238" s="100"/>
      <c r="FL238" s="100"/>
      <c r="FM238" s="100"/>
      <c r="FN238" s="100"/>
      <c r="FO238" s="100"/>
      <c r="FP238" s="100"/>
      <c r="FQ238" s="100"/>
      <c r="FR238" s="100"/>
      <c r="FS238" s="100"/>
      <c r="FT238" s="100"/>
      <c r="FU238" s="100"/>
      <c r="FV238" s="100"/>
      <c r="FW238" s="100"/>
      <c r="FX238" s="100"/>
      <c r="FY238" s="100"/>
      <c r="FZ238" s="100"/>
      <c r="GA238" s="100"/>
      <c r="GB238" s="100"/>
      <c r="GC238" s="100"/>
      <c r="GD238" s="100"/>
      <c r="GE238" s="100"/>
      <c r="GF238" s="100"/>
      <c r="GG238" s="100"/>
      <c r="GH238" s="100"/>
      <c r="GI238" s="100"/>
      <c r="GJ238" s="100"/>
      <c r="GK238" s="100"/>
      <c r="GL238" s="100"/>
      <c r="GM238" s="100"/>
      <c r="GN238" s="100"/>
      <c r="GO238" s="100"/>
      <c r="GP238" s="100"/>
      <c r="GQ238" s="100"/>
      <c r="GR238" s="100"/>
      <c r="GS238" s="100"/>
      <c r="GT238" s="100"/>
      <c r="GU238" s="100"/>
      <c r="GV238" s="100"/>
      <c r="GW238" s="100"/>
      <c r="GX238" s="100"/>
      <c r="GY238" s="100"/>
      <c r="GZ238" s="100"/>
      <c r="HA238" s="100"/>
      <c r="HB238" s="100"/>
      <c r="HC238" s="100"/>
      <c r="HD238" s="100"/>
      <c r="HE238" s="100"/>
      <c r="HF238" s="100"/>
      <c r="HG238" s="100"/>
      <c r="HH238" s="100"/>
      <c r="HI238" s="100"/>
      <c r="HJ238" s="100"/>
      <c r="HK238" s="100"/>
      <c r="HL238" s="100"/>
      <c r="HM238" s="100"/>
      <c r="HN238" s="100"/>
      <c r="HO238" s="100"/>
      <c r="HP238" s="100"/>
      <c r="HQ238" s="100"/>
      <c r="HR238" s="100"/>
      <c r="HS238" s="100"/>
      <c r="HT238" s="100"/>
      <c r="HU238" s="100"/>
      <c r="HV238" s="100"/>
      <c r="HW238" s="100"/>
      <c r="HX238" s="100"/>
      <c r="HY238" s="100"/>
      <c r="HZ238" s="100"/>
    </row>
    <row r="239" customFormat="false" ht="12.8" hidden="false" customHeight="false" outlineLevel="0" collapsed="false">
      <c r="A239" s="100"/>
      <c r="B239" s="100"/>
      <c r="C239" s="100"/>
      <c r="D239" s="100"/>
      <c r="E239" s="100"/>
      <c r="F239" s="100"/>
      <c r="G239" s="163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63"/>
      <c r="AJ239" s="100"/>
      <c r="AK239" s="100"/>
      <c r="AL239" s="163"/>
      <c r="AM239" s="100"/>
      <c r="AN239" s="100"/>
      <c r="AO239" s="100"/>
      <c r="AP239" s="100"/>
      <c r="AQ239" s="100"/>
      <c r="AR239" s="100"/>
      <c r="AS239" s="100"/>
      <c r="AT239" s="100"/>
      <c r="AU239" s="100"/>
      <c r="AV239" s="100"/>
      <c r="AW239" s="100"/>
      <c r="AX239" s="100"/>
      <c r="AY239" s="100"/>
      <c r="AZ239" s="100"/>
      <c r="BA239" s="100"/>
      <c r="BB239" s="100"/>
      <c r="BC239" s="100"/>
      <c r="BD239" s="100"/>
      <c r="BE239" s="100"/>
      <c r="BF239" s="100"/>
      <c r="BG239" s="100"/>
      <c r="BH239" s="100"/>
      <c r="BI239" s="100"/>
      <c r="BJ239" s="100"/>
      <c r="BK239" s="100"/>
      <c r="BL239" s="100"/>
      <c r="BM239" s="100"/>
      <c r="BN239" s="100"/>
      <c r="BO239" s="100"/>
      <c r="BP239" s="100"/>
      <c r="BQ239" s="100"/>
      <c r="BR239" s="100"/>
      <c r="BS239" s="100"/>
      <c r="BT239" s="100"/>
      <c r="BU239" s="100"/>
      <c r="BV239" s="100"/>
      <c r="BW239" s="100"/>
      <c r="BX239" s="100"/>
      <c r="BY239" s="100"/>
      <c r="BZ239" s="100"/>
      <c r="CA239" s="100"/>
      <c r="CB239" s="100"/>
      <c r="CC239" s="100"/>
      <c r="CD239" s="100"/>
      <c r="CE239" s="100"/>
      <c r="CF239" s="100"/>
      <c r="CG239" s="100"/>
      <c r="CH239" s="100"/>
      <c r="CI239" s="100"/>
      <c r="CJ239" s="120"/>
      <c r="CK239" s="120"/>
      <c r="CL239" s="120"/>
      <c r="CM239" s="120"/>
      <c r="CN239" s="120"/>
      <c r="CO239" s="120"/>
      <c r="CP239" s="120"/>
      <c r="CQ239" s="100"/>
      <c r="CR239" s="100"/>
      <c r="CS239" s="100"/>
      <c r="CT239" s="100"/>
      <c r="CU239" s="100"/>
      <c r="CV239" s="100"/>
      <c r="CW239" s="100"/>
      <c r="CX239" s="100"/>
      <c r="CY239" s="100"/>
      <c r="CZ239" s="100"/>
      <c r="DA239" s="100"/>
      <c r="DB239" s="100"/>
      <c r="DC239" s="100"/>
      <c r="DD239" s="100"/>
      <c r="DE239" s="100"/>
      <c r="DF239" s="100"/>
      <c r="DG239" s="100"/>
      <c r="DH239" s="100"/>
      <c r="DI239" s="100"/>
      <c r="DJ239" s="100"/>
      <c r="DK239" s="100"/>
      <c r="DL239" s="100"/>
      <c r="DM239" s="100"/>
      <c r="DN239" s="100"/>
      <c r="DO239" s="100"/>
      <c r="DP239" s="100"/>
      <c r="DQ239" s="100"/>
      <c r="DR239" s="100"/>
      <c r="DS239" s="100"/>
      <c r="DT239" s="100"/>
      <c r="DU239" s="100"/>
      <c r="DV239" s="100"/>
      <c r="DW239" s="100"/>
      <c r="DX239" s="100"/>
      <c r="DY239" s="100"/>
      <c r="DZ239" s="100"/>
      <c r="EA239" s="100"/>
      <c r="EB239" s="100"/>
      <c r="EC239" s="100"/>
      <c r="ED239" s="100"/>
      <c r="EE239" s="100"/>
      <c r="EF239" s="100"/>
      <c r="EG239" s="100"/>
      <c r="EH239" s="100"/>
      <c r="EI239" s="100"/>
      <c r="EJ239" s="100"/>
      <c r="EK239" s="100"/>
      <c r="EL239" s="100"/>
      <c r="EM239" s="100"/>
      <c r="EN239" s="100"/>
      <c r="EO239" s="100"/>
      <c r="EP239" s="100"/>
      <c r="EQ239" s="100"/>
      <c r="ER239" s="100"/>
      <c r="ES239" s="100"/>
      <c r="ET239" s="100"/>
      <c r="EU239" s="100"/>
      <c r="EV239" s="100"/>
      <c r="EW239" s="100"/>
      <c r="EX239" s="100"/>
      <c r="EY239" s="100"/>
      <c r="EZ239" s="100"/>
      <c r="FA239" s="100"/>
      <c r="FB239" s="100"/>
      <c r="FC239" s="100"/>
      <c r="FD239" s="100"/>
      <c r="FE239" s="100"/>
      <c r="FF239" s="100"/>
      <c r="FG239" s="100"/>
      <c r="FH239" s="100"/>
      <c r="FI239" s="100"/>
      <c r="FJ239" s="100"/>
      <c r="FK239" s="100"/>
      <c r="FL239" s="100"/>
      <c r="FM239" s="100"/>
      <c r="FN239" s="100"/>
      <c r="FO239" s="100"/>
      <c r="FP239" s="100"/>
      <c r="FQ239" s="100"/>
      <c r="FR239" s="100"/>
      <c r="FS239" s="100"/>
      <c r="FT239" s="100"/>
      <c r="FU239" s="100"/>
      <c r="FV239" s="100"/>
      <c r="FW239" s="100"/>
      <c r="FX239" s="100"/>
      <c r="FY239" s="100"/>
      <c r="FZ239" s="100"/>
      <c r="GA239" s="100"/>
      <c r="GB239" s="100"/>
      <c r="GC239" s="100"/>
      <c r="GD239" s="100"/>
      <c r="GE239" s="100"/>
      <c r="GF239" s="100"/>
      <c r="GG239" s="100"/>
      <c r="GH239" s="100"/>
      <c r="GI239" s="100"/>
      <c r="GJ239" s="100"/>
      <c r="GK239" s="100"/>
      <c r="GL239" s="100"/>
      <c r="GM239" s="100"/>
      <c r="GN239" s="100"/>
      <c r="GO239" s="100"/>
      <c r="GP239" s="100"/>
      <c r="GQ239" s="100"/>
      <c r="GR239" s="100"/>
      <c r="GS239" s="100"/>
      <c r="GT239" s="100"/>
      <c r="GU239" s="100"/>
      <c r="GV239" s="100"/>
      <c r="GW239" s="100"/>
      <c r="GX239" s="100"/>
      <c r="GY239" s="100"/>
      <c r="GZ239" s="100"/>
      <c r="HA239" s="100"/>
      <c r="HB239" s="100"/>
      <c r="HC239" s="100"/>
      <c r="HD239" s="100"/>
      <c r="HE239" s="100"/>
      <c r="HF239" s="100"/>
      <c r="HG239" s="100"/>
      <c r="HH239" s="100"/>
      <c r="HI239" s="100"/>
      <c r="HJ239" s="100"/>
      <c r="HK239" s="100"/>
      <c r="HL239" s="100"/>
      <c r="HM239" s="100"/>
      <c r="HN239" s="100"/>
      <c r="HO239" s="100"/>
      <c r="HP239" s="100"/>
      <c r="HQ239" s="100"/>
      <c r="HR239" s="100"/>
      <c r="HS239" s="100"/>
      <c r="HT239" s="100"/>
      <c r="HU239" s="100"/>
      <c r="HV239" s="100"/>
      <c r="HW239" s="100"/>
      <c r="HX239" s="100"/>
      <c r="HY239" s="100"/>
      <c r="HZ239" s="100"/>
    </row>
    <row r="240" customFormat="false" ht="12.8" hidden="false" customHeight="false" outlineLevel="0" collapsed="false">
      <c r="A240" s="100"/>
      <c r="B240" s="100"/>
      <c r="C240" s="100"/>
      <c r="D240" s="100"/>
      <c r="E240" s="100"/>
      <c r="F240" s="100"/>
      <c r="G240" s="163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63"/>
      <c r="AJ240" s="100"/>
      <c r="AK240" s="100"/>
      <c r="AL240" s="163"/>
      <c r="AM240" s="100"/>
      <c r="AN240" s="100"/>
      <c r="AO240" s="100"/>
      <c r="AP240" s="100"/>
      <c r="AQ240" s="100"/>
      <c r="AR240" s="100"/>
      <c r="AS240" s="100"/>
      <c r="AT240" s="100"/>
      <c r="AU240" s="100"/>
      <c r="AV240" s="100"/>
      <c r="AW240" s="100"/>
      <c r="AX240" s="100"/>
      <c r="AY240" s="100"/>
      <c r="AZ240" s="100"/>
      <c r="BA240" s="100"/>
      <c r="BB240" s="100"/>
      <c r="BC240" s="100"/>
      <c r="BD240" s="100"/>
      <c r="BE240" s="100"/>
      <c r="BF240" s="100"/>
      <c r="BG240" s="100"/>
      <c r="BH240" s="100"/>
      <c r="BI240" s="100"/>
      <c r="BJ240" s="100"/>
      <c r="BK240" s="100"/>
      <c r="BL240" s="100"/>
      <c r="BM240" s="100"/>
      <c r="BN240" s="100"/>
      <c r="BO240" s="100"/>
      <c r="BP240" s="100"/>
      <c r="BQ240" s="100"/>
      <c r="BR240" s="100"/>
      <c r="BS240" s="100"/>
      <c r="BT240" s="100"/>
      <c r="BU240" s="100"/>
      <c r="BV240" s="100"/>
      <c r="BW240" s="100"/>
      <c r="BX240" s="100"/>
      <c r="BY240" s="100"/>
      <c r="BZ240" s="100"/>
      <c r="CA240" s="100"/>
      <c r="CB240" s="100"/>
      <c r="CC240" s="100"/>
      <c r="CD240" s="100"/>
      <c r="CE240" s="100"/>
      <c r="CF240" s="100"/>
      <c r="CG240" s="100"/>
      <c r="CH240" s="100"/>
      <c r="CI240" s="100"/>
      <c r="CJ240" s="120"/>
      <c r="CK240" s="120"/>
      <c r="CL240" s="120"/>
      <c r="CM240" s="120"/>
      <c r="CN240" s="120"/>
      <c r="CO240" s="120"/>
      <c r="CP240" s="120"/>
      <c r="CQ240" s="100"/>
      <c r="CR240" s="100"/>
      <c r="CS240" s="100"/>
      <c r="CT240" s="100"/>
      <c r="CU240" s="100"/>
      <c r="CV240" s="100"/>
      <c r="CW240" s="100"/>
      <c r="CX240" s="100"/>
      <c r="CY240" s="100"/>
      <c r="CZ240" s="100"/>
      <c r="DA240" s="100"/>
      <c r="DB240" s="100"/>
      <c r="DC240" s="100"/>
      <c r="DD240" s="100"/>
      <c r="DE240" s="100"/>
      <c r="DF240" s="100"/>
      <c r="DG240" s="100"/>
      <c r="DH240" s="100"/>
      <c r="DI240" s="100"/>
      <c r="DJ240" s="100"/>
      <c r="DK240" s="100"/>
      <c r="DL240" s="100"/>
      <c r="DM240" s="100"/>
      <c r="DN240" s="100"/>
      <c r="DO240" s="100"/>
      <c r="DP240" s="100"/>
      <c r="DQ240" s="100"/>
      <c r="DR240" s="100"/>
      <c r="DS240" s="100"/>
      <c r="DT240" s="100"/>
      <c r="DU240" s="100"/>
      <c r="DV240" s="100"/>
      <c r="DW240" s="100"/>
      <c r="DX240" s="100"/>
      <c r="DY240" s="100"/>
      <c r="DZ240" s="100"/>
      <c r="EA240" s="100"/>
      <c r="EB240" s="100"/>
      <c r="EC240" s="100"/>
      <c r="ED240" s="100"/>
      <c r="EE240" s="100"/>
      <c r="EF240" s="100"/>
      <c r="EG240" s="100"/>
      <c r="EH240" s="100"/>
      <c r="EI240" s="100"/>
      <c r="EJ240" s="100"/>
      <c r="EK240" s="100"/>
      <c r="EL240" s="100"/>
      <c r="EM240" s="100"/>
      <c r="EN240" s="100"/>
      <c r="EO240" s="100"/>
      <c r="EP240" s="100"/>
      <c r="EQ240" s="100"/>
      <c r="ER240" s="100"/>
      <c r="ES240" s="100"/>
      <c r="ET240" s="100"/>
      <c r="EU240" s="100"/>
      <c r="EV240" s="100"/>
      <c r="EW240" s="100"/>
      <c r="EX240" s="100"/>
      <c r="EY240" s="100"/>
      <c r="EZ240" s="100"/>
      <c r="FA240" s="100"/>
      <c r="FB240" s="100"/>
      <c r="FC240" s="100"/>
      <c r="FD240" s="100"/>
      <c r="FE240" s="100"/>
      <c r="FF240" s="100"/>
      <c r="FG240" s="100"/>
      <c r="FH240" s="100"/>
      <c r="FI240" s="100"/>
      <c r="FJ240" s="100"/>
      <c r="FK240" s="100"/>
      <c r="FL240" s="100"/>
      <c r="FM240" s="100"/>
      <c r="FN240" s="100"/>
      <c r="FO240" s="100"/>
      <c r="FP240" s="100"/>
      <c r="FQ240" s="100"/>
      <c r="FR240" s="100"/>
      <c r="FS240" s="100"/>
      <c r="FT240" s="100"/>
      <c r="FU240" s="100"/>
      <c r="FV240" s="100"/>
      <c r="FW240" s="100"/>
      <c r="FX240" s="100"/>
      <c r="FY240" s="100"/>
      <c r="FZ240" s="100"/>
      <c r="GA240" s="100"/>
      <c r="GB240" s="100"/>
      <c r="GC240" s="100"/>
      <c r="GD240" s="100"/>
      <c r="GE240" s="100"/>
      <c r="GF240" s="100"/>
      <c r="GG240" s="100"/>
      <c r="GH240" s="100"/>
      <c r="GI240" s="100"/>
      <c r="GJ240" s="100"/>
      <c r="GK240" s="100"/>
      <c r="GL240" s="100"/>
      <c r="GM240" s="100"/>
      <c r="GN240" s="100"/>
      <c r="GO240" s="100"/>
      <c r="GP240" s="100"/>
      <c r="GQ240" s="100"/>
      <c r="GR240" s="100"/>
      <c r="GS240" s="100"/>
      <c r="GT240" s="100"/>
      <c r="GU240" s="100"/>
      <c r="GV240" s="100"/>
      <c r="GW240" s="100"/>
      <c r="GX240" s="100"/>
      <c r="GY240" s="100"/>
      <c r="GZ240" s="100"/>
      <c r="HA240" s="100"/>
      <c r="HB240" s="100"/>
      <c r="HC240" s="100"/>
      <c r="HD240" s="100"/>
      <c r="HE240" s="100"/>
      <c r="HF240" s="100"/>
      <c r="HG240" s="100"/>
      <c r="HH240" s="100"/>
      <c r="HI240" s="100"/>
      <c r="HJ240" s="100"/>
      <c r="HK240" s="100"/>
      <c r="HL240" s="100"/>
      <c r="HM240" s="100"/>
      <c r="HN240" s="100"/>
      <c r="HO240" s="100"/>
      <c r="HP240" s="100"/>
      <c r="HQ240" s="100"/>
      <c r="HR240" s="100"/>
      <c r="HS240" s="100"/>
      <c r="HT240" s="100"/>
      <c r="HU240" s="100"/>
      <c r="HV240" s="100"/>
      <c r="HW240" s="100"/>
      <c r="HX240" s="100"/>
      <c r="HY240" s="100"/>
      <c r="HZ240" s="100"/>
    </row>
    <row r="241" customFormat="false" ht="12.8" hidden="false" customHeight="false" outlineLevel="0" collapsed="false">
      <c r="A241" s="100"/>
      <c r="B241" s="100"/>
      <c r="C241" s="100"/>
      <c r="D241" s="100"/>
      <c r="E241" s="100"/>
      <c r="F241" s="100"/>
      <c r="G241" s="163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63"/>
      <c r="AJ241" s="100"/>
      <c r="AK241" s="100"/>
      <c r="AL241" s="163"/>
      <c r="AM241" s="100"/>
      <c r="AN241" s="100"/>
      <c r="AO241" s="100"/>
      <c r="AP241" s="100"/>
      <c r="AQ241" s="100"/>
      <c r="AR241" s="100"/>
      <c r="AS241" s="100"/>
      <c r="AT241" s="100"/>
      <c r="AU241" s="100"/>
      <c r="AV241" s="100"/>
      <c r="AW241" s="100"/>
      <c r="AX241" s="100"/>
      <c r="AY241" s="100"/>
      <c r="AZ241" s="100"/>
      <c r="BA241" s="100"/>
      <c r="BB241" s="100"/>
      <c r="BC241" s="100"/>
      <c r="BD241" s="100"/>
      <c r="BE241" s="100"/>
      <c r="BF241" s="100"/>
      <c r="BG241" s="100"/>
      <c r="BH241" s="100"/>
      <c r="BI241" s="100"/>
      <c r="BJ241" s="100"/>
      <c r="BK241" s="100"/>
      <c r="BL241" s="100"/>
      <c r="BM241" s="100"/>
      <c r="BN241" s="100"/>
      <c r="BO241" s="100"/>
      <c r="BP241" s="100"/>
      <c r="BQ241" s="100"/>
      <c r="BR241" s="100"/>
      <c r="BS241" s="100"/>
      <c r="BT241" s="100"/>
      <c r="BU241" s="100"/>
      <c r="BV241" s="100"/>
      <c r="BW241" s="100"/>
      <c r="BX241" s="100"/>
      <c r="BY241" s="100"/>
      <c r="BZ241" s="100"/>
      <c r="CA241" s="100"/>
      <c r="CB241" s="100"/>
      <c r="CC241" s="100"/>
      <c r="CD241" s="100"/>
      <c r="CE241" s="100"/>
      <c r="CF241" s="100"/>
      <c r="CG241" s="100"/>
      <c r="CH241" s="100"/>
      <c r="CI241" s="100"/>
      <c r="CJ241" s="120"/>
      <c r="CK241" s="120"/>
      <c r="CL241" s="120"/>
      <c r="CM241" s="120"/>
      <c r="CN241" s="120"/>
      <c r="CO241" s="120"/>
      <c r="CP241" s="120"/>
      <c r="CQ241" s="100"/>
      <c r="CR241" s="100"/>
      <c r="CS241" s="100"/>
      <c r="CT241" s="100"/>
      <c r="CU241" s="100"/>
      <c r="CV241" s="100"/>
      <c r="CW241" s="100"/>
      <c r="CX241" s="100"/>
      <c r="CY241" s="100"/>
      <c r="CZ241" s="100"/>
      <c r="DA241" s="100"/>
      <c r="DB241" s="100"/>
      <c r="DC241" s="100"/>
      <c r="DD241" s="100"/>
      <c r="DE241" s="100"/>
      <c r="DF241" s="100"/>
      <c r="DG241" s="100"/>
      <c r="DH241" s="100"/>
      <c r="DI241" s="100"/>
      <c r="DJ241" s="100"/>
      <c r="DK241" s="100"/>
      <c r="DL241" s="100"/>
      <c r="DM241" s="100"/>
      <c r="DN241" s="100"/>
      <c r="DO241" s="100"/>
      <c r="DP241" s="100"/>
      <c r="DQ241" s="100"/>
      <c r="DR241" s="100"/>
      <c r="DS241" s="100"/>
      <c r="DT241" s="100"/>
      <c r="DU241" s="100"/>
      <c r="DV241" s="100"/>
      <c r="DW241" s="100"/>
      <c r="DX241" s="100"/>
      <c r="DY241" s="100"/>
      <c r="DZ241" s="100"/>
      <c r="EA241" s="100"/>
      <c r="EB241" s="100"/>
      <c r="EC241" s="100"/>
      <c r="ED241" s="100"/>
      <c r="EE241" s="100"/>
      <c r="EF241" s="100"/>
      <c r="EG241" s="100"/>
      <c r="EH241" s="100"/>
      <c r="EI241" s="100"/>
      <c r="EJ241" s="100"/>
      <c r="EK241" s="100"/>
      <c r="EL241" s="100"/>
      <c r="EM241" s="100"/>
      <c r="EN241" s="100"/>
      <c r="EO241" s="100"/>
      <c r="EP241" s="100"/>
      <c r="EQ241" s="100"/>
      <c r="ER241" s="100"/>
      <c r="ES241" s="100"/>
      <c r="ET241" s="100"/>
      <c r="EU241" s="100"/>
      <c r="EV241" s="100"/>
      <c r="EW241" s="100"/>
      <c r="EX241" s="100"/>
      <c r="EY241" s="100"/>
      <c r="EZ241" s="100"/>
      <c r="FA241" s="100"/>
      <c r="FB241" s="100"/>
      <c r="FC241" s="100"/>
      <c r="FD241" s="100"/>
      <c r="FE241" s="100"/>
      <c r="FF241" s="100"/>
      <c r="FG241" s="100"/>
      <c r="FH241" s="100"/>
      <c r="FI241" s="100"/>
      <c r="FJ241" s="100"/>
      <c r="FK241" s="100"/>
      <c r="FL241" s="100"/>
      <c r="FM241" s="100"/>
      <c r="FN241" s="100"/>
      <c r="FO241" s="100"/>
      <c r="FP241" s="100"/>
      <c r="FQ241" s="100"/>
      <c r="FR241" s="100"/>
      <c r="FS241" s="100"/>
      <c r="FT241" s="100"/>
      <c r="FU241" s="100"/>
      <c r="FV241" s="100"/>
      <c r="FW241" s="100"/>
      <c r="FX241" s="100"/>
      <c r="FY241" s="100"/>
      <c r="FZ241" s="100"/>
      <c r="GA241" s="100"/>
      <c r="GB241" s="100"/>
      <c r="GC241" s="100"/>
      <c r="GD241" s="100"/>
      <c r="GE241" s="100"/>
      <c r="GF241" s="100"/>
      <c r="GG241" s="100"/>
      <c r="GH241" s="100"/>
      <c r="GI241" s="100"/>
      <c r="GJ241" s="100"/>
      <c r="GK241" s="100"/>
      <c r="GL241" s="100"/>
      <c r="GM241" s="100"/>
      <c r="GN241" s="100"/>
      <c r="GO241" s="100"/>
      <c r="GP241" s="100"/>
      <c r="GQ241" s="100"/>
      <c r="GR241" s="100"/>
      <c r="GS241" s="100"/>
      <c r="GT241" s="100"/>
      <c r="GU241" s="100"/>
      <c r="GV241" s="100"/>
      <c r="GW241" s="100"/>
      <c r="GX241" s="100"/>
      <c r="GY241" s="100"/>
      <c r="GZ241" s="100"/>
      <c r="HA241" s="100"/>
      <c r="HB241" s="100"/>
      <c r="HC241" s="100"/>
      <c r="HD241" s="100"/>
      <c r="HE241" s="100"/>
      <c r="HF241" s="100"/>
      <c r="HG241" s="100"/>
      <c r="HH241" s="100"/>
      <c r="HI241" s="100"/>
      <c r="HJ241" s="100"/>
      <c r="HK241" s="100"/>
      <c r="HL241" s="100"/>
      <c r="HM241" s="100"/>
      <c r="HN241" s="100"/>
      <c r="HO241" s="100"/>
      <c r="HP241" s="100"/>
      <c r="HQ241" s="100"/>
      <c r="HR241" s="100"/>
      <c r="HS241" s="100"/>
      <c r="HT241" s="100"/>
      <c r="HU241" s="100"/>
      <c r="HV241" s="100"/>
      <c r="HW241" s="100"/>
      <c r="HX241" s="100"/>
      <c r="HY241" s="100"/>
      <c r="HZ241" s="100"/>
    </row>
    <row r="242" customFormat="false" ht="12.8" hidden="false" customHeight="false" outlineLevel="0" collapsed="false">
      <c r="A242" s="100"/>
      <c r="B242" s="100"/>
      <c r="C242" s="100"/>
      <c r="D242" s="100"/>
      <c r="E242" s="100"/>
      <c r="F242" s="100"/>
      <c r="G242" s="163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63"/>
      <c r="AJ242" s="100"/>
      <c r="AK242" s="100"/>
      <c r="AL242" s="163"/>
      <c r="AM242" s="100"/>
      <c r="AN242" s="100"/>
      <c r="AO242" s="100"/>
      <c r="AP242" s="100"/>
      <c r="AQ242" s="100"/>
      <c r="AR242" s="100"/>
      <c r="AS242" s="100"/>
      <c r="AT242" s="100"/>
      <c r="AU242" s="100"/>
      <c r="AV242" s="100"/>
      <c r="AW242" s="100"/>
      <c r="AX242" s="100"/>
      <c r="AY242" s="100"/>
      <c r="AZ242" s="100"/>
      <c r="BA242" s="100"/>
      <c r="BB242" s="100"/>
      <c r="BC242" s="100"/>
      <c r="BD242" s="100"/>
      <c r="BE242" s="100"/>
      <c r="BF242" s="100"/>
      <c r="BG242" s="100"/>
      <c r="BH242" s="100"/>
      <c r="BI242" s="100"/>
      <c r="BJ242" s="100"/>
      <c r="BK242" s="100"/>
      <c r="BL242" s="100"/>
      <c r="BM242" s="100"/>
      <c r="BN242" s="100"/>
      <c r="BO242" s="100"/>
      <c r="BP242" s="100"/>
      <c r="BQ242" s="100"/>
      <c r="BR242" s="100"/>
      <c r="BS242" s="100"/>
      <c r="BT242" s="100"/>
      <c r="BU242" s="100"/>
      <c r="BV242" s="100"/>
      <c r="BW242" s="100"/>
      <c r="BX242" s="100"/>
      <c r="BY242" s="100"/>
      <c r="BZ242" s="100"/>
      <c r="CA242" s="100"/>
      <c r="CB242" s="100"/>
      <c r="CC242" s="100"/>
      <c r="CD242" s="100"/>
      <c r="CE242" s="100"/>
      <c r="CF242" s="100"/>
      <c r="CG242" s="100"/>
      <c r="CH242" s="100"/>
      <c r="CI242" s="100"/>
      <c r="CJ242" s="120"/>
      <c r="CK242" s="120"/>
      <c r="CL242" s="120"/>
      <c r="CM242" s="120"/>
      <c r="CN242" s="120"/>
      <c r="CO242" s="120"/>
      <c r="CP242" s="120"/>
      <c r="CQ242" s="100"/>
      <c r="CR242" s="100"/>
      <c r="CS242" s="100"/>
      <c r="CT242" s="100"/>
      <c r="CU242" s="100"/>
      <c r="CV242" s="100"/>
      <c r="CW242" s="100"/>
      <c r="CX242" s="100"/>
      <c r="CY242" s="100"/>
      <c r="CZ242" s="100"/>
      <c r="DA242" s="100"/>
      <c r="DB242" s="100"/>
      <c r="DC242" s="100"/>
      <c r="DD242" s="100"/>
      <c r="DE242" s="100"/>
      <c r="DF242" s="100"/>
      <c r="DG242" s="100"/>
      <c r="DH242" s="100"/>
      <c r="DI242" s="100"/>
      <c r="DJ242" s="100"/>
      <c r="DK242" s="100"/>
      <c r="DL242" s="100"/>
      <c r="DM242" s="100"/>
      <c r="DN242" s="100"/>
      <c r="DO242" s="100"/>
      <c r="DP242" s="100"/>
      <c r="DQ242" s="100"/>
      <c r="DR242" s="100"/>
      <c r="DS242" s="100"/>
      <c r="DT242" s="100"/>
      <c r="DU242" s="100"/>
      <c r="DV242" s="100"/>
      <c r="DW242" s="100"/>
      <c r="DX242" s="100"/>
      <c r="DY242" s="100"/>
      <c r="DZ242" s="100"/>
      <c r="EA242" s="100"/>
      <c r="EB242" s="100"/>
      <c r="EC242" s="100"/>
      <c r="ED242" s="100"/>
      <c r="EE242" s="100"/>
      <c r="EF242" s="100"/>
      <c r="EG242" s="100"/>
      <c r="EH242" s="100"/>
      <c r="EI242" s="100"/>
      <c r="EJ242" s="100"/>
      <c r="EK242" s="100"/>
      <c r="EL242" s="100"/>
      <c r="EM242" s="100"/>
      <c r="EN242" s="100"/>
      <c r="EO242" s="100"/>
      <c r="EP242" s="100"/>
      <c r="EQ242" s="100"/>
      <c r="ER242" s="100"/>
      <c r="ES242" s="100"/>
      <c r="ET242" s="100"/>
      <c r="EU242" s="100"/>
      <c r="EV242" s="100"/>
      <c r="EW242" s="100"/>
      <c r="EX242" s="100"/>
      <c r="EY242" s="100"/>
      <c r="EZ242" s="100"/>
      <c r="FA242" s="100"/>
      <c r="FB242" s="100"/>
      <c r="FC242" s="100"/>
      <c r="FD242" s="100"/>
      <c r="FE242" s="100"/>
      <c r="FF242" s="100"/>
      <c r="FG242" s="100"/>
      <c r="FH242" s="100"/>
      <c r="FI242" s="100"/>
      <c r="FJ242" s="100"/>
      <c r="FK242" s="100"/>
      <c r="FL242" s="100"/>
      <c r="FM242" s="100"/>
      <c r="FN242" s="100"/>
      <c r="FO242" s="100"/>
      <c r="FP242" s="100"/>
      <c r="FQ242" s="100"/>
      <c r="FR242" s="100"/>
      <c r="FS242" s="100"/>
      <c r="FT242" s="100"/>
      <c r="FU242" s="100"/>
      <c r="FV242" s="100"/>
      <c r="FW242" s="100"/>
      <c r="FX242" s="100"/>
      <c r="FY242" s="100"/>
      <c r="FZ242" s="100"/>
      <c r="GA242" s="100"/>
      <c r="GB242" s="100"/>
      <c r="GC242" s="100"/>
      <c r="GD242" s="100"/>
      <c r="GE242" s="100"/>
      <c r="GF242" s="100"/>
      <c r="GG242" s="100"/>
      <c r="GH242" s="100"/>
      <c r="GI242" s="100"/>
      <c r="GJ242" s="100"/>
      <c r="GK242" s="100"/>
      <c r="GL242" s="100"/>
      <c r="GM242" s="100"/>
      <c r="GN242" s="100"/>
      <c r="GO242" s="100"/>
      <c r="GP242" s="100"/>
      <c r="GQ242" s="100"/>
      <c r="GR242" s="100"/>
      <c r="GS242" s="100"/>
      <c r="GT242" s="100"/>
      <c r="GU242" s="100"/>
      <c r="GV242" s="100"/>
      <c r="GW242" s="100"/>
      <c r="GX242" s="100"/>
      <c r="GY242" s="100"/>
      <c r="GZ242" s="100"/>
      <c r="HA242" s="100"/>
      <c r="HB242" s="100"/>
      <c r="HC242" s="100"/>
      <c r="HD242" s="100"/>
      <c r="HE242" s="100"/>
      <c r="HF242" s="100"/>
      <c r="HG242" s="100"/>
      <c r="HH242" s="100"/>
      <c r="HI242" s="100"/>
      <c r="HJ242" s="100"/>
      <c r="HK242" s="100"/>
      <c r="HL242" s="100"/>
      <c r="HM242" s="100"/>
      <c r="HN242" s="100"/>
      <c r="HO242" s="100"/>
      <c r="HP242" s="100"/>
      <c r="HQ242" s="100"/>
      <c r="HR242" s="100"/>
      <c r="HS242" s="100"/>
      <c r="HT242" s="100"/>
      <c r="HU242" s="100"/>
      <c r="HV242" s="100"/>
      <c r="HW242" s="100"/>
      <c r="HX242" s="100"/>
      <c r="HY242" s="100"/>
      <c r="HZ242" s="100"/>
    </row>
    <row r="243" customFormat="false" ht="12.8" hidden="false" customHeight="false" outlineLevel="0" collapsed="false">
      <c r="A243" s="100"/>
      <c r="B243" s="100"/>
      <c r="C243" s="100"/>
      <c r="D243" s="100"/>
      <c r="E243" s="100"/>
      <c r="F243" s="100"/>
      <c r="G243" s="163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63"/>
      <c r="AJ243" s="100"/>
      <c r="AK243" s="100"/>
      <c r="AL243" s="163"/>
      <c r="AM243" s="100"/>
      <c r="AN243" s="100"/>
      <c r="AO243" s="100"/>
      <c r="AP243" s="100"/>
      <c r="AQ243" s="100"/>
      <c r="AR243" s="100"/>
      <c r="AS243" s="100"/>
      <c r="AT243" s="100"/>
      <c r="AU243" s="100"/>
      <c r="AV243" s="100"/>
      <c r="AW243" s="100"/>
      <c r="AX243" s="100"/>
      <c r="AY243" s="100"/>
      <c r="AZ243" s="100"/>
      <c r="BA243" s="100"/>
      <c r="BB243" s="100"/>
      <c r="BC243" s="100"/>
      <c r="BD243" s="100"/>
      <c r="BE243" s="100"/>
      <c r="BF243" s="100"/>
      <c r="BG243" s="100"/>
      <c r="BH243" s="100"/>
      <c r="BI243" s="100"/>
      <c r="BJ243" s="100"/>
      <c r="BK243" s="100"/>
      <c r="BL243" s="100"/>
      <c r="BM243" s="100"/>
      <c r="BN243" s="100"/>
      <c r="BO243" s="100"/>
      <c r="BP243" s="100"/>
      <c r="BQ243" s="100"/>
      <c r="BR243" s="100"/>
      <c r="BS243" s="100"/>
      <c r="BT243" s="100"/>
      <c r="BU243" s="100"/>
      <c r="BV243" s="100"/>
      <c r="BW243" s="100"/>
      <c r="BX243" s="100"/>
      <c r="BY243" s="100"/>
      <c r="BZ243" s="100"/>
      <c r="CA243" s="100"/>
      <c r="CB243" s="100"/>
      <c r="CC243" s="100"/>
      <c r="CD243" s="100"/>
      <c r="CE243" s="100"/>
      <c r="CF243" s="100"/>
      <c r="CG243" s="100"/>
      <c r="CH243" s="100"/>
      <c r="CI243" s="100"/>
      <c r="CJ243" s="120"/>
      <c r="CK243" s="120"/>
      <c r="CL243" s="120"/>
      <c r="CM243" s="120"/>
      <c r="CN243" s="120"/>
      <c r="CO243" s="120"/>
      <c r="CP243" s="120"/>
      <c r="CQ243" s="100"/>
      <c r="CR243" s="100"/>
      <c r="CS243" s="100"/>
      <c r="CT243" s="100"/>
      <c r="CU243" s="100"/>
      <c r="CV243" s="100"/>
      <c r="CW243" s="100"/>
      <c r="CX243" s="100"/>
      <c r="CY243" s="100"/>
      <c r="CZ243" s="100"/>
      <c r="DA243" s="100"/>
      <c r="DB243" s="100"/>
      <c r="DC243" s="100"/>
      <c r="DD243" s="100"/>
      <c r="DE243" s="100"/>
      <c r="DF243" s="100"/>
      <c r="DG243" s="100"/>
      <c r="DH243" s="100"/>
      <c r="DI243" s="100"/>
      <c r="DJ243" s="100"/>
      <c r="DK243" s="100"/>
      <c r="DL243" s="100"/>
      <c r="DM243" s="100"/>
      <c r="DN243" s="100"/>
      <c r="DO243" s="100"/>
      <c r="DP243" s="100"/>
      <c r="DQ243" s="100"/>
      <c r="DR243" s="100"/>
      <c r="DS243" s="100"/>
      <c r="DT243" s="100"/>
      <c r="DU243" s="100"/>
      <c r="DV243" s="100"/>
      <c r="DW243" s="100"/>
      <c r="DX243" s="100"/>
      <c r="DY243" s="100"/>
      <c r="DZ243" s="100"/>
      <c r="EA243" s="100"/>
      <c r="EB243" s="100"/>
      <c r="EC243" s="100"/>
      <c r="ED243" s="100"/>
      <c r="EE243" s="100"/>
      <c r="EF243" s="100"/>
      <c r="EG243" s="100"/>
      <c r="EH243" s="100"/>
      <c r="EI243" s="100"/>
      <c r="EJ243" s="100"/>
      <c r="EK243" s="100"/>
      <c r="EL243" s="100"/>
      <c r="EM243" s="100"/>
      <c r="EN243" s="100"/>
      <c r="EO243" s="100"/>
      <c r="EP243" s="100"/>
      <c r="EQ243" s="100"/>
      <c r="ER243" s="100"/>
      <c r="ES243" s="100"/>
      <c r="ET243" s="100"/>
      <c r="EU243" s="100"/>
      <c r="EV243" s="100"/>
      <c r="EW243" s="100"/>
      <c r="EX243" s="100"/>
      <c r="EY243" s="100"/>
      <c r="EZ243" s="100"/>
      <c r="FA243" s="100"/>
      <c r="FB243" s="100"/>
      <c r="FC243" s="100"/>
      <c r="FD243" s="100"/>
      <c r="FE243" s="100"/>
      <c r="FF243" s="100"/>
      <c r="FG243" s="100"/>
      <c r="FH243" s="100"/>
      <c r="FI243" s="100"/>
      <c r="FJ243" s="100"/>
      <c r="FK243" s="100"/>
      <c r="FL243" s="100"/>
      <c r="FM243" s="100"/>
      <c r="FN243" s="100"/>
      <c r="FO243" s="100"/>
      <c r="FP243" s="100"/>
      <c r="FQ243" s="100"/>
      <c r="FR243" s="100"/>
      <c r="FS243" s="100"/>
      <c r="FT243" s="100"/>
      <c r="FU243" s="100"/>
      <c r="FV243" s="100"/>
      <c r="FW243" s="100"/>
      <c r="FX243" s="100"/>
      <c r="FY243" s="100"/>
      <c r="FZ243" s="100"/>
      <c r="GA243" s="100"/>
      <c r="GB243" s="100"/>
      <c r="GC243" s="100"/>
      <c r="GD243" s="100"/>
      <c r="GE243" s="100"/>
      <c r="GF243" s="100"/>
      <c r="GG243" s="100"/>
      <c r="GH243" s="100"/>
      <c r="GI243" s="100"/>
      <c r="GJ243" s="100"/>
      <c r="GK243" s="100"/>
      <c r="GL243" s="100"/>
      <c r="GM243" s="100"/>
      <c r="GN243" s="100"/>
      <c r="GO243" s="100"/>
      <c r="GP243" s="100"/>
      <c r="GQ243" s="100"/>
      <c r="GR243" s="100"/>
      <c r="GS243" s="100"/>
      <c r="GT243" s="100"/>
      <c r="GU243" s="100"/>
      <c r="GV243" s="100"/>
      <c r="GW243" s="100"/>
      <c r="GX243" s="100"/>
      <c r="GY243" s="100"/>
      <c r="GZ243" s="100"/>
      <c r="HA243" s="100"/>
      <c r="HB243" s="100"/>
      <c r="HC243" s="100"/>
      <c r="HD243" s="100"/>
      <c r="HE243" s="100"/>
      <c r="HF243" s="100"/>
      <c r="HG243" s="100"/>
      <c r="HH243" s="100"/>
      <c r="HI243" s="100"/>
      <c r="HJ243" s="100"/>
      <c r="HK243" s="100"/>
      <c r="HL243" s="100"/>
      <c r="HM243" s="100"/>
      <c r="HN243" s="100"/>
      <c r="HO243" s="100"/>
      <c r="HP243" s="100"/>
      <c r="HQ243" s="100"/>
      <c r="HR243" s="100"/>
      <c r="HS243" s="100"/>
      <c r="HT243" s="100"/>
      <c r="HU243" s="100"/>
      <c r="HV243" s="100"/>
      <c r="HW243" s="100"/>
      <c r="HX243" s="100"/>
      <c r="HY243" s="100"/>
      <c r="HZ243" s="100"/>
    </row>
    <row r="244" customFormat="false" ht="12.8" hidden="false" customHeight="false" outlineLevel="0" collapsed="false">
      <c r="A244" s="100"/>
      <c r="B244" s="100"/>
      <c r="C244" s="100"/>
      <c r="D244" s="100"/>
      <c r="E244" s="100"/>
      <c r="F244" s="100"/>
      <c r="G244" s="163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63"/>
      <c r="AJ244" s="100"/>
      <c r="AK244" s="100"/>
      <c r="AL244" s="163"/>
      <c r="AM244" s="100"/>
      <c r="AN244" s="100"/>
      <c r="AO244" s="100"/>
      <c r="AP244" s="100"/>
      <c r="AQ244" s="100"/>
      <c r="AR244" s="100"/>
      <c r="AS244" s="100"/>
      <c r="AT244" s="100"/>
      <c r="AU244" s="100"/>
      <c r="AV244" s="100"/>
      <c r="AW244" s="100"/>
      <c r="AX244" s="100"/>
      <c r="AY244" s="100"/>
      <c r="AZ244" s="100"/>
      <c r="BA244" s="100"/>
      <c r="BB244" s="100"/>
      <c r="BC244" s="100"/>
      <c r="BD244" s="100"/>
      <c r="BE244" s="100"/>
      <c r="BF244" s="100"/>
      <c r="BG244" s="100"/>
      <c r="BH244" s="100"/>
      <c r="BI244" s="100"/>
      <c r="BJ244" s="100"/>
      <c r="BK244" s="100"/>
      <c r="BL244" s="100"/>
      <c r="BM244" s="100"/>
      <c r="BN244" s="100"/>
      <c r="BO244" s="100"/>
      <c r="BP244" s="100"/>
      <c r="BQ244" s="100"/>
      <c r="BR244" s="100"/>
      <c r="BS244" s="100"/>
      <c r="BT244" s="100"/>
      <c r="BU244" s="100"/>
      <c r="BV244" s="100"/>
      <c r="BW244" s="100"/>
      <c r="BX244" s="100"/>
      <c r="BY244" s="100"/>
      <c r="BZ244" s="100"/>
      <c r="CA244" s="100"/>
      <c r="CB244" s="100"/>
      <c r="CC244" s="100"/>
      <c r="CD244" s="100"/>
      <c r="CE244" s="100"/>
      <c r="CF244" s="100"/>
      <c r="CG244" s="100"/>
      <c r="CH244" s="100"/>
      <c r="CI244" s="100"/>
      <c r="CJ244" s="120"/>
      <c r="CK244" s="120"/>
      <c r="CL244" s="120"/>
      <c r="CM244" s="120"/>
      <c r="CN244" s="120"/>
      <c r="CO244" s="120"/>
      <c r="CP244" s="120"/>
      <c r="CQ244" s="100"/>
      <c r="CR244" s="100"/>
      <c r="CS244" s="100"/>
      <c r="CT244" s="100"/>
      <c r="CU244" s="100"/>
      <c r="CV244" s="100"/>
      <c r="CW244" s="100"/>
      <c r="CX244" s="100"/>
      <c r="CY244" s="100"/>
      <c r="CZ244" s="100"/>
      <c r="DA244" s="100"/>
      <c r="DB244" s="100"/>
      <c r="DC244" s="100"/>
      <c r="DD244" s="100"/>
      <c r="DE244" s="100"/>
      <c r="DF244" s="100"/>
      <c r="DG244" s="100"/>
      <c r="DH244" s="100"/>
      <c r="DI244" s="100"/>
      <c r="DJ244" s="100"/>
      <c r="DK244" s="100"/>
      <c r="DL244" s="100"/>
      <c r="DM244" s="100"/>
      <c r="DN244" s="100"/>
      <c r="DO244" s="100"/>
      <c r="DP244" s="100"/>
      <c r="DQ244" s="100"/>
      <c r="DR244" s="100"/>
      <c r="DS244" s="100"/>
      <c r="DT244" s="100"/>
      <c r="DU244" s="100"/>
      <c r="DV244" s="100"/>
      <c r="DW244" s="100"/>
      <c r="DX244" s="100"/>
      <c r="DY244" s="100"/>
      <c r="DZ244" s="100"/>
      <c r="EA244" s="100"/>
      <c r="EB244" s="100"/>
      <c r="EC244" s="100"/>
      <c r="ED244" s="100"/>
      <c r="EE244" s="100"/>
      <c r="EF244" s="100"/>
      <c r="EG244" s="100"/>
      <c r="EH244" s="100"/>
      <c r="EI244" s="100"/>
      <c r="EJ244" s="100"/>
      <c r="EK244" s="100"/>
      <c r="EL244" s="100"/>
      <c r="EM244" s="100"/>
      <c r="EN244" s="100"/>
      <c r="EO244" s="100"/>
      <c r="EP244" s="100"/>
      <c r="EQ244" s="100"/>
      <c r="ER244" s="100"/>
      <c r="ES244" s="100"/>
      <c r="ET244" s="100"/>
      <c r="EU244" s="100"/>
      <c r="EV244" s="100"/>
      <c r="EW244" s="100"/>
      <c r="EX244" s="100"/>
      <c r="EY244" s="100"/>
      <c r="EZ244" s="100"/>
      <c r="FA244" s="100"/>
      <c r="FB244" s="100"/>
      <c r="FC244" s="100"/>
      <c r="FD244" s="100"/>
      <c r="FE244" s="100"/>
      <c r="FF244" s="100"/>
      <c r="FG244" s="100"/>
      <c r="FH244" s="100"/>
      <c r="FI244" s="100"/>
      <c r="FJ244" s="100"/>
      <c r="FK244" s="100"/>
      <c r="FL244" s="100"/>
      <c r="FM244" s="100"/>
      <c r="FN244" s="100"/>
      <c r="FO244" s="100"/>
      <c r="FP244" s="100"/>
      <c r="FQ244" s="100"/>
      <c r="FR244" s="100"/>
      <c r="FS244" s="100"/>
      <c r="FT244" s="100"/>
      <c r="FU244" s="100"/>
      <c r="FV244" s="100"/>
      <c r="FW244" s="100"/>
      <c r="FX244" s="100"/>
      <c r="FY244" s="100"/>
      <c r="FZ244" s="100"/>
      <c r="GA244" s="100"/>
      <c r="GB244" s="100"/>
      <c r="GC244" s="100"/>
      <c r="GD244" s="100"/>
      <c r="GE244" s="100"/>
      <c r="GF244" s="100"/>
      <c r="GG244" s="100"/>
      <c r="GH244" s="100"/>
      <c r="GI244" s="100"/>
      <c r="GJ244" s="100"/>
      <c r="GK244" s="100"/>
      <c r="GL244" s="100"/>
      <c r="GM244" s="100"/>
      <c r="GN244" s="100"/>
      <c r="GO244" s="100"/>
      <c r="GP244" s="100"/>
      <c r="GQ244" s="100"/>
      <c r="GR244" s="100"/>
      <c r="GS244" s="100"/>
      <c r="GT244" s="100"/>
      <c r="GU244" s="100"/>
      <c r="GV244" s="100"/>
      <c r="GW244" s="100"/>
      <c r="GX244" s="100"/>
      <c r="GY244" s="100"/>
      <c r="GZ244" s="100"/>
      <c r="HA244" s="100"/>
      <c r="HB244" s="100"/>
      <c r="HC244" s="100"/>
      <c r="HD244" s="100"/>
      <c r="HE244" s="100"/>
      <c r="HF244" s="100"/>
      <c r="HG244" s="100"/>
      <c r="HH244" s="100"/>
      <c r="HI244" s="100"/>
      <c r="HJ244" s="100"/>
      <c r="HK244" s="100"/>
      <c r="HL244" s="100"/>
      <c r="HM244" s="100"/>
      <c r="HN244" s="100"/>
      <c r="HO244" s="100"/>
      <c r="HP244" s="100"/>
      <c r="HQ244" s="100"/>
      <c r="HR244" s="100"/>
      <c r="HS244" s="100"/>
      <c r="HT244" s="100"/>
      <c r="HU244" s="100"/>
      <c r="HV244" s="100"/>
      <c r="HW244" s="100"/>
      <c r="HX244" s="100"/>
      <c r="HY244" s="100"/>
      <c r="HZ244" s="100"/>
    </row>
    <row r="245" customFormat="false" ht="12.8" hidden="false" customHeight="false" outlineLevel="0" collapsed="false">
      <c r="A245" s="100"/>
      <c r="B245" s="100"/>
      <c r="C245" s="100"/>
      <c r="D245" s="100"/>
      <c r="E245" s="100"/>
      <c r="F245" s="100"/>
      <c r="G245" s="163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63"/>
      <c r="AJ245" s="100"/>
      <c r="AK245" s="100"/>
      <c r="AL245" s="163"/>
      <c r="AM245" s="100"/>
      <c r="AN245" s="100"/>
      <c r="AO245" s="100"/>
      <c r="AP245" s="100"/>
      <c r="AQ245" s="100"/>
      <c r="AR245" s="100"/>
      <c r="AS245" s="100"/>
      <c r="AT245" s="100"/>
      <c r="AU245" s="100"/>
      <c r="AV245" s="100"/>
      <c r="AW245" s="100"/>
      <c r="AX245" s="100"/>
      <c r="AY245" s="100"/>
      <c r="AZ245" s="100"/>
      <c r="BA245" s="100"/>
      <c r="BB245" s="100"/>
      <c r="BC245" s="100"/>
      <c r="BD245" s="100"/>
      <c r="BE245" s="100"/>
      <c r="BF245" s="100"/>
      <c r="BG245" s="100"/>
      <c r="BH245" s="100"/>
      <c r="BI245" s="100"/>
      <c r="BJ245" s="100"/>
      <c r="BK245" s="100"/>
      <c r="BL245" s="100"/>
      <c r="BM245" s="100"/>
      <c r="BN245" s="100"/>
      <c r="BO245" s="100"/>
      <c r="BP245" s="100"/>
      <c r="BQ245" s="100"/>
      <c r="BR245" s="100"/>
      <c r="BS245" s="100"/>
      <c r="BT245" s="100"/>
      <c r="BU245" s="100"/>
      <c r="BV245" s="100"/>
      <c r="BW245" s="100"/>
      <c r="BX245" s="100"/>
      <c r="BY245" s="100"/>
      <c r="BZ245" s="100"/>
      <c r="CA245" s="100"/>
      <c r="CB245" s="100"/>
      <c r="CC245" s="100"/>
      <c r="CD245" s="100"/>
      <c r="CE245" s="100"/>
      <c r="CF245" s="100"/>
      <c r="CG245" s="100"/>
      <c r="CH245" s="100"/>
      <c r="CI245" s="100"/>
      <c r="CJ245" s="120"/>
      <c r="CK245" s="120"/>
      <c r="CL245" s="120"/>
      <c r="CM245" s="120"/>
      <c r="CN245" s="120"/>
      <c r="CO245" s="120"/>
      <c r="CP245" s="120"/>
      <c r="CQ245" s="100"/>
      <c r="CR245" s="100"/>
      <c r="CS245" s="100"/>
      <c r="CT245" s="100"/>
      <c r="CU245" s="100"/>
      <c r="CV245" s="100"/>
      <c r="CW245" s="100"/>
      <c r="CX245" s="100"/>
      <c r="CY245" s="100"/>
      <c r="CZ245" s="100"/>
      <c r="DA245" s="100"/>
      <c r="DB245" s="100"/>
      <c r="DC245" s="100"/>
      <c r="DD245" s="100"/>
      <c r="DE245" s="100"/>
      <c r="DF245" s="100"/>
      <c r="DG245" s="100"/>
      <c r="DH245" s="100"/>
      <c r="DI245" s="100"/>
      <c r="DJ245" s="100"/>
      <c r="DK245" s="100"/>
      <c r="DL245" s="100"/>
      <c r="DM245" s="100"/>
      <c r="DN245" s="100"/>
      <c r="DO245" s="100"/>
      <c r="DP245" s="100"/>
      <c r="DQ245" s="100"/>
      <c r="DR245" s="100"/>
      <c r="DS245" s="100"/>
      <c r="DT245" s="100"/>
      <c r="DU245" s="100"/>
      <c r="DV245" s="100"/>
      <c r="DW245" s="100"/>
      <c r="DX245" s="100"/>
      <c r="DY245" s="100"/>
      <c r="DZ245" s="100"/>
      <c r="EA245" s="100"/>
      <c r="EB245" s="100"/>
      <c r="EC245" s="100"/>
      <c r="ED245" s="100"/>
      <c r="EE245" s="100"/>
      <c r="EF245" s="100"/>
      <c r="EG245" s="100"/>
      <c r="EH245" s="100"/>
      <c r="EI245" s="100"/>
      <c r="EJ245" s="100"/>
      <c r="EK245" s="100"/>
      <c r="EL245" s="100"/>
      <c r="EM245" s="100"/>
      <c r="EN245" s="100"/>
      <c r="EO245" s="100"/>
      <c r="EP245" s="100"/>
      <c r="EQ245" s="100"/>
      <c r="ER245" s="100"/>
      <c r="ES245" s="100"/>
      <c r="ET245" s="100"/>
      <c r="EU245" s="100"/>
      <c r="EV245" s="100"/>
      <c r="EW245" s="100"/>
      <c r="EX245" s="100"/>
      <c r="EY245" s="100"/>
      <c r="EZ245" s="100"/>
      <c r="FA245" s="100"/>
      <c r="FB245" s="100"/>
      <c r="FC245" s="100"/>
      <c r="FD245" s="100"/>
      <c r="FE245" s="100"/>
      <c r="FF245" s="100"/>
      <c r="FG245" s="100"/>
      <c r="FH245" s="100"/>
      <c r="FI245" s="100"/>
      <c r="FJ245" s="100"/>
      <c r="FK245" s="100"/>
      <c r="FL245" s="100"/>
      <c r="FM245" s="100"/>
      <c r="FN245" s="100"/>
      <c r="FO245" s="100"/>
      <c r="FP245" s="100"/>
      <c r="FQ245" s="100"/>
      <c r="FR245" s="100"/>
      <c r="FS245" s="100"/>
      <c r="FT245" s="100"/>
      <c r="FU245" s="100"/>
      <c r="FV245" s="100"/>
      <c r="FW245" s="100"/>
      <c r="FX245" s="100"/>
      <c r="FY245" s="100"/>
      <c r="FZ245" s="100"/>
      <c r="GA245" s="100"/>
      <c r="GB245" s="100"/>
      <c r="GC245" s="100"/>
      <c r="GD245" s="100"/>
      <c r="GE245" s="100"/>
      <c r="GF245" s="100"/>
      <c r="GG245" s="100"/>
      <c r="GH245" s="100"/>
      <c r="GI245" s="100"/>
      <c r="GJ245" s="100"/>
      <c r="GK245" s="100"/>
      <c r="GL245" s="100"/>
      <c r="GM245" s="100"/>
      <c r="GN245" s="100"/>
      <c r="GO245" s="100"/>
      <c r="GP245" s="100"/>
      <c r="GQ245" s="100"/>
      <c r="GR245" s="100"/>
      <c r="GS245" s="100"/>
      <c r="GT245" s="100"/>
      <c r="GU245" s="100"/>
      <c r="GV245" s="100"/>
      <c r="GW245" s="100"/>
      <c r="GX245" s="100"/>
      <c r="GY245" s="100"/>
      <c r="GZ245" s="100"/>
      <c r="HA245" s="100"/>
      <c r="HB245" s="100"/>
      <c r="HC245" s="100"/>
      <c r="HD245" s="100"/>
      <c r="HE245" s="100"/>
      <c r="HF245" s="100"/>
      <c r="HG245" s="100"/>
      <c r="HH245" s="100"/>
      <c r="HI245" s="100"/>
      <c r="HJ245" s="100"/>
      <c r="HK245" s="100"/>
      <c r="HL245" s="100"/>
      <c r="HM245" s="100"/>
      <c r="HN245" s="100"/>
      <c r="HO245" s="100"/>
      <c r="HP245" s="100"/>
      <c r="HQ245" s="100"/>
      <c r="HR245" s="100"/>
      <c r="HS245" s="100"/>
      <c r="HT245" s="100"/>
      <c r="HU245" s="100"/>
      <c r="HV245" s="100"/>
      <c r="HW245" s="100"/>
      <c r="HX245" s="100"/>
      <c r="HY245" s="100"/>
      <c r="HZ245" s="100"/>
    </row>
    <row r="246" customFormat="false" ht="12.8" hidden="false" customHeight="false" outlineLevel="0" collapsed="false">
      <c r="A246" s="100"/>
      <c r="B246" s="100"/>
      <c r="C246" s="100"/>
      <c r="D246" s="100"/>
      <c r="E246" s="100"/>
      <c r="F246" s="100"/>
      <c r="G246" s="163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63"/>
      <c r="AJ246" s="100"/>
      <c r="AK246" s="100"/>
      <c r="AL246" s="163"/>
      <c r="AM246" s="100"/>
      <c r="AN246" s="100"/>
      <c r="AO246" s="100"/>
      <c r="AP246" s="100"/>
      <c r="AQ246" s="100"/>
      <c r="AR246" s="100"/>
      <c r="AS246" s="100"/>
      <c r="AT246" s="100"/>
      <c r="AU246" s="100"/>
      <c r="AV246" s="100"/>
      <c r="AW246" s="100"/>
      <c r="AX246" s="100"/>
      <c r="AY246" s="100"/>
      <c r="AZ246" s="100"/>
      <c r="BA246" s="100"/>
      <c r="BB246" s="100"/>
      <c r="BC246" s="100"/>
      <c r="BD246" s="100"/>
      <c r="BE246" s="100"/>
      <c r="BF246" s="100"/>
      <c r="BG246" s="100"/>
      <c r="BH246" s="100"/>
      <c r="BI246" s="100"/>
      <c r="BJ246" s="100"/>
      <c r="BK246" s="100"/>
      <c r="BL246" s="100"/>
      <c r="BM246" s="100"/>
      <c r="BN246" s="100"/>
      <c r="BO246" s="100"/>
      <c r="BP246" s="100"/>
      <c r="BQ246" s="100"/>
      <c r="BR246" s="100"/>
      <c r="BS246" s="100"/>
      <c r="BT246" s="100"/>
      <c r="BU246" s="100"/>
      <c r="BV246" s="100"/>
      <c r="BW246" s="100"/>
      <c r="BX246" s="100"/>
      <c r="BY246" s="100"/>
      <c r="BZ246" s="100"/>
      <c r="CA246" s="100"/>
      <c r="CB246" s="100"/>
      <c r="CC246" s="100"/>
      <c r="CD246" s="100"/>
      <c r="CE246" s="100"/>
      <c r="CF246" s="100"/>
      <c r="CG246" s="100"/>
      <c r="CH246" s="100"/>
      <c r="CI246" s="100"/>
      <c r="CJ246" s="120"/>
      <c r="CK246" s="120"/>
      <c r="CL246" s="120"/>
      <c r="CM246" s="120"/>
      <c r="CN246" s="120"/>
      <c r="CO246" s="120"/>
      <c r="CP246" s="120"/>
      <c r="CQ246" s="100"/>
      <c r="CR246" s="100"/>
      <c r="CS246" s="100"/>
      <c r="CT246" s="100"/>
      <c r="CU246" s="100"/>
      <c r="CV246" s="100"/>
      <c r="CW246" s="100"/>
      <c r="CX246" s="100"/>
      <c r="CY246" s="100"/>
      <c r="CZ246" s="100"/>
      <c r="DA246" s="100"/>
      <c r="DB246" s="100"/>
      <c r="DC246" s="100"/>
      <c r="DD246" s="100"/>
      <c r="DE246" s="100"/>
      <c r="DF246" s="100"/>
      <c r="DG246" s="100"/>
      <c r="DH246" s="100"/>
      <c r="DI246" s="100"/>
      <c r="DJ246" s="100"/>
      <c r="DK246" s="100"/>
      <c r="DL246" s="100"/>
      <c r="DM246" s="100"/>
      <c r="DN246" s="100"/>
      <c r="DO246" s="100"/>
      <c r="DP246" s="100"/>
      <c r="DQ246" s="100"/>
      <c r="DR246" s="100"/>
      <c r="DS246" s="100"/>
      <c r="DT246" s="100"/>
      <c r="DU246" s="100"/>
      <c r="DV246" s="100"/>
      <c r="DW246" s="100"/>
      <c r="DX246" s="100"/>
      <c r="DY246" s="100"/>
      <c r="DZ246" s="100"/>
      <c r="EA246" s="100"/>
      <c r="EB246" s="100"/>
      <c r="EC246" s="100"/>
      <c r="ED246" s="100"/>
      <c r="EE246" s="100"/>
      <c r="EF246" s="100"/>
      <c r="EG246" s="100"/>
      <c r="EH246" s="100"/>
      <c r="EI246" s="100"/>
      <c r="EJ246" s="100"/>
      <c r="EK246" s="100"/>
      <c r="EL246" s="100"/>
      <c r="EM246" s="100"/>
      <c r="EN246" s="100"/>
      <c r="EO246" s="100"/>
      <c r="EP246" s="100"/>
      <c r="EQ246" s="100"/>
      <c r="ER246" s="100"/>
      <c r="ES246" s="100"/>
      <c r="ET246" s="100"/>
      <c r="EU246" s="100"/>
      <c r="EV246" s="100"/>
      <c r="EW246" s="100"/>
      <c r="EX246" s="100"/>
      <c r="EY246" s="100"/>
      <c r="EZ246" s="100"/>
      <c r="FA246" s="100"/>
      <c r="FB246" s="100"/>
      <c r="FC246" s="100"/>
      <c r="FD246" s="100"/>
      <c r="FE246" s="100"/>
      <c r="FF246" s="100"/>
      <c r="FG246" s="100"/>
      <c r="FH246" s="100"/>
      <c r="FI246" s="100"/>
      <c r="FJ246" s="100"/>
      <c r="FK246" s="100"/>
      <c r="FL246" s="100"/>
      <c r="FM246" s="100"/>
      <c r="FN246" s="100"/>
      <c r="FO246" s="100"/>
      <c r="FP246" s="100"/>
      <c r="FQ246" s="100"/>
      <c r="FR246" s="100"/>
      <c r="FS246" s="100"/>
      <c r="FT246" s="100"/>
      <c r="FU246" s="100"/>
      <c r="FV246" s="100"/>
      <c r="FW246" s="100"/>
      <c r="FX246" s="100"/>
      <c r="FY246" s="100"/>
      <c r="FZ246" s="100"/>
      <c r="GA246" s="100"/>
      <c r="GB246" s="100"/>
      <c r="GC246" s="100"/>
      <c r="GD246" s="100"/>
      <c r="GE246" s="100"/>
      <c r="GF246" s="100"/>
      <c r="GG246" s="100"/>
      <c r="GH246" s="100"/>
      <c r="GI246" s="100"/>
      <c r="GJ246" s="100"/>
      <c r="GK246" s="100"/>
      <c r="GL246" s="100"/>
      <c r="GM246" s="100"/>
      <c r="GN246" s="100"/>
      <c r="GO246" s="100"/>
      <c r="GP246" s="100"/>
      <c r="GQ246" s="100"/>
      <c r="GR246" s="100"/>
      <c r="GS246" s="100"/>
      <c r="GT246" s="100"/>
      <c r="GU246" s="100"/>
      <c r="GV246" s="100"/>
      <c r="GW246" s="100"/>
      <c r="GX246" s="100"/>
      <c r="GY246" s="100"/>
      <c r="GZ246" s="100"/>
      <c r="HA246" s="100"/>
      <c r="HB246" s="100"/>
      <c r="HC246" s="100"/>
      <c r="HD246" s="100"/>
      <c r="HE246" s="100"/>
      <c r="HF246" s="100"/>
      <c r="HG246" s="100"/>
      <c r="HH246" s="100"/>
      <c r="HI246" s="100"/>
      <c r="HJ246" s="100"/>
      <c r="HK246" s="100"/>
      <c r="HL246" s="100"/>
      <c r="HM246" s="100"/>
      <c r="HN246" s="100"/>
      <c r="HO246" s="100"/>
      <c r="HP246" s="100"/>
      <c r="HQ246" s="100"/>
      <c r="HR246" s="100"/>
      <c r="HS246" s="100"/>
      <c r="HT246" s="100"/>
      <c r="HU246" s="100"/>
      <c r="HV246" s="100"/>
      <c r="HW246" s="100"/>
      <c r="HX246" s="100"/>
      <c r="HY246" s="100"/>
      <c r="HZ246" s="100"/>
    </row>
    <row r="247" customFormat="false" ht="12.8" hidden="false" customHeight="false" outlineLevel="0" collapsed="false">
      <c r="A247" s="100"/>
      <c r="B247" s="100"/>
      <c r="C247" s="100"/>
      <c r="D247" s="100"/>
      <c r="E247" s="100"/>
      <c r="F247" s="100"/>
      <c r="G247" s="163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63"/>
      <c r="AJ247" s="100"/>
      <c r="AK247" s="100"/>
      <c r="AL247" s="163"/>
      <c r="AM247" s="100"/>
      <c r="AN247" s="100"/>
      <c r="AO247" s="100"/>
      <c r="AP247" s="100"/>
      <c r="AQ247" s="100"/>
      <c r="AR247" s="100"/>
      <c r="AS247" s="100"/>
      <c r="AT247" s="100"/>
      <c r="AU247" s="100"/>
      <c r="AV247" s="100"/>
      <c r="AW247" s="100"/>
      <c r="AX247" s="100"/>
      <c r="AY247" s="100"/>
      <c r="AZ247" s="100"/>
      <c r="BA247" s="100"/>
      <c r="BB247" s="100"/>
      <c r="BC247" s="100"/>
      <c r="BD247" s="100"/>
      <c r="BE247" s="100"/>
      <c r="BF247" s="100"/>
      <c r="BG247" s="100"/>
      <c r="BH247" s="100"/>
      <c r="BI247" s="100"/>
      <c r="BJ247" s="100"/>
      <c r="BK247" s="100"/>
      <c r="BL247" s="100"/>
      <c r="BM247" s="100"/>
      <c r="BN247" s="100"/>
      <c r="BO247" s="100"/>
      <c r="BP247" s="100"/>
      <c r="BQ247" s="100"/>
      <c r="BR247" s="100"/>
      <c r="BS247" s="100"/>
      <c r="BT247" s="100"/>
      <c r="BU247" s="100"/>
      <c r="BV247" s="100"/>
      <c r="BW247" s="100"/>
      <c r="BX247" s="100"/>
      <c r="BY247" s="100"/>
      <c r="BZ247" s="100"/>
      <c r="CA247" s="100"/>
      <c r="CB247" s="100"/>
      <c r="CC247" s="100"/>
      <c r="CD247" s="100"/>
      <c r="CE247" s="100"/>
      <c r="CF247" s="100"/>
      <c r="CG247" s="100"/>
      <c r="CH247" s="100"/>
      <c r="CI247" s="100"/>
      <c r="CJ247" s="120"/>
      <c r="CK247" s="120"/>
      <c r="CL247" s="120"/>
      <c r="CM247" s="120"/>
      <c r="CN247" s="120"/>
      <c r="CO247" s="120"/>
      <c r="CP247" s="120"/>
      <c r="CQ247" s="100"/>
      <c r="CR247" s="100"/>
      <c r="CS247" s="100"/>
      <c r="CT247" s="100"/>
      <c r="CU247" s="100"/>
      <c r="CV247" s="100"/>
      <c r="CW247" s="100"/>
      <c r="CX247" s="100"/>
      <c r="CY247" s="100"/>
      <c r="CZ247" s="100"/>
      <c r="DA247" s="100"/>
      <c r="DB247" s="100"/>
      <c r="DC247" s="100"/>
      <c r="DD247" s="100"/>
      <c r="DE247" s="100"/>
      <c r="DF247" s="100"/>
      <c r="DG247" s="100"/>
      <c r="DH247" s="100"/>
      <c r="DI247" s="100"/>
      <c r="DJ247" s="100"/>
      <c r="DK247" s="100"/>
      <c r="DL247" s="100"/>
      <c r="DM247" s="100"/>
      <c r="DN247" s="100"/>
      <c r="DO247" s="100"/>
      <c r="DP247" s="100"/>
      <c r="DQ247" s="100"/>
      <c r="DR247" s="100"/>
      <c r="DS247" s="100"/>
      <c r="DT247" s="100"/>
      <c r="DU247" s="100"/>
      <c r="DV247" s="100"/>
      <c r="DW247" s="100"/>
      <c r="DX247" s="100"/>
      <c r="DY247" s="100"/>
      <c r="DZ247" s="100"/>
      <c r="EA247" s="100"/>
      <c r="EB247" s="100"/>
      <c r="EC247" s="100"/>
      <c r="ED247" s="100"/>
      <c r="EE247" s="100"/>
      <c r="EF247" s="100"/>
      <c r="EG247" s="100"/>
      <c r="EH247" s="100"/>
      <c r="EI247" s="100"/>
      <c r="EJ247" s="100"/>
      <c r="EK247" s="100"/>
      <c r="EL247" s="100"/>
      <c r="EM247" s="100"/>
      <c r="EN247" s="100"/>
      <c r="EO247" s="100"/>
      <c r="EP247" s="100"/>
      <c r="EQ247" s="100"/>
      <c r="ER247" s="100"/>
      <c r="ES247" s="100"/>
      <c r="ET247" s="100"/>
      <c r="EU247" s="100"/>
      <c r="EV247" s="100"/>
      <c r="EW247" s="100"/>
      <c r="EX247" s="100"/>
      <c r="EY247" s="100"/>
      <c r="EZ247" s="100"/>
      <c r="FA247" s="100"/>
      <c r="FB247" s="100"/>
      <c r="FC247" s="100"/>
      <c r="FD247" s="100"/>
      <c r="FE247" s="100"/>
      <c r="FF247" s="100"/>
      <c r="FG247" s="100"/>
      <c r="FH247" s="100"/>
      <c r="FI247" s="100"/>
      <c r="FJ247" s="100"/>
      <c r="FK247" s="100"/>
      <c r="FL247" s="100"/>
      <c r="FM247" s="100"/>
      <c r="FN247" s="100"/>
      <c r="FO247" s="100"/>
      <c r="FP247" s="100"/>
      <c r="FQ247" s="100"/>
      <c r="FR247" s="100"/>
      <c r="FS247" s="100"/>
      <c r="FT247" s="100"/>
      <c r="FU247" s="100"/>
      <c r="FV247" s="100"/>
      <c r="FW247" s="100"/>
      <c r="FX247" s="100"/>
      <c r="FY247" s="100"/>
      <c r="FZ247" s="100"/>
      <c r="GA247" s="100"/>
      <c r="GB247" s="100"/>
      <c r="GC247" s="100"/>
      <c r="GD247" s="100"/>
      <c r="GE247" s="100"/>
      <c r="GF247" s="100"/>
      <c r="GG247" s="100"/>
      <c r="GH247" s="100"/>
      <c r="GI247" s="100"/>
      <c r="GJ247" s="100"/>
      <c r="GK247" s="100"/>
      <c r="GL247" s="100"/>
      <c r="GM247" s="100"/>
      <c r="GN247" s="100"/>
      <c r="GO247" s="100"/>
      <c r="GP247" s="100"/>
      <c r="GQ247" s="100"/>
      <c r="GR247" s="100"/>
      <c r="GS247" s="100"/>
      <c r="GT247" s="100"/>
      <c r="GU247" s="100"/>
      <c r="GV247" s="100"/>
      <c r="GW247" s="100"/>
      <c r="GX247" s="100"/>
      <c r="GY247" s="100"/>
      <c r="GZ247" s="100"/>
      <c r="HA247" s="100"/>
      <c r="HB247" s="100"/>
      <c r="HC247" s="100"/>
      <c r="HD247" s="100"/>
      <c r="HE247" s="100"/>
      <c r="HF247" s="100"/>
      <c r="HG247" s="100"/>
      <c r="HH247" s="100"/>
      <c r="HI247" s="100"/>
      <c r="HJ247" s="100"/>
      <c r="HK247" s="100"/>
      <c r="HL247" s="100"/>
      <c r="HM247" s="100"/>
      <c r="HN247" s="100"/>
      <c r="HO247" s="100"/>
      <c r="HP247" s="100"/>
      <c r="HQ247" s="100"/>
      <c r="HR247" s="100"/>
      <c r="HS247" s="100"/>
      <c r="HT247" s="100"/>
      <c r="HU247" s="100"/>
      <c r="HV247" s="100"/>
      <c r="HW247" s="100"/>
      <c r="HX247" s="100"/>
      <c r="HY247" s="100"/>
      <c r="HZ247" s="100"/>
    </row>
    <row r="248" customFormat="false" ht="12.8" hidden="false" customHeight="false" outlineLevel="0" collapsed="false">
      <c r="A248" s="100"/>
      <c r="B248" s="100"/>
      <c r="C248" s="100"/>
      <c r="D248" s="100"/>
      <c r="E248" s="100"/>
      <c r="F248" s="100"/>
      <c r="G248" s="163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63"/>
      <c r="AJ248" s="100"/>
      <c r="AK248" s="100"/>
      <c r="AL248" s="163"/>
      <c r="AM248" s="100"/>
      <c r="AN248" s="100"/>
      <c r="AO248" s="100"/>
      <c r="AP248" s="100"/>
      <c r="AQ248" s="100"/>
      <c r="AR248" s="100"/>
      <c r="AS248" s="100"/>
      <c r="AT248" s="100"/>
      <c r="AU248" s="100"/>
      <c r="AV248" s="100"/>
      <c r="AW248" s="100"/>
      <c r="AX248" s="100"/>
      <c r="AY248" s="100"/>
      <c r="AZ248" s="100"/>
      <c r="BA248" s="100"/>
      <c r="BB248" s="100"/>
      <c r="BC248" s="100"/>
      <c r="BD248" s="100"/>
      <c r="BE248" s="100"/>
      <c r="BF248" s="100"/>
      <c r="BG248" s="100"/>
      <c r="BH248" s="100"/>
      <c r="BI248" s="100"/>
      <c r="BJ248" s="100"/>
      <c r="BK248" s="100"/>
      <c r="BL248" s="100"/>
      <c r="BM248" s="100"/>
      <c r="BN248" s="100"/>
      <c r="BO248" s="100"/>
      <c r="BP248" s="100"/>
      <c r="BQ248" s="100"/>
      <c r="BR248" s="100"/>
      <c r="BS248" s="100"/>
      <c r="BT248" s="100"/>
      <c r="BU248" s="100"/>
      <c r="BV248" s="100"/>
      <c r="BW248" s="100"/>
      <c r="BX248" s="100"/>
      <c r="BY248" s="100"/>
      <c r="BZ248" s="100"/>
      <c r="CA248" s="100"/>
      <c r="CB248" s="100"/>
      <c r="CC248" s="100"/>
      <c r="CD248" s="100"/>
      <c r="CE248" s="100"/>
      <c r="CF248" s="100"/>
      <c r="CG248" s="100"/>
      <c r="CH248" s="100"/>
      <c r="CI248" s="100"/>
      <c r="CJ248" s="120"/>
      <c r="CK248" s="120"/>
      <c r="CL248" s="120"/>
      <c r="CM248" s="120"/>
      <c r="CN248" s="120"/>
      <c r="CO248" s="120"/>
      <c r="CP248" s="120"/>
      <c r="CQ248" s="100"/>
      <c r="CR248" s="100"/>
      <c r="CS248" s="100"/>
      <c r="CT248" s="100"/>
      <c r="CU248" s="100"/>
      <c r="CV248" s="100"/>
      <c r="CW248" s="100"/>
      <c r="CX248" s="100"/>
      <c r="CY248" s="100"/>
      <c r="CZ248" s="100"/>
      <c r="DA248" s="100"/>
      <c r="DB248" s="100"/>
      <c r="DC248" s="100"/>
      <c r="DD248" s="100"/>
      <c r="DE248" s="100"/>
      <c r="DF248" s="100"/>
      <c r="DG248" s="100"/>
      <c r="DH248" s="100"/>
      <c r="DI248" s="100"/>
      <c r="DJ248" s="100"/>
      <c r="DK248" s="100"/>
      <c r="DL248" s="100"/>
      <c r="DM248" s="100"/>
      <c r="DN248" s="100"/>
      <c r="DO248" s="100"/>
      <c r="DP248" s="100"/>
      <c r="DQ248" s="100"/>
      <c r="DR248" s="100"/>
      <c r="DS248" s="100"/>
      <c r="DT248" s="100"/>
      <c r="DU248" s="100"/>
      <c r="DV248" s="100"/>
      <c r="DW248" s="100"/>
      <c r="DX248" s="100"/>
      <c r="DY248" s="100"/>
      <c r="DZ248" s="100"/>
      <c r="EA248" s="100"/>
      <c r="EB248" s="100"/>
      <c r="EC248" s="100"/>
      <c r="ED248" s="100"/>
      <c r="EE248" s="100"/>
      <c r="EF248" s="100"/>
      <c r="EG248" s="100"/>
      <c r="EH248" s="100"/>
      <c r="EI248" s="100"/>
      <c r="EJ248" s="100"/>
      <c r="EK248" s="100"/>
      <c r="EL248" s="100"/>
      <c r="EM248" s="100"/>
      <c r="EN248" s="100"/>
      <c r="EO248" s="100"/>
      <c r="EP248" s="100"/>
      <c r="EQ248" s="100"/>
      <c r="ER248" s="100"/>
      <c r="ES248" s="100"/>
      <c r="ET248" s="100"/>
      <c r="EU248" s="100"/>
      <c r="EV248" s="100"/>
      <c r="EW248" s="100"/>
      <c r="EX248" s="100"/>
      <c r="EY248" s="100"/>
      <c r="EZ248" s="100"/>
      <c r="FA248" s="100"/>
      <c r="FB248" s="100"/>
      <c r="FC248" s="100"/>
      <c r="FD248" s="100"/>
      <c r="FE248" s="100"/>
      <c r="FF248" s="100"/>
      <c r="FG248" s="100"/>
      <c r="FH248" s="100"/>
      <c r="FI248" s="100"/>
      <c r="FJ248" s="100"/>
      <c r="FK248" s="100"/>
      <c r="FL248" s="100"/>
      <c r="FM248" s="100"/>
      <c r="FN248" s="100"/>
      <c r="FO248" s="100"/>
      <c r="FP248" s="100"/>
      <c r="FQ248" s="100"/>
      <c r="FR248" s="100"/>
      <c r="FS248" s="100"/>
      <c r="FT248" s="100"/>
      <c r="FU248" s="100"/>
      <c r="FV248" s="100"/>
      <c r="FW248" s="100"/>
      <c r="FX248" s="100"/>
      <c r="FY248" s="100"/>
      <c r="FZ248" s="100"/>
      <c r="GA248" s="100"/>
      <c r="GB248" s="100"/>
      <c r="GC248" s="100"/>
      <c r="GD248" s="100"/>
      <c r="GE248" s="100"/>
      <c r="GF248" s="100"/>
      <c r="GG248" s="100"/>
      <c r="GH248" s="100"/>
      <c r="GI248" s="100"/>
      <c r="GJ248" s="100"/>
      <c r="GK248" s="100"/>
      <c r="GL248" s="100"/>
      <c r="GM248" s="100"/>
      <c r="GN248" s="100"/>
      <c r="GO248" s="100"/>
      <c r="GP248" s="100"/>
      <c r="GQ248" s="100"/>
      <c r="GR248" s="100"/>
      <c r="GS248" s="100"/>
      <c r="GT248" s="100"/>
      <c r="GU248" s="100"/>
      <c r="GV248" s="100"/>
      <c r="GW248" s="100"/>
      <c r="GX248" s="100"/>
      <c r="GY248" s="100"/>
      <c r="GZ248" s="100"/>
      <c r="HA248" s="100"/>
      <c r="HB248" s="100"/>
      <c r="HC248" s="100"/>
      <c r="HD248" s="100"/>
      <c r="HE248" s="100"/>
      <c r="HF248" s="100"/>
      <c r="HG248" s="100"/>
      <c r="HH248" s="100"/>
      <c r="HI248" s="100"/>
      <c r="HJ248" s="100"/>
      <c r="HK248" s="100"/>
      <c r="HL248" s="100"/>
      <c r="HM248" s="100"/>
      <c r="HN248" s="100"/>
      <c r="HO248" s="100"/>
      <c r="HP248" s="100"/>
      <c r="HQ248" s="100"/>
      <c r="HR248" s="100"/>
      <c r="HS248" s="100"/>
      <c r="HT248" s="100"/>
      <c r="HU248" s="100"/>
      <c r="HV248" s="100"/>
      <c r="HW248" s="100"/>
      <c r="HX248" s="100"/>
      <c r="HY248" s="100"/>
      <c r="HZ248" s="100"/>
    </row>
    <row r="249" customFormat="false" ht="12.8" hidden="false" customHeight="false" outlineLevel="0" collapsed="false">
      <c r="A249" s="100"/>
      <c r="B249" s="100"/>
      <c r="C249" s="100"/>
      <c r="D249" s="100"/>
      <c r="E249" s="100"/>
      <c r="F249" s="100"/>
      <c r="G249" s="163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63"/>
      <c r="AJ249" s="100"/>
      <c r="AK249" s="100"/>
      <c r="AL249" s="163"/>
      <c r="AM249" s="100"/>
      <c r="AN249" s="100"/>
      <c r="AO249" s="100"/>
      <c r="AP249" s="100"/>
      <c r="AQ249" s="100"/>
      <c r="AR249" s="100"/>
      <c r="AS249" s="100"/>
      <c r="AT249" s="100"/>
      <c r="AU249" s="100"/>
      <c r="AV249" s="100"/>
      <c r="AW249" s="100"/>
      <c r="AX249" s="100"/>
      <c r="AY249" s="100"/>
      <c r="AZ249" s="100"/>
      <c r="BA249" s="100"/>
      <c r="BB249" s="100"/>
      <c r="BC249" s="100"/>
      <c r="BD249" s="100"/>
      <c r="BE249" s="100"/>
      <c r="BF249" s="100"/>
      <c r="BG249" s="100"/>
      <c r="BH249" s="100"/>
      <c r="BI249" s="100"/>
      <c r="BJ249" s="100"/>
      <c r="BK249" s="100"/>
      <c r="BL249" s="100"/>
      <c r="BM249" s="100"/>
      <c r="BN249" s="100"/>
      <c r="BO249" s="100"/>
      <c r="BP249" s="100"/>
      <c r="BQ249" s="100"/>
      <c r="BR249" s="100"/>
      <c r="BS249" s="100"/>
      <c r="BT249" s="100"/>
      <c r="BU249" s="100"/>
      <c r="BV249" s="100"/>
      <c r="BW249" s="100"/>
      <c r="BX249" s="100"/>
      <c r="BY249" s="100"/>
      <c r="BZ249" s="100"/>
      <c r="CA249" s="100"/>
      <c r="CB249" s="100"/>
      <c r="CC249" s="100"/>
      <c r="CD249" s="100"/>
      <c r="CE249" s="100"/>
      <c r="CF249" s="100"/>
      <c r="CG249" s="100"/>
      <c r="CH249" s="100"/>
      <c r="CI249" s="100"/>
      <c r="CJ249" s="120"/>
      <c r="CK249" s="120"/>
      <c r="CL249" s="120"/>
      <c r="CM249" s="120"/>
      <c r="CN249" s="120"/>
      <c r="CO249" s="120"/>
      <c r="CP249" s="120"/>
      <c r="CQ249" s="100"/>
      <c r="CR249" s="100"/>
      <c r="CS249" s="100"/>
      <c r="CT249" s="100"/>
      <c r="CU249" s="100"/>
      <c r="CV249" s="100"/>
      <c r="CW249" s="100"/>
      <c r="CX249" s="100"/>
      <c r="CY249" s="100"/>
      <c r="CZ249" s="100"/>
      <c r="DA249" s="100"/>
      <c r="DB249" s="100"/>
      <c r="DC249" s="100"/>
      <c r="DD249" s="100"/>
      <c r="DE249" s="100"/>
      <c r="DF249" s="100"/>
      <c r="DG249" s="100"/>
      <c r="DH249" s="100"/>
      <c r="DI249" s="100"/>
      <c r="DJ249" s="100"/>
      <c r="DK249" s="100"/>
      <c r="DL249" s="100"/>
      <c r="DM249" s="100"/>
      <c r="DN249" s="100"/>
      <c r="DO249" s="100"/>
      <c r="DP249" s="100"/>
      <c r="DQ249" s="100"/>
      <c r="DR249" s="100"/>
      <c r="DS249" s="100"/>
      <c r="DT249" s="100"/>
      <c r="DU249" s="100"/>
      <c r="DV249" s="100"/>
      <c r="DW249" s="100"/>
      <c r="DX249" s="100"/>
      <c r="DY249" s="100"/>
      <c r="DZ249" s="100"/>
      <c r="EA249" s="100"/>
      <c r="EB249" s="100"/>
      <c r="EC249" s="100"/>
      <c r="ED249" s="100"/>
      <c r="EE249" s="100"/>
      <c r="EF249" s="100"/>
      <c r="EG249" s="100"/>
      <c r="EH249" s="100"/>
      <c r="EI249" s="100"/>
      <c r="EJ249" s="100"/>
      <c r="EK249" s="100"/>
      <c r="EL249" s="100"/>
      <c r="EM249" s="100"/>
      <c r="EN249" s="100"/>
      <c r="EO249" s="100"/>
      <c r="EP249" s="100"/>
      <c r="EQ249" s="100"/>
      <c r="ER249" s="100"/>
      <c r="ES249" s="100"/>
      <c r="ET249" s="100"/>
      <c r="EU249" s="100"/>
      <c r="EV249" s="100"/>
      <c r="EW249" s="100"/>
      <c r="EX249" s="100"/>
      <c r="EY249" s="100"/>
      <c r="EZ249" s="100"/>
      <c r="FA249" s="100"/>
      <c r="FB249" s="100"/>
      <c r="FC249" s="100"/>
      <c r="FD249" s="100"/>
      <c r="FE249" s="100"/>
      <c r="FF249" s="100"/>
      <c r="FG249" s="100"/>
      <c r="FH249" s="100"/>
      <c r="FI249" s="100"/>
      <c r="FJ249" s="100"/>
      <c r="FK249" s="100"/>
      <c r="FL249" s="100"/>
      <c r="FM249" s="100"/>
      <c r="FN249" s="100"/>
      <c r="FO249" s="100"/>
      <c r="FP249" s="100"/>
      <c r="FQ249" s="100"/>
      <c r="FR249" s="100"/>
      <c r="FS249" s="100"/>
      <c r="FT249" s="100"/>
      <c r="FU249" s="100"/>
      <c r="FV249" s="100"/>
      <c r="FW249" s="100"/>
      <c r="FX249" s="100"/>
      <c r="FY249" s="100"/>
      <c r="FZ249" s="100"/>
      <c r="GA249" s="100"/>
      <c r="GB249" s="100"/>
      <c r="GC249" s="100"/>
      <c r="GD249" s="100"/>
      <c r="GE249" s="100"/>
      <c r="GF249" s="100"/>
      <c r="GG249" s="100"/>
      <c r="GH249" s="100"/>
      <c r="GI249" s="100"/>
      <c r="GJ249" s="100"/>
      <c r="GK249" s="100"/>
      <c r="GL249" s="100"/>
      <c r="GM249" s="100"/>
      <c r="GN249" s="100"/>
      <c r="GO249" s="100"/>
      <c r="GP249" s="100"/>
      <c r="GQ249" s="100"/>
      <c r="GR249" s="100"/>
      <c r="GS249" s="100"/>
      <c r="GT249" s="100"/>
      <c r="GU249" s="100"/>
      <c r="GV249" s="100"/>
      <c r="GW249" s="100"/>
      <c r="GX249" s="100"/>
      <c r="GY249" s="100"/>
      <c r="GZ249" s="100"/>
      <c r="HA249" s="100"/>
      <c r="HB249" s="100"/>
      <c r="HC249" s="100"/>
      <c r="HD249" s="100"/>
      <c r="HE249" s="100"/>
      <c r="HF249" s="100"/>
      <c r="HG249" s="100"/>
      <c r="HH249" s="100"/>
      <c r="HI249" s="100"/>
      <c r="HJ249" s="100"/>
      <c r="HK249" s="100"/>
      <c r="HL249" s="100"/>
      <c r="HM249" s="100"/>
      <c r="HN249" s="100"/>
      <c r="HO249" s="100"/>
      <c r="HP249" s="100"/>
      <c r="HQ249" s="100"/>
      <c r="HR249" s="100"/>
      <c r="HS249" s="100"/>
      <c r="HT249" s="100"/>
      <c r="HU249" s="100"/>
      <c r="HV249" s="100"/>
      <c r="HW249" s="100"/>
      <c r="HX249" s="100"/>
      <c r="HY249" s="100"/>
      <c r="HZ249" s="100"/>
    </row>
    <row r="250" customFormat="false" ht="12.8" hidden="false" customHeight="false" outlineLevel="0" collapsed="false">
      <c r="A250" s="100"/>
      <c r="B250" s="100"/>
      <c r="C250" s="100"/>
      <c r="D250" s="100"/>
      <c r="E250" s="100"/>
      <c r="F250" s="100"/>
      <c r="G250" s="163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63"/>
      <c r="AJ250" s="100"/>
      <c r="AK250" s="100"/>
      <c r="AL250" s="163"/>
      <c r="AM250" s="100"/>
      <c r="AN250" s="100"/>
      <c r="AO250" s="100"/>
      <c r="AP250" s="100"/>
      <c r="AQ250" s="100"/>
      <c r="AR250" s="100"/>
      <c r="AS250" s="100"/>
      <c r="AT250" s="100"/>
      <c r="AU250" s="100"/>
      <c r="AV250" s="100"/>
      <c r="AW250" s="100"/>
      <c r="AX250" s="100"/>
      <c r="AY250" s="100"/>
      <c r="AZ250" s="100"/>
      <c r="BA250" s="100"/>
      <c r="BB250" s="100"/>
      <c r="BC250" s="100"/>
      <c r="BD250" s="100"/>
      <c r="BE250" s="100"/>
      <c r="BF250" s="100"/>
      <c r="BG250" s="100"/>
      <c r="BH250" s="100"/>
      <c r="BI250" s="100"/>
      <c r="BJ250" s="100"/>
      <c r="BK250" s="100"/>
      <c r="BL250" s="100"/>
      <c r="BM250" s="100"/>
      <c r="BN250" s="100"/>
      <c r="BO250" s="100"/>
      <c r="BP250" s="100"/>
      <c r="BQ250" s="100"/>
      <c r="BR250" s="100"/>
      <c r="BS250" s="100"/>
      <c r="BT250" s="100"/>
      <c r="BU250" s="100"/>
      <c r="BV250" s="100"/>
      <c r="BW250" s="100"/>
      <c r="BX250" s="100"/>
      <c r="BY250" s="100"/>
      <c r="BZ250" s="100"/>
      <c r="CA250" s="100"/>
      <c r="CB250" s="100"/>
      <c r="CC250" s="100"/>
      <c r="CD250" s="100"/>
      <c r="CE250" s="100"/>
      <c r="CF250" s="100"/>
      <c r="CG250" s="100"/>
      <c r="CH250" s="100"/>
      <c r="CI250" s="100"/>
      <c r="CJ250" s="120"/>
      <c r="CK250" s="120"/>
      <c r="CL250" s="120"/>
      <c r="CM250" s="120"/>
      <c r="CN250" s="120"/>
      <c r="CO250" s="120"/>
      <c r="CP250" s="120"/>
      <c r="CQ250" s="100"/>
      <c r="CR250" s="100"/>
      <c r="CS250" s="100"/>
      <c r="CT250" s="100"/>
      <c r="CU250" s="100"/>
      <c r="CV250" s="100"/>
      <c r="CW250" s="100"/>
      <c r="CX250" s="100"/>
      <c r="CY250" s="100"/>
      <c r="CZ250" s="100"/>
      <c r="DA250" s="100"/>
      <c r="DB250" s="100"/>
      <c r="DC250" s="100"/>
      <c r="DD250" s="100"/>
      <c r="DE250" s="100"/>
      <c r="DF250" s="100"/>
      <c r="DG250" s="100"/>
      <c r="DH250" s="100"/>
      <c r="DI250" s="100"/>
      <c r="DJ250" s="100"/>
      <c r="DK250" s="100"/>
      <c r="DL250" s="100"/>
      <c r="DM250" s="100"/>
      <c r="DN250" s="100"/>
      <c r="DO250" s="100"/>
      <c r="DP250" s="100"/>
      <c r="DQ250" s="100"/>
      <c r="DR250" s="100"/>
      <c r="DS250" s="100"/>
      <c r="DT250" s="100"/>
      <c r="DU250" s="100"/>
      <c r="DV250" s="100"/>
      <c r="DW250" s="100"/>
      <c r="DX250" s="100"/>
      <c r="DY250" s="100"/>
      <c r="DZ250" s="100"/>
      <c r="EA250" s="100"/>
      <c r="EB250" s="100"/>
      <c r="EC250" s="100"/>
      <c r="ED250" s="100"/>
      <c r="EE250" s="100"/>
      <c r="EF250" s="100"/>
      <c r="EG250" s="100"/>
      <c r="EH250" s="100"/>
      <c r="EI250" s="100"/>
      <c r="EJ250" s="100"/>
      <c r="EK250" s="100"/>
      <c r="EL250" s="100"/>
      <c r="EM250" s="100"/>
      <c r="EN250" s="100"/>
      <c r="EO250" s="100"/>
      <c r="EP250" s="100"/>
      <c r="EQ250" s="100"/>
      <c r="ER250" s="100"/>
      <c r="ES250" s="100"/>
      <c r="ET250" s="100"/>
      <c r="EU250" s="100"/>
      <c r="EV250" s="100"/>
      <c r="EW250" s="100"/>
      <c r="EX250" s="100"/>
      <c r="EY250" s="100"/>
      <c r="EZ250" s="100"/>
      <c r="FA250" s="100"/>
      <c r="FB250" s="100"/>
      <c r="FC250" s="100"/>
      <c r="FD250" s="100"/>
      <c r="FE250" s="100"/>
      <c r="FF250" s="100"/>
      <c r="FG250" s="100"/>
      <c r="FH250" s="100"/>
      <c r="FI250" s="100"/>
      <c r="FJ250" s="100"/>
      <c r="FK250" s="100"/>
      <c r="FL250" s="100"/>
      <c r="FM250" s="100"/>
      <c r="FN250" s="100"/>
      <c r="FO250" s="100"/>
      <c r="FP250" s="100"/>
      <c r="FQ250" s="100"/>
      <c r="FR250" s="100"/>
      <c r="FS250" s="100"/>
      <c r="FT250" s="100"/>
      <c r="FU250" s="100"/>
      <c r="FV250" s="100"/>
      <c r="FW250" s="100"/>
      <c r="FX250" s="100"/>
      <c r="FY250" s="100"/>
      <c r="FZ250" s="100"/>
      <c r="GA250" s="100"/>
      <c r="GB250" s="100"/>
      <c r="GC250" s="100"/>
      <c r="GD250" s="100"/>
      <c r="GE250" s="100"/>
      <c r="GF250" s="100"/>
      <c r="GG250" s="100"/>
      <c r="GH250" s="100"/>
      <c r="GI250" s="100"/>
      <c r="GJ250" s="100"/>
      <c r="GK250" s="100"/>
      <c r="GL250" s="100"/>
      <c r="GM250" s="100"/>
      <c r="GN250" s="100"/>
      <c r="GO250" s="100"/>
      <c r="GP250" s="100"/>
      <c r="GQ250" s="100"/>
      <c r="GR250" s="100"/>
      <c r="GS250" s="100"/>
      <c r="GT250" s="100"/>
      <c r="GU250" s="100"/>
      <c r="GV250" s="100"/>
      <c r="GW250" s="100"/>
      <c r="GX250" s="100"/>
      <c r="GY250" s="100"/>
      <c r="GZ250" s="100"/>
      <c r="HA250" s="100"/>
      <c r="HB250" s="100"/>
      <c r="HC250" s="100"/>
      <c r="HD250" s="100"/>
      <c r="HE250" s="100"/>
      <c r="HF250" s="100"/>
      <c r="HG250" s="100"/>
      <c r="HH250" s="100"/>
      <c r="HI250" s="100"/>
      <c r="HJ250" s="100"/>
      <c r="HK250" s="100"/>
      <c r="HL250" s="100"/>
      <c r="HM250" s="100"/>
      <c r="HN250" s="100"/>
      <c r="HO250" s="100"/>
      <c r="HP250" s="100"/>
      <c r="HQ250" s="100"/>
      <c r="HR250" s="100"/>
      <c r="HS250" s="100"/>
      <c r="HT250" s="100"/>
      <c r="HU250" s="100"/>
      <c r="HV250" s="100"/>
      <c r="HW250" s="100"/>
      <c r="HX250" s="100"/>
      <c r="HY250" s="100"/>
      <c r="HZ250" s="100"/>
    </row>
    <row r="251" customFormat="false" ht="12.8" hidden="false" customHeight="false" outlineLevel="0" collapsed="false">
      <c r="A251" s="100"/>
      <c r="B251" s="100"/>
      <c r="C251" s="100"/>
      <c r="D251" s="100"/>
      <c r="E251" s="100"/>
      <c r="F251" s="100"/>
      <c r="G251" s="163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63"/>
      <c r="AJ251" s="100"/>
      <c r="AK251" s="100"/>
      <c r="AL251" s="163"/>
      <c r="AM251" s="100"/>
      <c r="AN251" s="100"/>
      <c r="AO251" s="100"/>
      <c r="AP251" s="100"/>
      <c r="AQ251" s="100"/>
      <c r="AR251" s="100"/>
      <c r="AS251" s="100"/>
      <c r="AT251" s="100"/>
      <c r="AU251" s="100"/>
      <c r="AV251" s="100"/>
      <c r="AW251" s="100"/>
      <c r="AX251" s="100"/>
      <c r="AY251" s="100"/>
      <c r="AZ251" s="100"/>
      <c r="BA251" s="100"/>
      <c r="BB251" s="100"/>
      <c r="BC251" s="100"/>
      <c r="BD251" s="100"/>
      <c r="BE251" s="100"/>
      <c r="BF251" s="100"/>
      <c r="BG251" s="100"/>
      <c r="BH251" s="100"/>
      <c r="BI251" s="100"/>
      <c r="BJ251" s="100"/>
      <c r="BK251" s="100"/>
      <c r="BL251" s="100"/>
      <c r="BM251" s="100"/>
      <c r="BN251" s="100"/>
      <c r="BO251" s="100"/>
      <c r="BP251" s="100"/>
      <c r="BQ251" s="100"/>
      <c r="BR251" s="100"/>
      <c r="BS251" s="100"/>
      <c r="BT251" s="100"/>
      <c r="BU251" s="100"/>
      <c r="BV251" s="100"/>
      <c r="BW251" s="100"/>
      <c r="BX251" s="100"/>
      <c r="BY251" s="100"/>
      <c r="BZ251" s="100"/>
      <c r="CA251" s="100"/>
      <c r="CB251" s="100"/>
      <c r="CC251" s="100"/>
      <c r="CD251" s="100"/>
      <c r="CE251" s="100"/>
      <c r="CF251" s="100"/>
      <c r="CG251" s="100"/>
      <c r="CH251" s="100"/>
      <c r="CI251" s="100"/>
      <c r="CJ251" s="120"/>
      <c r="CK251" s="120"/>
      <c r="CL251" s="120"/>
      <c r="CM251" s="120"/>
      <c r="CN251" s="120"/>
      <c r="CO251" s="120"/>
      <c r="CP251" s="120"/>
      <c r="CQ251" s="100"/>
      <c r="CR251" s="100"/>
      <c r="CS251" s="100"/>
      <c r="CT251" s="100"/>
      <c r="CU251" s="100"/>
      <c r="CV251" s="100"/>
      <c r="CW251" s="100"/>
      <c r="CX251" s="100"/>
      <c r="CY251" s="100"/>
      <c r="CZ251" s="100"/>
      <c r="DA251" s="100"/>
      <c r="DB251" s="100"/>
      <c r="DC251" s="100"/>
      <c r="DD251" s="100"/>
      <c r="DE251" s="100"/>
      <c r="DF251" s="100"/>
      <c r="DG251" s="100"/>
      <c r="DH251" s="100"/>
      <c r="DI251" s="100"/>
      <c r="DJ251" s="100"/>
      <c r="DK251" s="100"/>
      <c r="DL251" s="100"/>
      <c r="DM251" s="100"/>
      <c r="DN251" s="100"/>
      <c r="DO251" s="100"/>
      <c r="DP251" s="100"/>
      <c r="DQ251" s="100"/>
      <c r="DR251" s="100"/>
      <c r="DS251" s="100"/>
      <c r="DT251" s="100"/>
      <c r="DU251" s="100"/>
      <c r="DV251" s="100"/>
      <c r="DW251" s="100"/>
      <c r="DX251" s="100"/>
      <c r="DY251" s="100"/>
      <c r="DZ251" s="100"/>
      <c r="EA251" s="100"/>
      <c r="EB251" s="100"/>
      <c r="EC251" s="100"/>
      <c r="ED251" s="100"/>
      <c r="EE251" s="100"/>
      <c r="EF251" s="100"/>
      <c r="EG251" s="100"/>
      <c r="EH251" s="100"/>
      <c r="EI251" s="100"/>
      <c r="EJ251" s="100"/>
      <c r="EK251" s="100"/>
      <c r="EL251" s="100"/>
      <c r="EM251" s="100"/>
      <c r="EN251" s="100"/>
      <c r="EO251" s="100"/>
      <c r="EP251" s="100"/>
      <c r="EQ251" s="100"/>
      <c r="ER251" s="100"/>
      <c r="ES251" s="100"/>
      <c r="ET251" s="100"/>
      <c r="EU251" s="100"/>
      <c r="EV251" s="100"/>
      <c r="EW251" s="100"/>
      <c r="EX251" s="100"/>
      <c r="EY251" s="100"/>
      <c r="EZ251" s="100"/>
      <c r="FA251" s="100"/>
      <c r="FB251" s="100"/>
      <c r="FC251" s="100"/>
      <c r="FD251" s="100"/>
      <c r="FE251" s="100"/>
      <c r="FF251" s="100"/>
      <c r="FG251" s="100"/>
      <c r="FH251" s="100"/>
      <c r="FI251" s="100"/>
      <c r="FJ251" s="100"/>
      <c r="FK251" s="100"/>
      <c r="FL251" s="100"/>
      <c r="FM251" s="100"/>
      <c r="FN251" s="100"/>
      <c r="FO251" s="100"/>
      <c r="FP251" s="100"/>
      <c r="FQ251" s="100"/>
      <c r="FR251" s="100"/>
      <c r="FS251" s="100"/>
      <c r="FT251" s="100"/>
      <c r="FU251" s="100"/>
      <c r="FV251" s="100"/>
      <c r="FW251" s="100"/>
      <c r="FX251" s="100"/>
      <c r="FY251" s="100"/>
      <c r="FZ251" s="100"/>
      <c r="GA251" s="100"/>
      <c r="GB251" s="100"/>
      <c r="GC251" s="100"/>
      <c r="GD251" s="100"/>
      <c r="GE251" s="100"/>
      <c r="GF251" s="100"/>
      <c r="GG251" s="100"/>
      <c r="GH251" s="100"/>
      <c r="GI251" s="100"/>
      <c r="GJ251" s="100"/>
      <c r="GK251" s="100"/>
      <c r="GL251" s="100"/>
      <c r="GM251" s="100"/>
      <c r="GN251" s="100"/>
      <c r="GO251" s="100"/>
      <c r="GP251" s="100"/>
      <c r="GQ251" s="100"/>
      <c r="GR251" s="100"/>
      <c r="GS251" s="100"/>
      <c r="GT251" s="100"/>
      <c r="GU251" s="100"/>
      <c r="GV251" s="100"/>
      <c r="GW251" s="100"/>
      <c r="GX251" s="100"/>
      <c r="GY251" s="100"/>
      <c r="GZ251" s="100"/>
      <c r="HA251" s="100"/>
      <c r="HB251" s="100"/>
      <c r="HC251" s="100"/>
      <c r="HD251" s="100"/>
      <c r="HE251" s="100"/>
      <c r="HF251" s="100"/>
      <c r="HG251" s="100"/>
      <c r="HH251" s="100"/>
      <c r="HI251" s="100"/>
      <c r="HJ251" s="100"/>
      <c r="HK251" s="100"/>
      <c r="HL251" s="100"/>
      <c r="HM251" s="100"/>
      <c r="HN251" s="100"/>
      <c r="HO251" s="100"/>
      <c r="HP251" s="100"/>
      <c r="HQ251" s="100"/>
      <c r="HR251" s="100"/>
      <c r="HS251" s="100"/>
      <c r="HT251" s="100"/>
      <c r="HU251" s="100"/>
      <c r="HV251" s="100"/>
      <c r="HW251" s="100"/>
      <c r="HX251" s="100"/>
      <c r="HY251" s="100"/>
      <c r="HZ251" s="100"/>
    </row>
    <row r="252" customFormat="false" ht="12.8" hidden="false" customHeight="false" outlineLevel="0" collapsed="false">
      <c r="A252" s="100"/>
      <c r="B252" s="100"/>
      <c r="C252" s="100"/>
      <c r="D252" s="100"/>
      <c r="E252" s="100"/>
      <c r="F252" s="100"/>
      <c r="G252" s="163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63"/>
      <c r="AJ252" s="100"/>
      <c r="AK252" s="100"/>
      <c r="AL252" s="163"/>
      <c r="AM252" s="100"/>
      <c r="AN252" s="100"/>
      <c r="AO252" s="100"/>
      <c r="AP252" s="100"/>
      <c r="AQ252" s="100"/>
      <c r="AR252" s="100"/>
      <c r="AS252" s="100"/>
      <c r="AT252" s="100"/>
      <c r="AU252" s="100"/>
      <c r="AV252" s="100"/>
      <c r="AW252" s="100"/>
      <c r="AX252" s="100"/>
      <c r="AY252" s="100"/>
      <c r="AZ252" s="100"/>
      <c r="BA252" s="100"/>
      <c r="BB252" s="100"/>
      <c r="BC252" s="100"/>
      <c r="BD252" s="100"/>
      <c r="BE252" s="100"/>
      <c r="BF252" s="100"/>
      <c r="BG252" s="100"/>
      <c r="BH252" s="100"/>
      <c r="BI252" s="100"/>
      <c r="BJ252" s="100"/>
      <c r="BK252" s="100"/>
      <c r="BL252" s="100"/>
      <c r="BM252" s="100"/>
      <c r="BN252" s="100"/>
      <c r="BO252" s="100"/>
      <c r="BP252" s="100"/>
      <c r="BQ252" s="100"/>
      <c r="BR252" s="100"/>
      <c r="BS252" s="100"/>
      <c r="BT252" s="100"/>
      <c r="BU252" s="100"/>
      <c r="BV252" s="100"/>
      <c r="BW252" s="100"/>
      <c r="BX252" s="100"/>
      <c r="BY252" s="100"/>
      <c r="BZ252" s="100"/>
      <c r="CA252" s="100"/>
      <c r="CB252" s="100"/>
      <c r="CC252" s="100"/>
      <c r="CD252" s="100"/>
      <c r="CE252" s="100"/>
      <c r="CF252" s="100"/>
      <c r="CG252" s="100"/>
      <c r="CH252" s="100"/>
      <c r="CI252" s="100"/>
      <c r="CJ252" s="120"/>
      <c r="CK252" s="120"/>
      <c r="CL252" s="120"/>
      <c r="CM252" s="120"/>
      <c r="CN252" s="120"/>
      <c r="CO252" s="120"/>
      <c r="CP252" s="120"/>
      <c r="CQ252" s="100"/>
      <c r="CR252" s="100"/>
      <c r="CS252" s="100"/>
      <c r="CT252" s="100"/>
      <c r="CU252" s="100"/>
      <c r="CV252" s="100"/>
      <c r="CW252" s="100"/>
      <c r="CX252" s="100"/>
      <c r="CY252" s="100"/>
      <c r="CZ252" s="100"/>
      <c r="DA252" s="100"/>
      <c r="DB252" s="100"/>
      <c r="DC252" s="100"/>
      <c r="DD252" s="100"/>
      <c r="DE252" s="100"/>
      <c r="DF252" s="100"/>
      <c r="DG252" s="100"/>
      <c r="DH252" s="100"/>
      <c r="DI252" s="100"/>
      <c r="DJ252" s="100"/>
      <c r="DK252" s="100"/>
      <c r="DL252" s="100"/>
      <c r="DM252" s="100"/>
      <c r="DN252" s="100"/>
      <c r="DO252" s="100"/>
      <c r="DP252" s="100"/>
      <c r="DQ252" s="100"/>
      <c r="DR252" s="100"/>
      <c r="DS252" s="100"/>
      <c r="DT252" s="100"/>
      <c r="DU252" s="100"/>
      <c r="DV252" s="100"/>
      <c r="DW252" s="100"/>
      <c r="DX252" s="100"/>
      <c r="DY252" s="100"/>
      <c r="DZ252" s="100"/>
      <c r="EA252" s="100"/>
      <c r="EB252" s="100"/>
      <c r="EC252" s="100"/>
      <c r="ED252" s="100"/>
      <c r="EE252" s="100"/>
      <c r="EF252" s="100"/>
      <c r="EG252" s="100"/>
      <c r="EH252" s="100"/>
      <c r="EI252" s="100"/>
      <c r="EJ252" s="100"/>
      <c r="EK252" s="100"/>
      <c r="EL252" s="100"/>
      <c r="EM252" s="100"/>
      <c r="EN252" s="100"/>
      <c r="EO252" s="100"/>
      <c r="EP252" s="100"/>
      <c r="EQ252" s="100"/>
      <c r="ER252" s="100"/>
      <c r="ES252" s="100"/>
      <c r="ET252" s="100"/>
      <c r="EU252" s="100"/>
      <c r="EV252" s="100"/>
      <c r="EW252" s="100"/>
      <c r="EX252" s="100"/>
      <c r="EY252" s="100"/>
      <c r="EZ252" s="100"/>
      <c r="FA252" s="100"/>
      <c r="FB252" s="100"/>
      <c r="FC252" s="100"/>
      <c r="FD252" s="100"/>
      <c r="FE252" s="100"/>
      <c r="FF252" s="100"/>
      <c r="FG252" s="100"/>
      <c r="FH252" s="100"/>
      <c r="FI252" s="100"/>
      <c r="FJ252" s="100"/>
      <c r="FK252" s="100"/>
      <c r="FL252" s="100"/>
      <c r="FM252" s="100"/>
      <c r="FN252" s="100"/>
      <c r="FO252" s="100"/>
      <c r="FP252" s="100"/>
      <c r="FQ252" s="100"/>
      <c r="FR252" s="100"/>
      <c r="FS252" s="100"/>
      <c r="FT252" s="100"/>
      <c r="FU252" s="100"/>
      <c r="FV252" s="100"/>
      <c r="FW252" s="100"/>
      <c r="FX252" s="100"/>
      <c r="FY252" s="100"/>
      <c r="FZ252" s="100"/>
      <c r="GA252" s="100"/>
      <c r="GB252" s="100"/>
      <c r="GC252" s="100"/>
      <c r="GD252" s="100"/>
      <c r="GE252" s="100"/>
      <c r="GF252" s="100"/>
      <c r="GG252" s="100"/>
      <c r="GH252" s="100"/>
      <c r="GI252" s="100"/>
      <c r="GJ252" s="100"/>
      <c r="GK252" s="100"/>
      <c r="GL252" s="100"/>
      <c r="GM252" s="100"/>
      <c r="GN252" s="100"/>
      <c r="GO252" s="100"/>
      <c r="GP252" s="100"/>
      <c r="GQ252" s="100"/>
      <c r="GR252" s="100"/>
      <c r="GS252" s="100"/>
      <c r="GT252" s="100"/>
      <c r="GU252" s="100"/>
      <c r="GV252" s="100"/>
      <c r="GW252" s="100"/>
      <c r="GX252" s="100"/>
      <c r="GY252" s="100"/>
      <c r="GZ252" s="100"/>
      <c r="HA252" s="100"/>
      <c r="HB252" s="100"/>
      <c r="HC252" s="100"/>
      <c r="HD252" s="100"/>
      <c r="HE252" s="100"/>
      <c r="HF252" s="100"/>
      <c r="HG252" s="100"/>
      <c r="HH252" s="100"/>
      <c r="HI252" s="100"/>
      <c r="HJ252" s="100"/>
      <c r="HK252" s="100"/>
      <c r="HL252" s="100"/>
      <c r="HM252" s="100"/>
      <c r="HN252" s="100"/>
      <c r="HO252" s="100"/>
      <c r="HP252" s="100"/>
      <c r="HQ252" s="100"/>
      <c r="HR252" s="100"/>
      <c r="HS252" s="100"/>
      <c r="HT252" s="100"/>
      <c r="HU252" s="100"/>
      <c r="HV252" s="100"/>
      <c r="HW252" s="100"/>
      <c r="HX252" s="100"/>
      <c r="HY252" s="100"/>
      <c r="HZ252" s="100"/>
    </row>
    <row r="253" customFormat="false" ht="12.8" hidden="false" customHeight="false" outlineLevel="0" collapsed="false">
      <c r="A253" s="100"/>
      <c r="B253" s="100"/>
      <c r="C253" s="100"/>
      <c r="D253" s="100"/>
      <c r="E253" s="100"/>
      <c r="F253" s="100"/>
      <c r="G253" s="163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63"/>
      <c r="AJ253" s="100"/>
      <c r="AK253" s="100"/>
      <c r="AL253" s="163"/>
      <c r="AM253" s="100"/>
      <c r="AN253" s="100"/>
      <c r="AO253" s="100"/>
      <c r="AP253" s="100"/>
      <c r="AQ253" s="100"/>
      <c r="AR253" s="100"/>
      <c r="AS253" s="100"/>
      <c r="AT253" s="100"/>
      <c r="AU253" s="100"/>
      <c r="AV253" s="100"/>
      <c r="AW253" s="100"/>
      <c r="AX253" s="100"/>
      <c r="AY253" s="100"/>
      <c r="AZ253" s="100"/>
      <c r="BA253" s="100"/>
      <c r="BB253" s="100"/>
      <c r="BC253" s="100"/>
      <c r="BD253" s="100"/>
      <c r="BE253" s="100"/>
      <c r="BF253" s="100"/>
      <c r="BG253" s="100"/>
      <c r="BH253" s="100"/>
      <c r="BI253" s="100"/>
      <c r="BJ253" s="100"/>
      <c r="BK253" s="100"/>
      <c r="BL253" s="100"/>
      <c r="BM253" s="100"/>
      <c r="BN253" s="100"/>
      <c r="BO253" s="100"/>
      <c r="BP253" s="100"/>
      <c r="BQ253" s="100"/>
      <c r="BR253" s="100"/>
      <c r="BS253" s="100"/>
      <c r="BT253" s="100"/>
      <c r="BU253" s="100"/>
      <c r="BV253" s="100"/>
      <c r="BW253" s="100"/>
      <c r="BX253" s="100"/>
      <c r="BY253" s="100"/>
      <c r="BZ253" s="100"/>
      <c r="CA253" s="100"/>
      <c r="CB253" s="100"/>
      <c r="CC253" s="100"/>
      <c r="CD253" s="100"/>
      <c r="CE253" s="100"/>
      <c r="CF253" s="100"/>
      <c r="CG253" s="100"/>
      <c r="CH253" s="100"/>
      <c r="CI253" s="100"/>
      <c r="CJ253" s="120"/>
      <c r="CK253" s="120"/>
      <c r="CL253" s="120"/>
      <c r="CM253" s="120"/>
      <c r="CN253" s="120"/>
      <c r="CO253" s="120"/>
      <c r="CP253" s="120"/>
      <c r="CQ253" s="100"/>
      <c r="CR253" s="100"/>
      <c r="CS253" s="100"/>
      <c r="CT253" s="100"/>
      <c r="CU253" s="100"/>
      <c r="CV253" s="100"/>
      <c r="CW253" s="100"/>
      <c r="CX253" s="100"/>
      <c r="CY253" s="100"/>
      <c r="CZ253" s="100"/>
      <c r="DA253" s="100"/>
      <c r="DB253" s="100"/>
      <c r="DC253" s="100"/>
      <c r="DD253" s="100"/>
      <c r="DE253" s="100"/>
      <c r="DF253" s="100"/>
      <c r="DG253" s="100"/>
      <c r="DH253" s="100"/>
      <c r="DI253" s="100"/>
      <c r="DJ253" s="100"/>
      <c r="DK253" s="100"/>
      <c r="DL253" s="100"/>
      <c r="DM253" s="100"/>
      <c r="DN253" s="100"/>
      <c r="DO253" s="100"/>
      <c r="DP253" s="100"/>
      <c r="DQ253" s="100"/>
      <c r="DR253" s="100"/>
      <c r="DS253" s="100"/>
      <c r="DT253" s="100"/>
      <c r="DU253" s="100"/>
      <c r="DV253" s="100"/>
      <c r="DW253" s="100"/>
      <c r="DX253" s="100"/>
      <c r="DY253" s="100"/>
      <c r="DZ253" s="100"/>
      <c r="EA253" s="100"/>
      <c r="EB253" s="100"/>
      <c r="EC253" s="100"/>
      <c r="ED253" s="100"/>
      <c r="EE253" s="100"/>
      <c r="EF253" s="100"/>
      <c r="EG253" s="100"/>
      <c r="EH253" s="100"/>
      <c r="EI253" s="100"/>
      <c r="EJ253" s="100"/>
      <c r="EK253" s="100"/>
      <c r="EL253" s="100"/>
      <c r="EM253" s="100"/>
      <c r="EN253" s="100"/>
      <c r="EO253" s="100"/>
      <c r="EP253" s="100"/>
      <c r="EQ253" s="100"/>
      <c r="ER253" s="100"/>
      <c r="ES253" s="100"/>
      <c r="ET253" s="100"/>
      <c r="EU253" s="100"/>
      <c r="EV253" s="100"/>
      <c r="EW253" s="100"/>
      <c r="EX253" s="100"/>
      <c r="EY253" s="100"/>
      <c r="EZ253" s="100"/>
      <c r="FA253" s="100"/>
      <c r="FB253" s="100"/>
      <c r="FC253" s="100"/>
      <c r="FD253" s="100"/>
      <c r="FE253" s="100"/>
      <c r="FF253" s="100"/>
      <c r="FG253" s="100"/>
      <c r="FH253" s="100"/>
      <c r="FI253" s="100"/>
      <c r="FJ253" s="100"/>
      <c r="FK253" s="100"/>
      <c r="FL253" s="100"/>
      <c r="FM253" s="100"/>
      <c r="FN253" s="100"/>
      <c r="FO253" s="100"/>
      <c r="FP253" s="100"/>
      <c r="FQ253" s="100"/>
      <c r="FR253" s="100"/>
      <c r="FS253" s="100"/>
      <c r="FT253" s="100"/>
      <c r="FU253" s="100"/>
      <c r="FV253" s="100"/>
      <c r="FW253" s="100"/>
      <c r="FX253" s="100"/>
      <c r="FY253" s="100"/>
      <c r="FZ253" s="100"/>
      <c r="GA253" s="100"/>
      <c r="GB253" s="100"/>
      <c r="GC253" s="100"/>
      <c r="GD253" s="100"/>
      <c r="GE253" s="100"/>
      <c r="GF253" s="100"/>
      <c r="GG253" s="100"/>
      <c r="GH253" s="100"/>
      <c r="GI253" s="100"/>
      <c r="GJ253" s="100"/>
      <c r="GK253" s="100"/>
      <c r="GL253" s="100"/>
      <c r="GM253" s="100"/>
      <c r="GN253" s="100"/>
      <c r="GO253" s="100"/>
      <c r="GP253" s="100"/>
      <c r="GQ253" s="100"/>
      <c r="GR253" s="100"/>
      <c r="GS253" s="100"/>
      <c r="GT253" s="100"/>
      <c r="GU253" s="100"/>
      <c r="GV253" s="100"/>
      <c r="GW253" s="100"/>
      <c r="GX253" s="100"/>
      <c r="GY253" s="100"/>
      <c r="GZ253" s="100"/>
      <c r="HA253" s="100"/>
      <c r="HB253" s="100"/>
      <c r="HC253" s="100"/>
      <c r="HD253" s="100"/>
      <c r="HE253" s="100"/>
      <c r="HF253" s="100"/>
      <c r="HG253" s="100"/>
      <c r="HH253" s="100"/>
      <c r="HI253" s="100"/>
      <c r="HJ253" s="100"/>
      <c r="HK253" s="100"/>
      <c r="HL253" s="100"/>
      <c r="HM253" s="100"/>
      <c r="HN253" s="100"/>
      <c r="HO253" s="100"/>
      <c r="HP253" s="100"/>
      <c r="HQ253" s="100"/>
      <c r="HR253" s="100"/>
      <c r="HS253" s="100"/>
      <c r="HT253" s="100"/>
      <c r="HU253" s="100"/>
      <c r="HV253" s="100"/>
      <c r="HW253" s="100"/>
      <c r="HX253" s="100"/>
      <c r="HY253" s="100"/>
      <c r="HZ253" s="100"/>
    </row>
    <row r="254" customFormat="false" ht="12.8" hidden="false" customHeight="false" outlineLevel="0" collapsed="false">
      <c r="A254" s="100"/>
      <c r="B254" s="100"/>
      <c r="C254" s="100"/>
      <c r="D254" s="100"/>
      <c r="E254" s="100"/>
      <c r="F254" s="100"/>
      <c r="G254" s="163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63"/>
      <c r="AJ254" s="100"/>
      <c r="AK254" s="100"/>
      <c r="AL254" s="163"/>
      <c r="AM254" s="100"/>
      <c r="AN254" s="100"/>
      <c r="AO254" s="100"/>
      <c r="AP254" s="100"/>
      <c r="AQ254" s="100"/>
      <c r="AR254" s="100"/>
      <c r="AS254" s="100"/>
      <c r="AT254" s="100"/>
      <c r="AU254" s="100"/>
      <c r="AV254" s="100"/>
      <c r="AW254" s="100"/>
      <c r="AX254" s="100"/>
      <c r="AY254" s="100"/>
      <c r="AZ254" s="100"/>
      <c r="BA254" s="100"/>
      <c r="BB254" s="100"/>
      <c r="BC254" s="100"/>
      <c r="BD254" s="100"/>
      <c r="BE254" s="100"/>
      <c r="BF254" s="100"/>
      <c r="BG254" s="100"/>
      <c r="BH254" s="100"/>
      <c r="BI254" s="100"/>
      <c r="BJ254" s="100"/>
      <c r="BK254" s="100"/>
      <c r="BL254" s="100"/>
      <c r="BM254" s="100"/>
      <c r="BN254" s="100"/>
      <c r="BO254" s="100"/>
      <c r="BP254" s="100"/>
      <c r="BQ254" s="100"/>
      <c r="BR254" s="100"/>
      <c r="BS254" s="100"/>
      <c r="BT254" s="100"/>
      <c r="BU254" s="100"/>
      <c r="BV254" s="100"/>
      <c r="BW254" s="100"/>
      <c r="BX254" s="100"/>
      <c r="BY254" s="100"/>
      <c r="BZ254" s="100"/>
      <c r="CA254" s="100"/>
      <c r="CB254" s="100"/>
      <c r="CC254" s="100"/>
      <c r="CD254" s="100"/>
      <c r="CE254" s="100"/>
      <c r="CF254" s="100"/>
      <c r="CG254" s="100"/>
      <c r="CH254" s="100"/>
      <c r="CI254" s="100"/>
      <c r="CJ254" s="120"/>
      <c r="CK254" s="120"/>
      <c r="CL254" s="120"/>
      <c r="CM254" s="120"/>
      <c r="CN254" s="120"/>
      <c r="CO254" s="120"/>
      <c r="CP254" s="120"/>
      <c r="CQ254" s="100"/>
      <c r="CR254" s="100"/>
      <c r="CS254" s="100"/>
      <c r="CT254" s="100"/>
      <c r="CU254" s="100"/>
      <c r="CV254" s="100"/>
      <c r="CW254" s="100"/>
      <c r="CX254" s="100"/>
      <c r="CY254" s="100"/>
      <c r="CZ254" s="100"/>
      <c r="DA254" s="100"/>
      <c r="DB254" s="100"/>
      <c r="DC254" s="100"/>
      <c r="DD254" s="100"/>
      <c r="DE254" s="100"/>
      <c r="DF254" s="100"/>
      <c r="DG254" s="100"/>
      <c r="DH254" s="100"/>
      <c r="DI254" s="100"/>
      <c r="DJ254" s="100"/>
      <c r="DK254" s="100"/>
      <c r="DL254" s="100"/>
      <c r="DM254" s="100"/>
      <c r="DN254" s="100"/>
      <c r="DO254" s="100"/>
      <c r="DP254" s="100"/>
      <c r="DQ254" s="100"/>
      <c r="DR254" s="100"/>
      <c r="DS254" s="100"/>
      <c r="DT254" s="100"/>
      <c r="DU254" s="100"/>
      <c r="DV254" s="100"/>
      <c r="DW254" s="100"/>
      <c r="DX254" s="100"/>
      <c r="DY254" s="100"/>
      <c r="DZ254" s="100"/>
      <c r="EA254" s="100"/>
      <c r="EB254" s="100"/>
      <c r="EC254" s="100"/>
      <c r="ED254" s="100"/>
      <c r="EE254" s="100"/>
      <c r="EF254" s="100"/>
      <c r="EG254" s="100"/>
      <c r="EH254" s="100"/>
      <c r="EI254" s="100"/>
      <c r="EJ254" s="100"/>
      <c r="EK254" s="100"/>
      <c r="EL254" s="100"/>
      <c r="EM254" s="100"/>
      <c r="EN254" s="100"/>
      <c r="EO254" s="100"/>
      <c r="EP254" s="100"/>
      <c r="EQ254" s="100"/>
      <c r="ER254" s="100"/>
      <c r="ES254" s="100"/>
      <c r="ET254" s="100"/>
      <c r="EU254" s="100"/>
      <c r="EV254" s="100"/>
      <c r="EW254" s="100"/>
      <c r="EX254" s="100"/>
      <c r="EY254" s="100"/>
      <c r="EZ254" s="100"/>
      <c r="FA254" s="100"/>
      <c r="FB254" s="100"/>
      <c r="FC254" s="100"/>
      <c r="FD254" s="100"/>
      <c r="FE254" s="100"/>
      <c r="FF254" s="100"/>
      <c r="FG254" s="100"/>
      <c r="FH254" s="100"/>
      <c r="FI254" s="100"/>
      <c r="FJ254" s="100"/>
      <c r="FK254" s="100"/>
      <c r="FL254" s="100"/>
      <c r="FM254" s="100"/>
      <c r="FN254" s="100"/>
      <c r="FO254" s="100"/>
      <c r="FP254" s="100"/>
      <c r="FQ254" s="100"/>
      <c r="FR254" s="100"/>
      <c r="FS254" s="100"/>
      <c r="FT254" s="100"/>
      <c r="FU254" s="100"/>
      <c r="FV254" s="100"/>
      <c r="FW254" s="100"/>
      <c r="FX254" s="100"/>
      <c r="FY254" s="100"/>
      <c r="FZ254" s="100"/>
      <c r="GA254" s="100"/>
      <c r="GB254" s="100"/>
      <c r="GC254" s="100"/>
      <c r="GD254" s="100"/>
      <c r="GE254" s="100"/>
      <c r="GF254" s="100"/>
      <c r="GG254" s="100"/>
      <c r="GH254" s="100"/>
      <c r="GI254" s="100"/>
      <c r="GJ254" s="100"/>
      <c r="GK254" s="100"/>
      <c r="GL254" s="100"/>
      <c r="GM254" s="100"/>
      <c r="GN254" s="100"/>
      <c r="GO254" s="100"/>
      <c r="GP254" s="100"/>
      <c r="GQ254" s="100"/>
      <c r="GR254" s="100"/>
      <c r="GS254" s="100"/>
      <c r="GT254" s="100"/>
      <c r="GU254" s="100"/>
      <c r="GV254" s="100"/>
      <c r="GW254" s="100"/>
      <c r="GX254" s="100"/>
      <c r="GY254" s="100"/>
      <c r="GZ254" s="100"/>
      <c r="HA254" s="100"/>
      <c r="HB254" s="100"/>
      <c r="HC254" s="100"/>
      <c r="HD254" s="100"/>
      <c r="HE254" s="100"/>
      <c r="HF254" s="100"/>
      <c r="HG254" s="100"/>
      <c r="HH254" s="100"/>
      <c r="HI254" s="100"/>
      <c r="HJ254" s="100"/>
      <c r="HK254" s="100"/>
      <c r="HL254" s="100"/>
      <c r="HM254" s="100"/>
      <c r="HN254" s="100"/>
      <c r="HO254" s="100"/>
      <c r="HP254" s="100"/>
      <c r="HQ254" s="100"/>
      <c r="HR254" s="100"/>
      <c r="HS254" s="100"/>
      <c r="HT254" s="100"/>
      <c r="HU254" s="100"/>
      <c r="HV254" s="100"/>
      <c r="HW254" s="100"/>
      <c r="HX254" s="100"/>
      <c r="HY254" s="100"/>
      <c r="HZ254" s="100"/>
    </row>
    <row r="255" customFormat="false" ht="12.8" hidden="false" customHeight="false" outlineLevel="0" collapsed="false">
      <c r="A255" s="100"/>
      <c r="B255" s="100"/>
      <c r="C255" s="100"/>
      <c r="D255" s="100"/>
      <c r="E255" s="100"/>
      <c r="F255" s="100"/>
      <c r="G255" s="163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63"/>
      <c r="AJ255" s="100"/>
      <c r="AK255" s="100"/>
      <c r="AL255" s="163"/>
      <c r="AM255" s="100"/>
      <c r="AN255" s="100"/>
      <c r="AO255" s="100"/>
      <c r="AP255" s="100"/>
      <c r="AQ255" s="100"/>
      <c r="AR255" s="100"/>
      <c r="AS255" s="100"/>
      <c r="AT255" s="100"/>
      <c r="AU255" s="100"/>
      <c r="AV255" s="100"/>
      <c r="AW255" s="100"/>
      <c r="AX255" s="100"/>
      <c r="AY255" s="100"/>
      <c r="AZ255" s="100"/>
      <c r="BA255" s="100"/>
      <c r="BB255" s="100"/>
      <c r="BC255" s="100"/>
      <c r="BD255" s="100"/>
      <c r="BE255" s="100"/>
      <c r="BF255" s="100"/>
      <c r="BG255" s="100"/>
      <c r="BH255" s="100"/>
      <c r="BI255" s="100"/>
      <c r="BJ255" s="100"/>
      <c r="BK255" s="100"/>
      <c r="BL255" s="100"/>
      <c r="BM255" s="100"/>
      <c r="BN255" s="100"/>
      <c r="BO255" s="100"/>
      <c r="BP255" s="100"/>
      <c r="BQ255" s="100"/>
      <c r="BR255" s="100"/>
      <c r="BS255" s="100"/>
      <c r="BT255" s="100"/>
      <c r="BU255" s="100"/>
      <c r="BV255" s="100"/>
      <c r="BW255" s="100"/>
      <c r="BX255" s="100"/>
      <c r="BY255" s="100"/>
      <c r="BZ255" s="100"/>
      <c r="CA255" s="100"/>
      <c r="CB255" s="100"/>
      <c r="CC255" s="100"/>
      <c r="CD255" s="100"/>
      <c r="CE255" s="100"/>
      <c r="CF255" s="100"/>
      <c r="CG255" s="100"/>
      <c r="CH255" s="100"/>
      <c r="CI255" s="100"/>
      <c r="CJ255" s="120"/>
      <c r="CK255" s="120"/>
      <c r="CL255" s="120"/>
      <c r="CM255" s="120"/>
      <c r="CN255" s="120"/>
      <c r="CO255" s="120"/>
      <c r="CP255" s="120"/>
      <c r="CQ255" s="100"/>
      <c r="CR255" s="100"/>
      <c r="CS255" s="100"/>
      <c r="CT255" s="100"/>
      <c r="CU255" s="100"/>
      <c r="CV255" s="100"/>
      <c r="CW255" s="100"/>
      <c r="CX255" s="100"/>
      <c r="CY255" s="100"/>
      <c r="CZ255" s="100"/>
      <c r="DA255" s="100"/>
      <c r="DB255" s="100"/>
      <c r="DC255" s="100"/>
      <c r="DD255" s="100"/>
      <c r="DE255" s="100"/>
      <c r="DF255" s="100"/>
      <c r="DG255" s="100"/>
      <c r="DH255" s="100"/>
      <c r="DI255" s="100"/>
      <c r="DJ255" s="100"/>
      <c r="DK255" s="100"/>
      <c r="DL255" s="100"/>
      <c r="DM255" s="100"/>
      <c r="DN255" s="100"/>
      <c r="DO255" s="100"/>
      <c r="DP255" s="100"/>
      <c r="DQ255" s="100"/>
      <c r="DR255" s="100"/>
      <c r="DS255" s="100"/>
      <c r="DT255" s="100"/>
      <c r="DU255" s="100"/>
      <c r="DV255" s="100"/>
      <c r="DW255" s="100"/>
      <c r="DX255" s="100"/>
      <c r="DY255" s="100"/>
      <c r="DZ255" s="100"/>
      <c r="EA255" s="100"/>
      <c r="EB255" s="100"/>
      <c r="EC255" s="100"/>
      <c r="ED255" s="100"/>
      <c r="EE255" s="100"/>
      <c r="EF255" s="100"/>
      <c r="EG255" s="100"/>
      <c r="EH255" s="100"/>
      <c r="EI255" s="100"/>
      <c r="EJ255" s="100"/>
      <c r="EK255" s="100"/>
      <c r="EL255" s="100"/>
      <c r="EM255" s="100"/>
      <c r="EN255" s="100"/>
      <c r="EO255" s="100"/>
      <c r="EP255" s="100"/>
      <c r="EQ255" s="100"/>
      <c r="ER255" s="100"/>
      <c r="ES255" s="100"/>
      <c r="ET255" s="100"/>
      <c r="EU255" s="100"/>
      <c r="EV255" s="100"/>
      <c r="EW255" s="100"/>
      <c r="EX255" s="100"/>
      <c r="EY255" s="100"/>
      <c r="EZ255" s="100"/>
      <c r="FA255" s="100"/>
      <c r="FB255" s="100"/>
      <c r="FC255" s="100"/>
      <c r="FD255" s="100"/>
      <c r="FE255" s="100"/>
      <c r="FF255" s="100"/>
      <c r="FG255" s="100"/>
      <c r="FH255" s="100"/>
      <c r="FI255" s="100"/>
      <c r="FJ255" s="100"/>
      <c r="FK255" s="100"/>
      <c r="FL255" s="100"/>
      <c r="FM255" s="100"/>
      <c r="FN255" s="100"/>
      <c r="FO255" s="100"/>
      <c r="FP255" s="100"/>
      <c r="FQ255" s="100"/>
      <c r="FR255" s="100"/>
      <c r="FS255" s="100"/>
      <c r="FT255" s="100"/>
      <c r="FU255" s="100"/>
      <c r="FV255" s="100"/>
      <c r="FW255" s="100"/>
      <c r="FX255" s="100"/>
      <c r="FY255" s="100"/>
      <c r="FZ255" s="100"/>
      <c r="GA255" s="100"/>
      <c r="GB255" s="100"/>
      <c r="GC255" s="100"/>
      <c r="GD255" s="100"/>
      <c r="GE255" s="100"/>
      <c r="GF255" s="100"/>
      <c r="GG255" s="100"/>
      <c r="GH255" s="100"/>
      <c r="GI255" s="100"/>
      <c r="GJ255" s="100"/>
      <c r="GK255" s="100"/>
      <c r="GL255" s="100"/>
      <c r="GM255" s="100"/>
      <c r="GN255" s="100"/>
      <c r="GO255" s="100"/>
      <c r="GP255" s="100"/>
      <c r="GQ255" s="100"/>
      <c r="GR255" s="100"/>
      <c r="GS255" s="100"/>
      <c r="GT255" s="100"/>
      <c r="GU255" s="100"/>
      <c r="GV255" s="100"/>
      <c r="GW255" s="100"/>
      <c r="GX255" s="100"/>
      <c r="GY255" s="100"/>
      <c r="GZ255" s="100"/>
      <c r="HA255" s="100"/>
      <c r="HB255" s="100"/>
      <c r="HC255" s="100"/>
      <c r="HD255" s="100"/>
      <c r="HE255" s="100"/>
      <c r="HF255" s="100"/>
      <c r="HG255" s="100"/>
      <c r="HH255" s="100"/>
      <c r="HI255" s="100"/>
      <c r="HJ255" s="100"/>
      <c r="HK255" s="100"/>
      <c r="HL255" s="100"/>
      <c r="HM255" s="100"/>
      <c r="HN255" s="100"/>
      <c r="HO255" s="100"/>
      <c r="HP255" s="100"/>
      <c r="HQ255" s="100"/>
      <c r="HR255" s="100"/>
      <c r="HS255" s="100"/>
      <c r="HT255" s="100"/>
      <c r="HU255" s="100"/>
      <c r="HV255" s="100"/>
      <c r="HW255" s="100"/>
      <c r="HX255" s="100"/>
      <c r="HY255" s="100"/>
      <c r="HZ255" s="100"/>
    </row>
    <row r="256" customFormat="false" ht="12.8" hidden="false" customHeight="false" outlineLevel="0" collapsed="false">
      <c r="A256" s="100"/>
      <c r="B256" s="100"/>
      <c r="C256" s="100"/>
      <c r="D256" s="100"/>
      <c r="E256" s="100"/>
      <c r="F256" s="100"/>
      <c r="G256" s="163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63"/>
      <c r="AJ256" s="100"/>
      <c r="AK256" s="100"/>
      <c r="AL256" s="163"/>
      <c r="AM256" s="100"/>
      <c r="AN256" s="100"/>
      <c r="AO256" s="100"/>
      <c r="AP256" s="100"/>
      <c r="AQ256" s="100"/>
      <c r="AR256" s="100"/>
      <c r="AS256" s="100"/>
      <c r="AT256" s="100"/>
      <c r="AU256" s="100"/>
      <c r="AV256" s="100"/>
      <c r="AW256" s="100"/>
      <c r="AX256" s="100"/>
      <c r="AY256" s="100"/>
      <c r="AZ256" s="100"/>
      <c r="BA256" s="100"/>
      <c r="BB256" s="100"/>
      <c r="BC256" s="100"/>
      <c r="BD256" s="100"/>
      <c r="BE256" s="100"/>
      <c r="BF256" s="100"/>
      <c r="BG256" s="100"/>
      <c r="BH256" s="100"/>
      <c r="BI256" s="100"/>
      <c r="BJ256" s="100"/>
      <c r="BK256" s="100"/>
      <c r="BL256" s="100"/>
      <c r="BM256" s="100"/>
      <c r="BN256" s="100"/>
      <c r="BO256" s="100"/>
      <c r="BP256" s="100"/>
      <c r="BQ256" s="100"/>
      <c r="BR256" s="100"/>
      <c r="BS256" s="100"/>
      <c r="BT256" s="100"/>
      <c r="BU256" s="100"/>
      <c r="BV256" s="100"/>
      <c r="BW256" s="100"/>
      <c r="BX256" s="100"/>
      <c r="BY256" s="100"/>
      <c r="BZ256" s="100"/>
      <c r="CA256" s="100"/>
      <c r="CB256" s="100"/>
      <c r="CC256" s="100"/>
      <c r="CD256" s="100"/>
      <c r="CE256" s="100"/>
      <c r="CF256" s="100"/>
      <c r="CG256" s="100"/>
      <c r="CH256" s="100"/>
      <c r="CI256" s="100"/>
      <c r="CJ256" s="120"/>
      <c r="CK256" s="120"/>
      <c r="CL256" s="120"/>
      <c r="CM256" s="120"/>
      <c r="CN256" s="120"/>
      <c r="CO256" s="120"/>
      <c r="CP256" s="120"/>
      <c r="CQ256" s="100"/>
      <c r="CR256" s="100"/>
      <c r="CS256" s="100"/>
      <c r="CT256" s="100"/>
      <c r="CU256" s="100"/>
      <c r="CV256" s="100"/>
      <c r="CW256" s="100"/>
      <c r="CX256" s="100"/>
      <c r="CY256" s="100"/>
      <c r="CZ256" s="100"/>
      <c r="DA256" s="100"/>
      <c r="DB256" s="100"/>
      <c r="DC256" s="100"/>
      <c r="DD256" s="100"/>
      <c r="DE256" s="100"/>
      <c r="DF256" s="100"/>
      <c r="DG256" s="100"/>
      <c r="DH256" s="100"/>
      <c r="DI256" s="100"/>
      <c r="DJ256" s="100"/>
      <c r="DK256" s="100"/>
      <c r="DL256" s="100"/>
      <c r="DM256" s="100"/>
      <c r="DN256" s="100"/>
      <c r="DO256" s="100"/>
      <c r="DP256" s="100"/>
      <c r="DQ256" s="100"/>
      <c r="DR256" s="100"/>
      <c r="DS256" s="100"/>
      <c r="DT256" s="100"/>
      <c r="DU256" s="100"/>
      <c r="DV256" s="100"/>
      <c r="DW256" s="100"/>
      <c r="DX256" s="100"/>
      <c r="DY256" s="100"/>
      <c r="DZ256" s="100"/>
      <c r="EA256" s="100"/>
      <c r="EB256" s="100"/>
      <c r="EC256" s="100"/>
      <c r="ED256" s="100"/>
      <c r="EE256" s="100"/>
      <c r="EF256" s="100"/>
      <c r="EG256" s="100"/>
      <c r="EH256" s="100"/>
      <c r="EI256" s="100"/>
      <c r="EJ256" s="100"/>
      <c r="EK256" s="100"/>
      <c r="EL256" s="100"/>
      <c r="EM256" s="100"/>
      <c r="EN256" s="100"/>
      <c r="EO256" s="100"/>
      <c r="EP256" s="100"/>
      <c r="EQ256" s="100"/>
      <c r="ER256" s="100"/>
      <c r="ES256" s="100"/>
      <c r="ET256" s="100"/>
      <c r="EU256" s="100"/>
      <c r="EV256" s="100"/>
      <c r="EW256" s="100"/>
      <c r="EX256" s="100"/>
      <c r="EY256" s="100"/>
      <c r="EZ256" s="100"/>
      <c r="FA256" s="100"/>
      <c r="FB256" s="100"/>
      <c r="FC256" s="100"/>
      <c r="FD256" s="100"/>
      <c r="FE256" s="100"/>
      <c r="FF256" s="100"/>
      <c r="FG256" s="100"/>
      <c r="FH256" s="100"/>
      <c r="FI256" s="100"/>
      <c r="FJ256" s="100"/>
      <c r="FK256" s="100"/>
      <c r="FL256" s="100"/>
      <c r="FM256" s="100"/>
      <c r="FN256" s="100"/>
      <c r="FO256" s="100"/>
      <c r="FP256" s="100"/>
      <c r="FQ256" s="100"/>
      <c r="FR256" s="100"/>
      <c r="FS256" s="100"/>
      <c r="FT256" s="100"/>
      <c r="FU256" s="100"/>
      <c r="FV256" s="100"/>
      <c r="FW256" s="100"/>
      <c r="FX256" s="100"/>
      <c r="FY256" s="100"/>
      <c r="FZ256" s="100"/>
      <c r="GA256" s="100"/>
      <c r="GB256" s="100"/>
      <c r="GC256" s="100"/>
      <c r="GD256" s="100"/>
      <c r="GE256" s="100"/>
      <c r="GF256" s="100"/>
      <c r="GG256" s="100"/>
      <c r="GH256" s="100"/>
      <c r="GI256" s="100"/>
      <c r="GJ256" s="100"/>
      <c r="GK256" s="100"/>
      <c r="GL256" s="100"/>
      <c r="GM256" s="100"/>
      <c r="GN256" s="100"/>
      <c r="GO256" s="100"/>
      <c r="GP256" s="100"/>
      <c r="GQ256" s="100"/>
      <c r="GR256" s="100"/>
      <c r="GS256" s="100"/>
      <c r="GT256" s="100"/>
      <c r="GU256" s="100"/>
      <c r="GV256" s="100"/>
      <c r="GW256" s="100"/>
      <c r="GX256" s="100"/>
      <c r="GY256" s="100"/>
      <c r="GZ256" s="100"/>
      <c r="HA256" s="100"/>
      <c r="HB256" s="100"/>
      <c r="HC256" s="100"/>
      <c r="HD256" s="100"/>
      <c r="HE256" s="100"/>
      <c r="HF256" s="100"/>
      <c r="HG256" s="100"/>
      <c r="HH256" s="100"/>
      <c r="HI256" s="100"/>
      <c r="HJ256" s="100"/>
      <c r="HK256" s="100"/>
      <c r="HL256" s="100"/>
      <c r="HM256" s="100"/>
      <c r="HN256" s="100"/>
      <c r="HO256" s="100"/>
      <c r="HP256" s="100"/>
      <c r="HQ256" s="100"/>
      <c r="HR256" s="100"/>
      <c r="HS256" s="100"/>
      <c r="HT256" s="100"/>
      <c r="HU256" s="100"/>
      <c r="HV256" s="100"/>
      <c r="HW256" s="100"/>
      <c r="HX256" s="100"/>
      <c r="HY256" s="100"/>
      <c r="HZ256" s="100"/>
    </row>
    <row r="257" customFormat="false" ht="12.8" hidden="false" customHeight="false" outlineLevel="0" collapsed="false">
      <c r="A257" s="100"/>
      <c r="B257" s="100"/>
      <c r="C257" s="100"/>
      <c r="D257" s="100"/>
      <c r="E257" s="100"/>
      <c r="F257" s="100"/>
      <c r="G257" s="163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63"/>
      <c r="AJ257" s="100"/>
      <c r="AK257" s="100"/>
      <c r="AL257" s="163"/>
      <c r="AM257" s="100"/>
      <c r="AN257" s="100"/>
      <c r="AO257" s="100"/>
      <c r="AP257" s="100"/>
      <c r="AQ257" s="100"/>
      <c r="AR257" s="100"/>
      <c r="AS257" s="100"/>
      <c r="AT257" s="100"/>
      <c r="AU257" s="100"/>
      <c r="AV257" s="100"/>
      <c r="AW257" s="100"/>
      <c r="AX257" s="100"/>
      <c r="AY257" s="100"/>
      <c r="AZ257" s="100"/>
      <c r="BA257" s="100"/>
      <c r="BB257" s="100"/>
      <c r="BC257" s="100"/>
      <c r="BD257" s="100"/>
      <c r="BE257" s="100"/>
      <c r="BF257" s="100"/>
      <c r="BG257" s="100"/>
      <c r="BH257" s="100"/>
      <c r="BI257" s="100"/>
      <c r="BJ257" s="100"/>
      <c r="BK257" s="100"/>
      <c r="BL257" s="100"/>
      <c r="BM257" s="100"/>
      <c r="BN257" s="100"/>
      <c r="BO257" s="100"/>
      <c r="BP257" s="100"/>
      <c r="BQ257" s="100"/>
      <c r="BR257" s="100"/>
      <c r="BS257" s="100"/>
      <c r="BT257" s="100"/>
      <c r="BU257" s="100"/>
      <c r="BV257" s="100"/>
      <c r="BW257" s="100"/>
      <c r="BX257" s="100"/>
      <c r="BY257" s="100"/>
      <c r="BZ257" s="100"/>
      <c r="CA257" s="100"/>
      <c r="CB257" s="100"/>
      <c r="CC257" s="100"/>
      <c r="CD257" s="100"/>
      <c r="CE257" s="100"/>
      <c r="CF257" s="100"/>
      <c r="CG257" s="100"/>
      <c r="CH257" s="100"/>
      <c r="CI257" s="100"/>
      <c r="CJ257" s="120"/>
      <c r="CK257" s="120"/>
      <c r="CL257" s="120"/>
      <c r="CM257" s="120"/>
      <c r="CN257" s="120"/>
      <c r="CO257" s="120"/>
      <c r="CP257" s="120"/>
      <c r="CQ257" s="100"/>
      <c r="CR257" s="100"/>
      <c r="CS257" s="100"/>
      <c r="CT257" s="100"/>
      <c r="CU257" s="100"/>
      <c r="CV257" s="100"/>
      <c r="CW257" s="100"/>
      <c r="CX257" s="100"/>
      <c r="CY257" s="100"/>
      <c r="CZ257" s="100"/>
      <c r="DA257" s="100"/>
      <c r="DB257" s="100"/>
      <c r="DC257" s="100"/>
      <c r="DD257" s="100"/>
      <c r="DE257" s="100"/>
      <c r="DF257" s="100"/>
      <c r="DG257" s="100"/>
      <c r="DH257" s="100"/>
      <c r="DI257" s="100"/>
      <c r="DJ257" s="100"/>
      <c r="DK257" s="100"/>
      <c r="DL257" s="100"/>
      <c r="DM257" s="100"/>
      <c r="DN257" s="100"/>
      <c r="DO257" s="100"/>
      <c r="DP257" s="100"/>
      <c r="DQ257" s="100"/>
      <c r="DR257" s="100"/>
      <c r="DS257" s="100"/>
      <c r="DT257" s="100"/>
      <c r="DU257" s="100"/>
      <c r="DV257" s="100"/>
      <c r="DW257" s="100"/>
      <c r="DX257" s="100"/>
      <c r="DY257" s="100"/>
      <c r="DZ257" s="100"/>
      <c r="EA257" s="100"/>
      <c r="EB257" s="100"/>
      <c r="EC257" s="100"/>
      <c r="ED257" s="100"/>
      <c r="EE257" s="100"/>
      <c r="EF257" s="100"/>
      <c r="EG257" s="100"/>
      <c r="EH257" s="100"/>
      <c r="EI257" s="100"/>
      <c r="EJ257" s="100"/>
      <c r="EK257" s="100"/>
      <c r="EL257" s="100"/>
      <c r="EM257" s="100"/>
      <c r="EN257" s="100"/>
      <c r="EO257" s="100"/>
      <c r="EP257" s="100"/>
      <c r="EQ257" s="100"/>
      <c r="ER257" s="100"/>
      <c r="ES257" s="100"/>
      <c r="ET257" s="100"/>
      <c r="EU257" s="100"/>
      <c r="EV257" s="100"/>
      <c r="EW257" s="100"/>
      <c r="EX257" s="100"/>
      <c r="EY257" s="100"/>
      <c r="EZ257" s="100"/>
      <c r="FA257" s="100"/>
      <c r="FB257" s="100"/>
      <c r="FC257" s="100"/>
      <c r="FD257" s="100"/>
      <c r="FE257" s="100"/>
      <c r="FF257" s="100"/>
      <c r="FG257" s="100"/>
      <c r="FH257" s="100"/>
      <c r="FI257" s="100"/>
      <c r="FJ257" s="100"/>
      <c r="FK257" s="100"/>
      <c r="FL257" s="100"/>
      <c r="FM257" s="100"/>
      <c r="FN257" s="100"/>
      <c r="FO257" s="100"/>
      <c r="FP257" s="100"/>
      <c r="FQ257" s="100"/>
      <c r="FR257" s="100"/>
      <c r="FS257" s="100"/>
      <c r="FT257" s="100"/>
      <c r="FU257" s="100"/>
      <c r="FV257" s="100"/>
      <c r="FW257" s="100"/>
      <c r="FX257" s="100"/>
      <c r="FY257" s="100"/>
      <c r="FZ257" s="100"/>
      <c r="GA257" s="100"/>
      <c r="GB257" s="100"/>
      <c r="GC257" s="100"/>
      <c r="GD257" s="100"/>
      <c r="GE257" s="100"/>
      <c r="GF257" s="100"/>
      <c r="GG257" s="100"/>
      <c r="GH257" s="100"/>
      <c r="GI257" s="100"/>
      <c r="GJ257" s="100"/>
      <c r="GK257" s="100"/>
      <c r="GL257" s="100"/>
      <c r="GM257" s="100"/>
      <c r="GN257" s="100"/>
      <c r="GO257" s="100"/>
      <c r="GP257" s="100"/>
      <c r="GQ257" s="100"/>
      <c r="GR257" s="100"/>
      <c r="GS257" s="100"/>
      <c r="GT257" s="100"/>
      <c r="GU257" s="100"/>
      <c r="GV257" s="100"/>
      <c r="GW257" s="100"/>
      <c r="GX257" s="100"/>
      <c r="GY257" s="100"/>
      <c r="GZ257" s="100"/>
      <c r="HA257" s="100"/>
      <c r="HB257" s="100"/>
      <c r="HC257" s="100"/>
      <c r="HD257" s="100"/>
      <c r="HE257" s="100"/>
      <c r="HF257" s="100"/>
      <c r="HG257" s="100"/>
      <c r="HH257" s="100"/>
      <c r="HI257" s="100"/>
      <c r="HJ257" s="100"/>
      <c r="HK257" s="100"/>
      <c r="HL257" s="100"/>
      <c r="HM257" s="100"/>
      <c r="HN257" s="100"/>
      <c r="HO257" s="100"/>
      <c r="HP257" s="100"/>
      <c r="HQ257" s="100"/>
      <c r="HR257" s="100"/>
      <c r="HS257" s="100"/>
      <c r="HT257" s="100"/>
      <c r="HU257" s="100"/>
      <c r="HV257" s="100"/>
      <c r="HW257" s="100"/>
      <c r="HX257" s="100"/>
      <c r="HY257" s="100"/>
      <c r="HZ257" s="100"/>
    </row>
    <row r="258" customFormat="false" ht="12.8" hidden="false" customHeight="false" outlineLevel="0" collapsed="false">
      <c r="A258" s="100"/>
      <c r="B258" s="100"/>
      <c r="C258" s="100"/>
      <c r="D258" s="100"/>
      <c r="E258" s="100"/>
      <c r="F258" s="100"/>
      <c r="G258" s="163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63"/>
      <c r="AJ258" s="100"/>
      <c r="AK258" s="100"/>
      <c r="AL258" s="163"/>
      <c r="AM258" s="100"/>
      <c r="AN258" s="100"/>
      <c r="AO258" s="100"/>
      <c r="AP258" s="100"/>
      <c r="AQ258" s="100"/>
      <c r="AR258" s="100"/>
      <c r="AS258" s="100"/>
      <c r="AT258" s="100"/>
      <c r="AU258" s="100"/>
      <c r="AV258" s="100"/>
      <c r="AW258" s="100"/>
      <c r="AX258" s="100"/>
      <c r="AY258" s="100"/>
      <c r="AZ258" s="100"/>
      <c r="BA258" s="100"/>
      <c r="BB258" s="100"/>
      <c r="BC258" s="100"/>
      <c r="BD258" s="100"/>
      <c r="BE258" s="100"/>
      <c r="BF258" s="100"/>
      <c r="BG258" s="100"/>
      <c r="BH258" s="100"/>
      <c r="BI258" s="100"/>
      <c r="BJ258" s="100"/>
      <c r="BK258" s="100"/>
      <c r="BL258" s="100"/>
      <c r="BM258" s="100"/>
      <c r="BN258" s="100"/>
      <c r="BO258" s="100"/>
      <c r="BP258" s="100"/>
      <c r="BQ258" s="100"/>
      <c r="BR258" s="100"/>
      <c r="BS258" s="100"/>
      <c r="BT258" s="100"/>
      <c r="BU258" s="100"/>
      <c r="BV258" s="100"/>
      <c r="BW258" s="100"/>
      <c r="BX258" s="100"/>
      <c r="BY258" s="100"/>
      <c r="BZ258" s="100"/>
      <c r="CA258" s="100"/>
      <c r="CB258" s="100"/>
      <c r="CC258" s="100"/>
      <c r="CD258" s="100"/>
      <c r="CE258" s="100"/>
      <c r="CF258" s="100"/>
      <c r="CG258" s="100"/>
      <c r="CH258" s="100"/>
      <c r="CI258" s="100"/>
      <c r="CJ258" s="120"/>
      <c r="CK258" s="120"/>
      <c r="CL258" s="120"/>
      <c r="CM258" s="120"/>
      <c r="CN258" s="120"/>
      <c r="CO258" s="120"/>
      <c r="CP258" s="120"/>
      <c r="CQ258" s="100"/>
      <c r="CR258" s="100"/>
      <c r="CS258" s="100"/>
      <c r="CT258" s="100"/>
      <c r="CU258" s="100"/>
      <c r="CV258" s="100"/>
      <c r="CW258" s="100"/>
      <c r="CX258" s="100"/>
      <c r="CY258" s="100"/>
      <c r="CZ258" s="100"/>
      <c r="DA258" s="100"/>
      <c r="DB258" s="100"/>
      <c r="DC258" s="100"/>
      <c r="DD258" s="100"/>
      <c r="DE258" s="100"/>
      <c r="DF258" s="100"/>
      <c r="DG258" s="100"/>
      <c r="DH258" s="100"/>
      <c r="DI258" s="100"/>
      <c r="DJ258" s="100"/>
      <c r="DK258" s="100"/>
      <c r="DL258" s="100"/>
      <c r="DM258" s="100"/>
      <c r="DN258" s="100"/>
      <c r="DO258" s="100"/>
      <c r="DP258" s="100"/>
      <c r="DQ258" s="100"/>
      <c r="DR258" s="100"/>
      <c r="DS258" s="100"/>
      <c r="DT258" s="100"/>
      <c r="DU258" s="100"/>
      <c r="DV258" s="100"/>
      <c r="DW258" s="100"/>
      <c r="DX258" s="100"/>
      <c r="DY258" s="100"/>
      <c r="DZ258" s="100"/>
      <c r="EA258" s="100"/>
      <c r="EB258" s="100"/>
      <c r="EC258" s="100"/>
      <c r="ED258" s="100"/>
      <c r="EE258" s="100"/>
      <c r="EF258" s="100"/>
      <c r="EG258" s="100"/>
      <c r="EH258" s="100"/>
      <c r="EI258" s="100"/>
      <c r="EJ258" s="100"/>
      <c r="EK258" s="100"/>
      <c r="EL258" s="100"/>
      <c r="EM258" s="100"/>
      <c r="EN258" s="100"/>
      <c r="EO258" s="100"/>
      <c r="EP258" s="100"/>
      <c r="EQ258" s="100"/>
      <c r="ER258" s="100"/>
      <c r="ES258" s="100"/>
      <c r="ET258" s="100"/>
      <c r="EU258" s="100"/>
      <c r="EV258" s="100"/>
      <c r="EW258" s="100"/>
      <c r="EX258" s="100"/>
      <c r="EY258" s="100"/>
      <c r="EZ258" s="100"/>
      <c r="FA258" s="100"/>
      <c r="FB258" s="100"/>
      <c r="FC258" s="100"/>
      <c r="FD258" s="100"/>
      <c r="FE258" s="100"/>
      <c r="FF258" s="100"/>
      <c r="FG258" s="100"/>
      <c r="FH258" s="100"/>
      <c r="FI258" s="100"/>
      <c r="FJ258" s="100"/>
      <c r="FK258" s="100"/>
      <c r="FL258" s="100"/>
      <c r="FM258" s="100"/>
      <c r="FN258" s="100"/>
      <c r="FO258" s="100"/>
      <c r="FP258" s="100"/>
      <c r="FQ258" s="100"/>
      <c r="FR258" s="100"/>
      <c r="FS258" s="100"/>
      <c r="FT258" s="100"/>
      <c r="FU258" s="100"/>
      <c r="FV258" s="100"/>
      <c r="FW258" s="100"/>
      <c r="FX258" s="100"/>
      <c r="FY258" s="100"/>
      <c r="FZ258" s="100"/>
      <c r="GA258" s="100"/>
      <c r="GB258" s="100"/>
      <c r="GC258" s="100"/>
      <c r="GD258" s="100"/>
      <c r="GE258" s="100"/>
      <c r="GF258" s="100"/>
      <c r="GG258" s="100"/>
      <c r="GH258" s="100"/>
      <c r="GI258" s="100"/>
      <c r="GJ258" s="100"/>
      <c r="GK258" s="100"/>
      <c r="GL258" s="100"/>
      <c r="GM258" s="100"/>
      <c r="GN258" s="100"/>
      <c r="GO258" s="100"/>
      <c r="GP258" s="100"/>
      <c r="GQ258" s="100"/>
      <c r="GR258" s="100"/>
      <c r="GS258" s="100"/>
      <c r="GT258" s="100"/>
      <c r="GU258" s="100"/>
      <c r="GV258" s="100"/>
      <c r="GW258" s="100"/>
      <c r="GX258" s="100"/>
      <c r="GY258" s="100"/>
      <c r="GZ258" s="100"/>
      <c r="HA258" s="100"/>
      <c r="HB258" s="100"/>
      <c r="HC258" s="100"/>
      <c r="HD258" s="100"/>
      <c r="HE258" s="100"/>
      <c r="HF258" s="100"/>
      <c r="HG258" s="100"/>
      <c r="HH258" s="100"/>
      <c r="HI258" s="100"/>
      <c r="HJ258" s="100"/>
      <c r="HK258" s="100"/>
      <c r="HL258" s="100"/>
      <c r="HM258" s="100"/>
      <c r="HN258" s="100"/>
      <c r="HO258" s="100"/>
      <c r="HP258" s="100"/>
      <c r="HQ258" s="100"/>
      <c r="HR258" s="100"/>
      <c r="HS258" s="100"/>
      <c r="HT258" s="100"/>
      <c r="HU258" s="100"/>
      <c r="HV258" s="100"/>
      <c r="HW258" s="100"/>
      <c r="HX258" s="100"/>
      <c r="HY258" s="100"/>
      <c r="HZ258" s="100"/>
    </row>
    <row r="259" customFormat="false" ht="12.8" hidden="false" customHeight="false" outlineLevel="0" collapsed="false">
      <c r="A259" s="100"/>
      <c r="B259" s="100"/>
      <c r="C259" s="100"/>
      <c r="D259" s="100"/>
      <c r="E259" s="100"/>
      <c r="F259" s="100"/>
      <c r="G259" s="163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63"/>
      <c r="AJ259" s="100"/>
      <c r="AK259" s="100"/>
      <c r="AL259" s="163"/>
      <c r="AM259" s="100"/>
      <c r="AN259" s="100"/>
      <c r="AO259" s="100"/>
      <c r="AP259" s="100"/>
      <c r="AQ259" s="100"/>
      <c r="AR259" s="100"/>
      <c r="AS259" s="100"/>
      <c r="AT259" s="100"/>
      <c r="AU259" s="100"/>
      <c r="AV259" s="100"/>
      <c r="AW259" s="100"/>
      <c r="AX259" s="100"/>
      <c r="AY259" s="100"/>
      <c r="AZ259" s="100"/>
      <c r="BA259" s="100"/>
      <c r="BB259" s="100"/>
      <c r="BC259" s="100"/>
      <c r="BD259" s="100"/>
      <c r="BE259" s="100"/>
      <c r="BF259" s="100"/>
      <c r="BG259" s="100"/>
      <c r="BH259" s="100"/>
      <c r="BI259" s="100"/>
      <c r="BJ259" s="100"/>
      <c r="BK259" s="100"/>
      <c r="BL259" s="100"/>
      <c r="BM259" s="100"/>
      <c r="BN259" s="100"/>
      <c r="BO259" s="100"/>
      <c r="BP259" s="100"/>
      <c r="BQ259" s="100"/>
      <c r="BR259" s="100"/>
      <c r="BS259" s="100"/>
      <c r="BT259" s="100"/>
      <c r="BU259" s="100"/>
      <c r="BV259" s="100"/>
      <c r="BW259" s="100"/>
      <c r="BX259" s="100"/>
      <c r="BY259" s="100"/>
      <c r="BZ259" s="100"/>
      <c r="CA259" s="100"/>
      <c r="CB259" s="100"/>
      <c r="CC259" s="100"/>
      <c r="CD259" s="100"/>
      <c r="CE259" s="100"/>
      <c r="CF259" s="100"/>
      <c r="CG259" s="100"/>
      <c r="CH259" s="100"/>
      <c r="CI259" s="100"/>
      <c r="CJ259" s="120"/>
      <c r="CK259" s="120"/>
      <c r="CL259" s="120"/>
      <c r="CM259" s="120"/>
      <c r="CN259" s="120"/>
      <c r="CO259" s="120"/>
      <c r="CP259" s="120"/>
      <c r="CQ259" s="100"/>
      <c r="CR259" s="100"/>
      <c r="CS259" s="100"/>
      <c r="CT259" s="100"/>
      <c r="CU259" s="100"/>
      <c r="CV259" s="100"/>
      <c r="CW259" s="100"/>
      <c r="CX259" s="100"/>
      <c r="CY259" s="100"/>
      <c r="CZ259" s="100"/>
      <c r="DA259" s="100"/>
      <c r="DB259" s="100"/>
      <c r="DC259" s="100"/>
      <c r="DD259" s="100"/>
      <c r="DE259" s="100"/>
      <c r="DF259" s="100"/>
      <c r="DG259" s="100"/>
      <c r="DH259" s="100"/>
      <c r="DI259" s="100"/>
      <c r="DJ259" s="100"/>
      <c r="DK259" s="100"/>
      <c r="DL259" s="100"/>
      <c r="DM259" s="100"/>
      <c r="DN259" s="100"/>
      <c r="DO259" s="100"/>
      <c r="DP259" s="100"/>
      <c r="DQ259" s="100"/>
      <c r="DR259" s="100"/>
      <c r="DS259" s="100"/>
      <c r="DT259" s="100"/>
      <c r="DU259" s="100"/>
      <c r="DV259" s="100"/>
      <c r="DW259" s="100"/>
      <c r="DX259" s="100"/>
      <c r="DY259" s="100"/>
      <c r="DZ259" s="100"/>
      <c r="EA259" s="100"/>
      <c r="EB259" s="100"/>
      <c r="EC259" s="100"/>
      <c r="ED259" s="100"/>
      <c r="EE259" s="100"/>
      <c r="EF259" s="100"/>
      <c r="EG259" s="100"/>
      <c r="EH259" s="100"/>
      <c r="EI259" s="100"/>
      <c r="EJ259" s="100"/>
      <c r="EK259" s="100"/>
      <c r="EL259" s="100"/>
      <c r="EM259" s="100"/>
      <c r="EN259" s="100"/>
      <c r="EO259" s="100"/>
      <c r="EP259" s="100"/>
      <c r="EQ259" s="100"/>
      <c r="ER259" s="100"/>
      <c r="ES259" s="100"/>
      <c r="ET259" s="100"/>
      <c r="EU259" s="100"/>
      <c r="EV259" s="100"/>
      <c r="EW259" s="100"/>
      <c r="EX259" s="100"/>
      <c r="EY259" s="100"/>
      <c r="EZ259" s="100"/>
      <c r="FA259" s="100"/>
      <c r="FB259" s="100"/>
      <c r="FC259" s="100"/>
      <c r="FD259" s="100"/>
      <c r="FE259" s="100"/>
      <c r="FF259" s="100"/>
      <c r="FG259" s="100"/>
      <c r="FH259" s="100"/>
      <c r="FI259" s="100"/>
      <c r="FJ259" s="100"/>
      <c r="FK259" s="100"/>
      <c r="FL259" s="100"/>
      <c r="FM259" s="100"/>
      <c r="FN259" s="100"/>
      <c r="FO259" s="100"/>
      <c r="FP259" s="100"/>
      <c r="FQ259" s="100"/>
      <c r="FR259" s="100"/>
      <c r="FS259" s="100"/>
      <c r="FT259" s="100"/>
      <c r="FU259" s="100"/>
      <c r="FV259" s="100"/>
      <c r="FW259" s="100"/>
      <c r="FX259" s="100"/>
      <c r="FY259" s="100"/>
      <c r="FZ259" s="100"/>
      <c r="GA259" s="100"/>
      <c r="GB259" s="100"/>
      <c r="GC259" s="100"/>
      <c r="GD259" s="100"/>
      <c r="GE259" s="100"/>
      <c r="GF259" s="100"/>
      <c r="GG259" s="100"/>
      <c r="GH259" s="100"/>
      <c r="GI259" s="100"/>
      <c r="GJ259" s="100"/>
      <c r="GK259" s="100"/>
      <c r="GL259" s="100"/>
      <c r="GM259" s="100"/>
      <c r="GN259" s="100"/>
      <c r="GO259" s="100"/>
      <c r="GP259" s="100"/>
      <c r="GQ259" s="100"/>
      <c r="GR259" s="100"/>
      <c r="GS259" s="100"/>
      <c r="GT259" s="100"/>
      <c r="GU259" s="100"/>
      <c r="GV259" s="100"/>
      <c r="GW259" s="100"/>
      <c r="GX259" s="100"/>
      <c r="GY259" s="100"/>
      <c r="GZ259" s="100"/>
      <c r="HA259" s="100"/>
      <c r="HB259" s="100"/>
      <c r="HC259" s="100"/>
      <c r="HD259" s="100"/>
      <c r="HE259" s="100"/>
      <c r="HF259" s="100"/>
      <c r="HG259" s="100"/>
      <c r="HH259" s="100"/>
      <c r="HI259" s="100"/>
      <c r="HJ259" s="100"/>
      <c r="HK259" s="100"/>
      <c r="HL259" s="100"/>
      <c r="HM259" s="100"/>
      <c r="HN259" s="100"/>
      <c r="HO259" s="100"/>
      <c r="HP259" s="100"/>
      <c r="HQ259" s="100"/>
      <c r="HR259" s="100"/>
      <c r="HS259" s="100"/>
      <c r="HT259" s="100"/>
      <c r="HU259" s="100"/>
      <c r="HV259" s="100"/>
      <c r="HW259" s="100"/>
      <c r="HX259" s="100"/>
      <c r="HY259" s="100"/>
      <c r="HZ259" s="100"/>
    </row>
    <row r="260" customFormat="false" ht="12.8" hidden="false" customHeight="false" outlineLevel="0" collapsed="false">
      <c r="A260" s="100"/>
      <c r="B260" s="100"/>
      <c r="C260" s="100"/>
      <c r="D260" s="100"/>
      <c r="E260" s="100"/>
      <c r="F260" s="100"/>
      <c r="G260" s="163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63"/>
      <c r="AJ260" s="100"/>
      <c r="AK260" s="100"/>
      <c r="AL260" s="163"/>
      <c r="AM260" s="100"/>
      <c r="AN260" s="100"/>
      <c r="AO260" s="100"/>
      <c r="AP260" s="100"/>
      <c r="AQ260" s="100"/>
      <c r="AR260" s="100"/>
      <c r="AS260" s="100"/>
      <c r="AT260" s="100"/>
      <c r="AU260" s="100"/>
      <c r="AV260" s="100"/>
      <c r="AW260" s="100"/>
      <c r="AX260" s="100"/>
      <c r="AY260" s="100"/>
      <c r="AZ260" s="100"/>
      <c r="BA260" s="100"/>
      <c r="BB260" s="100"/>
      <c r="BC260" s="100"/>
      <c r="BD260" s="100"/>
      <c r="BE260" s="100"/>
      <c r="BF260" s="100"/>
      <c r="BG260" s="100"/>
      <c r="BH260" s="100"/>
      <c r="BI260" s="100"/>
      <c r="BJ260" s="100"/>
      <c r="BK260" s="100"/>
      <c r="BL260" s="100"/>
      <c r="BM260" s="100"/>
      <c r="BN260" s="100"/>
      <c r="BO260" s="100"/>
      <c r="BP260" s="100"/>
      <c r="BQ260" s="100"/>
      <c r="BR260" s="100"/>
      <c r="BS260" s="100"/>
      <c r="BT260" s="100"/>
      <c r="BU260" s="100"/>
      <c r="BV260" s="100"/>
      <c r="BW260" s="100"/>
      <c r="BX260" s="100"/>
      <c r="BY260" s="100"/>
      <c r="BZ260" s="100"/>
      <c r="CA260" s="100"/>
      <c r="CB260" s="100"/>
      <c r="CC260" s="100"/>
      <c r="CD260" s="100"/>
      <c r="CE260" s="100"/>
      <c r="CF260" s="100"/>
      <c r="CG260" s="100"/>
      <c r="CH260" s="100"/>
      <c r="CI260" s="100"/>
      <c r="CJ260" s="120"/>
      <c r="CK260" s="120"/>
      <c r="CL260" s="120"/>
      <c r="CM260" s="120"/>
      <c r="CN260" s="120"/>
      <c r="CO260" s="120"/>
      <c r="CP260" s="120"/>
      <c r="CQ260" s="100"/>
      <c r="CR260" s="100"/>
      <c r="CS260" s="100"/>
      <c r="CT260" s="100"/>
      <c r="CU260" s="100"/>
      <c r="CV260" s="100"/>
      <c r="CW260" s="100"/>
      <c r="CX260" s="100"/>
      <c r="CY260" s="100"/>
      <c r="CZ260" s="100"/>
      <c r="DA260" s="100"/>
      <c r="DB260" s="100"/>
      <c r="DC260" s="100"/>
      <c r="DD260" s="100"/>
      <c r="DE260" s="100"/>
      <c r="DF260" s="100"/>
      <c r="DG260" s="100"/>
      <c r="DH260" s="100"/>
      <c r="DI260" s="100"/>
      <c r="DJ260" s="100"/>
      <c r="DK260" s="100"/>
      <c r="DL260" s="100"/>
      <c r="DM260" s="100"/>
      <c r="DN260" s="100"/>
      <c r="DO260" s="100"/>
      <c r="DP260" s="100"/>
      <c r="DQ260" s="100"/>
      <c r="DR260" s="100"/>
      <c r="DS260" s="100"/>
      <c r="DT260" s="100"/>
      <c r="DU260" s="100"/>
      <c r="DV260" s="100"/>
      <c r="DW260" s="100"/>
      <c r="DX260" s="100"/>
      <c r="DY260" s="100"/>
      <c r="DZ260" s="100"/>
      <c r="EA260" s="100"/>
      <c r="EB260" s="100"/>
      <c r="EC260" s="100"/>
      <c r="ED260" s="100"/>
      <c r="EE260" s="100"/>
      <c r="EF260" s="100"/>
      <c r="EG260" s="100"/>
      <c r="EH260" s="100"/>
      <c r="EI260" s="100"/>
      <c r="EJ260" s="100"/>
      <c r="EK260" s="100"/>
      <c r="EL260" s="100"/>
      <c r="EM260" s="100"/>
      <c r="EN260" s="100"/>
      <c r="EO260" s="100"/>
      <c r="EP260" s="100"/>
      <c r="EQ260" s="100"/>
      <c r="ER260" s="100"/>
      <c r="ES260" s="100"/>
      <c r="ET260" s="100"/>
      <c r="EU260" s="100"/>
      <c r="EV260" s="100"/>
      <c r="EW260" s="100"/>
      <c r="EX260" s="100"/>
      <c r="EY260" s="100"/>
      <c r="EZ260" s="100"/>
      <c r="FA260" s="100"/>
      <c r="FB260" s="100"/>
      <c r="FC260" s="100"/>
      <c r="FD260" s="100"/>
      <c r="FE260" s="100"/>
      <c r="FF260" s="100"/>
      <c r="FG260" s="100"/>
      <c r="FH260" s="100"/>
      <c r="FI260" s="100"/>
      <c r="FJ260" s="100"/>
      <c r="FK260" s="100"/>
      <c r="FL260" s="100"/>
      <c r="FM260" s="100"/>
      <c r="FN260" s="100"/>
      <c r="FO260" s="100"/>
      <c r="FP260" s="100"/>
      <c r="FQ260" s="100"/>
      <c r="FR260" s="100"/>
      <c r="FS260" s="100"/>
      <c r="FT260" s="100"/>
      <c r="FU260" s="100"/>
      <c r="FV260" s="100"/>
      <c r="FW260" s="100"/>
      <c r="FX260" s="100"/>
      <c r="FY260" s="100"/>
      <c r="FZ260" s="100"/>
      <c r="GA260" s="100"/>
      <c r="GB260" s="100"/>
      <c r="GC260" s="100"/>
      <c r="GD260" s="100"/>
      <c r="GE260" s="100"/>
      <c r="GF260" s="100"/>
      <c r="GG260" s="100"/>
      <c r="GH260" s="100"/>
      <c r="GI260" s="100"/>
      <c r="GJ260" s="100"/>
      <c r="GK260" s="100"/>
      <c r="GL260" s="100"/>
      <c r="GM260" s="100"/>
      <c r="GN260" s="100"/>
      <c r="GO260" s="100"/>
      <c r="GP260" s="100"/>
      <c r="GQ260" s="100"/>
      <c r="GR260" s="100"/>
      <c r="GS260" s="100"/>
      <c r="GT260" s="100"/>
      <c r="GU260" s="100"/>
      <c r="GV260" s="100"/>
      <c r="GW260" s="100"/>
      <c r="GX260" s="100"/>
      <c r="GY260" s="100"/>
      <c r="GZ260" s="100"/>
      <c r="HA260" s="100"/>
      <c r="HB260" s="100"/>
      <c r="HC260" s="100"/>
      <c r="HD260" s="100"/>
      <c r="HE260" s="100"/>
      <c r="HF260" s="100"/>
      <c r="HG260" s="100"/>
      <c r="HH260" s="100"/>
      <c r="HI260" s="100"/>
      <c r="HJ260" s="100"/>
      <c r="HK260" s="100"/>
      <c r="HL260" s="100"/>
      <c r="HM260" s="100"/>
      <c r="HN260" s="100"/>
      <c r="HO260" s="100"/>
      <c r="HP260" s="100"/>
      <c r="HQ260" s="100"/>
      <c r="HR260" s="100"/>
      <c r="HS260" s="100"/>
      <c r="HT260" s="100"/>
      <c r="HU260" s="100"/>
      <c r="HV260" s="100"/>
      <c r="HW260" s="100"/>
      <c r="HX260" s="100"/>
      <c r="HY260" s="100"/>
      <c r="HZ260" s="100"/>
    </row>
    <row r="261" customFormat="false" ht="12.8" hidden="false" customHeight="false" outlineLevel="0" collapsed="false">
      <c r="A261" s="100"/>
      <c r="B261" s="100"/>
      <c r="C261" s="100"/>
      <c r="D261" s="100"/>
      <c r="E261" s="100"/>
      <c r="F261" s="100"/>
      <c r="G261" s="163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63"/>
      <c r="AJ261" s="100"/>
      <c r="AK261" s="100"/>
      <c r="AL261" s="163"/>
      <c r="AM261" s="100"/>
      <c r="AN261" s="100"/>
      <c r="AO261" s="100"/>
      <c r="AP261" s="100"/>
      <c r="AQ261" s="100"/>
      <c r="AR261" s="100"/>
      <c r="AS261" s="100"/>
      <c r="AT261" s="100"/>
      <c r="AU261" s="100"/>
      <c r="AV261" s="100"/>
      <c r="AW261" s="100"/>
      <c r="AX261" s="100"/>
      <c r="AY261" s="100"/>
      <c r="AZ261" s="100"/>
      <c r="BA261" s="100"/>
      <c r="BB261" s="100"/>
      <c r="BC261" s="100"/>
      <c r="BD261" s="100"/>
      <c r="BE261" s="100"/>
      <c r="BF261" s="100"/>
      <c r="BG261" s="100"/>
      <c r="BH261" s="100"/>
      <c r="BI261" s="100"/>
      <c r="BJ261" s="100"/>
      <c r="BK261" s="100"/>
      <c r="BL261" s="100"/>
      <c r="BM261" s="100"/>
      <c r="BN261" s="100"/>
      <c r="BO261" s="100"/>
      <c r="BP261" s="100"/>
      <c r="BQ261" s="100"/>
      <c r="BR261" s="100"/>
      <c r="BS261" s="100"/>
      <c r="BT261" s="100"/>
      <c r="BU261" s="100"/>
      <c r="BV261" s="100"/>
      <c r="BW261" s="100"/>
      <c r="BX261" s="100"/>
      <c r="BY261" s="100"/>
      <c r="BZ261" s="100"/>
      <c r="CA261" s="100"/>
      <c r="CB261" s="100"/>
      <c r="CC261" s="100"/>
      <c r="CD261" s="100"/>
      <c r="CE261" s="100"/>
      <c r="CF261" s="100"/>
      <c r="CG261" s="100"/>
      <c r="CH261" s="100"/>
      <c r="CI261" s="100"/>
      <c r="CJ261" s="120"/>
      <c r="CK261" s="120"/>
      <c r="CL261" s="120"/>
      <c r="CM261" s="120"/>
      <c r="CN261" s="120"/>
      <c r="CO261" s="120"/>
      <c r="CP261" s="120"/>
      <c r="CQ261" s="100"/>
      <c r="CR261" s="100"/>
      <c r="CS261" s="100"/>
      <c r="CT261" s="100"/>
      <c r="CU261" s="100"/>
      <c r="CV261" s="100"/>
      <c r="CW261" s="100"/>
      <c r="CX261" s="100"/>
      <c r="CY261" s="100"/>
      <c r="CZ261" s="100"/>
      <c r="DA261" s="100"/>
      <c r="DB261" s="100"/>
      <c r="DC261" s="100"/>
      <c r="DD261" s="100"/>
      <c r="DE261" s="100"/>
      <c r="DF261" s="100"/>
      <c r="DG261" s="100"/>
      <c r="DH261" s="100"/>
      <c r="DI261" s="100"/>
      <c r="DJ261" s="100"/>
      <c r="DK261" s="100"/>
      <c r="DL261" s="100"/>
      <c r="DM261" s="100"/>
      <c r="DN261" s="100"/>
      <c r="DO261" s="100"/>
      <c r="DP261" s="100"/>
      <c r="DQ261" s="100"/>
      <c r="DR261" s="100"/>
      <c r="DS261" s="100"/>
      <c r="DT261" s="100"/>
      <c r="DU261" s="100"/>
      <c r="DV261" s="100"/>
      <c r="DW261" s="100"/>
      <c r="DX261" s="100"/>
      <c r="DY261" s="100"/>
      <c r="DZ261" s="100"/>
      <c r="EA261" s="100"/>
      <c r="EB261" s="100"/>
      <c r="EC261" s="100"/>
      <c r="ED261" s="100"/>
      <c r="EE261" s="100"/>
      <c r="EF261" s="100"/>
      <c r="EG261" s="100"/>
      <c r="EH261" s="100"/>
      <c r="EI261" s="100"/>
      <c r="EJ261" s="100"/>
      <c r="EK261" s="100"/>
      <c r="EL261" s="100"/>
      <c r="EM261" s="100"/>
      <c r="EN261" s="100"/>
      <c r="EO261" s="100"/>
      <c r="EP261" s="100"/>
      <c r="EQ261" s="100"/>
      <c r="ER261" s="100"/>
      <c r="ES261" s="100"/>
      <c r="ET261" s="100"/>
      <c r="EU261" s="100"/>
      <c r="EV261" s="100"/>
      <c r="EW261" s="100"/>
      <c r="EX261" s="100"/>
      <c r="EY261" s="100"/>
      <c r="EZ261" s="100"/>
      <c r="FA261" s="100"/>
      <c r="FB261" s="100"/>
      <c r="FC261" s="100"/>
      <c r="FD261" s="100"/>
      <c r="FE261" s="100"/>
      <c r="FF261" s="100"/>
      <c r="FG261" s="100"/>
      <c r="FH261" s="100"/>
      <c r="FI261" s="100"/>
      <c r="FJ261" s="100"/>
      <c r="FK261" s="100"/>
      <c r="FL261" s="100"/>
      <c r="FM261" s="100"/>
      <c r="FN261" s="100"/>
      <c r="FO261" s="100"/>
      <c r="FP261" s="100"/>
      <c r="FQ261" s="100"/>
      <c r="FR261" s="100"/>
      <c r="FS261" s="100"/>
      <c r="FT261" s="100"/>
      <c r="FU261" s="100"/>
      <c r="FV261" s="100"/>
      <c r="FW261" s="100"/>
      <c r="FX261" s="100"/>
      <c r="FY261" s="100"/>
      <c r="FZ261" s="100"/>
      <c r="GA261" s="100"/>
      <c r="GB261" s="100"/>
      <c r="GC261" s="100"/>
      <c r="GD261" s="100"/>
      <c r="GE261" s="100"/>
      <c r="GF261" s="100"/>
      <c r="GG261" s="100"/>
      <c r="GH261" s="100"/>
      <c r="GI261" s="100"/>
      <c r="GJ261" s="100"/>
      <c r="GK261" s="100"/>
      <c r="GL261" s="100"/>
      <c r="GM261" s="100"/>
      <c r="GN261" s="100"/>
      <c r="GO261" s="100"/>
      <c r="GP261" s="100"/>
      <c r="GQ261" s="100"/>
      <c r="GR261" s="100"/>
      <c r="GS261" s="100"/>
      <c r="GT261" s="100"/>
      <c r="GU261" s="100"/>
      <c r="GV261" s="100"/>
      <c r="GW261" s="100"/>
      <c r="GX261" s="100"/>
      <c r="GY261" s="100"/>
      <c r="GZ261" s="100"/>
      <c r="HA261" s="100"/>
      <c r="HB261" s="100"/>
      <c r="HC261" s="100"/>
      <c r="HD261" s="100"/>
      <c r="HE261" s="100"/>
      <c r="HF261" s="100"/>
      <c r="HG261" s="100"/>
      <c r="HH261" s="100"/>
      <c r="HI261" s="100"/>
      <c r="HJ261" s="100"/>
      <c r="HK261" s="100"/>
      <c r="HL261" s="100"/>
      <c r="HM261" s="100"/>
      <c r="HN261" s="100"/>
      <c r="HO261" s="100"/>
      <c r="HP261" s="100"/>
      <c r="HQ261" s="100"/>
      <c r="HR261" s="100"/>
      <c r="HS261" s="100"/>
      <c r="HT261" s="100"/>
      <c r="HU261" s="100"/>
      <c r="HV261" s="100"/>
      <c r="HW261" s="100"/>
      <c r="HX261" s="100"/>
      <c r="HY261" s="100"/>
      <c r="HZ261" s="100"/>
    </row>
    <row r="262" customFormat="false" ht="12.8" hidden="false" customHeight="false" outlineLevel="0" collapsed="false">
      <c r="A262" s="100"/>
      <c r="B262" s="100"/>
      <c r="C262" s="100"/>
      <c r="D262" s="100"/>
      <c r="E262" s="100"/>
      <c r="F262" s="100"/>
      <c r="G262" s="163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63"/>
      <c r="AJ262" s="100"/>
      <c r="AK262" s="100"/>
      <c r="AL262" s="163"/>
      <c r="AM262" s="100"/>
      <c r="AN262" s="100"/>
      <c r="AO262" s="100"/>
      <c r="AP262" s="100"/>
      <c r="AQ262" s="100"/>
      <c r="AR262" s="100"/>
      <c r="AS262" s="100"/>
      <c r="AT262" s="100"/>
      <c r="AU262" s="100"/>
      <c r="AV262" s="100"/>
      <c r="AW262" s="100"/>
      <c r="AX262" s="100"/>
      <c r="AY262" s="100"/>
      <c r="AZ262" s="100"/>
      <c r="BA262" s="100"/>
      <c r="BB262" s="100"/>
      <c r="BC262" s="100"/>
      <c r="BD262" s="100"/>
      <c r="BE262" s="100"/>
      <c r="BF262" s="100"/>
      <c r="BG262" s="100"/>
      <c r="BH262" s="100"/>
      <c r="BI262" s="100"/>
      <c r="BJ262" s="100"/>
      <c r="BK262" s="100"/>
      <c r="BL262" s="100"/>
      <c r="BM262" s="100"/>
      <c r="BN262" s="100"/>
      <c r="BO262" s="100"/>
      <c r="BP262" s="100"/>
      <c r="BQ262" s="100"/>
      <c r="BR262" s="100"/>
      <c r="BS262" s="100"/>
      <c r="BT262" s="100"/>
      <c r="BU262" s="100"/>
      <c r="BV262" s="100"/>
      <c r="BW262" s="100"/>
      <c r="BX262" s="100"/>
      <c r="BY262" s="100"/>
      <c r="BZ262" s="100"/>
      <c r="CA262" s="100"/>
      <c r="CB262" s="100"/>
      <c r="CC262" s="100"/>
      <c r="CD262" s="100"/>
      <c r="CE262" s="100"/>
      <c r="CF262" s="100"/>
      <c r="CG262" s="100"/>
      <c r="CH262" s="100"/>
      <c r="CI262" s="100"/>
      <c r="CJ262" s="120"/>
      <c r="CK262" s="120"/>
      <c r="CL262" s="120"/>
      <c r="CM262" s="120"/>
      <c r="CN262" s="120"/>
      <c r="CO262" s="120"/>
      <c r="CP262" s="120"/>
      <c r="CQ262" s="100"/>
      <c r="CR262" s="100"/>
      <c r="CS262" s="100"/>
      <c r="CT262" s="100"/>
      <c r="CU262" s="100"/>
      <c r="CV262" s="100"/>
      <c r="CW262" s="100"/>
      <c r="CX262" s="100"/>
      <c r="CY262" s="100"/>
      <c r="CZ262" s="100"/>
      <c r="DA262" s="100"/>
      <c r="DB262" s="100"/>
      <c r="DC262" s="100"/>
      <c r="DD262" s="100"/>
      <c r="DE262" s="100"/>
      <c r="DF262" s="100"/>
      <c r="DG262" s="100"/>
      <c r="DH262" s="100"/>
      <c r="DI262" s="100"/>
      <c r="DJ262" s="100"/>
      <c r="DK262" s="100"/>
      <c r="DL262" s="100"/>
      <c r="DM262" s="100"/>
      <c r="DN262" s="100"/>
      <c r="DO262" s="100"/>
      <c r="DP262" s="100"/>
      <c r="DQ262" s="100"/>
      <c r="DR262" s="100"/>
      <c r="DS262" s="100"/>
      <c r="DT262" s="100"/>
      <c r="DU262" s="100"/>
      <c r="DV262" s="100"/>
      <c r="DW262" s="100"/>
      <c r="DX262" s="100"/>
      <c r="DY262" s="100"/>
      <c r="DZ262" s="100"/>
      <c r="EA262" s="100"/>
      <c r="EB262" s="100"/>
      <c r="EC262" s="100"/>
      <c r="ED262" s="100"/>
      <c r="EE262" s="100"/>
      <c r="EF262" s="100"/>
      <c r="EG262" s="100"/>
      <c r="EH262" s="100"/>
      <c r="EI262" s="100"/>
      <c r="EJ262" s="100"/>
      <c r="EK262" s="100"/>
      <c r="EL262" s="100"/>
      <c r="EM262" s="100"/>
      <c r="EN262" s="100"/>
      <c r="EO262" s="100"/>
      <c r="EP262" s="100"/>
      <c r="EQ262" s="100"/>
      <c r="ER262" s="100"/>
      <c r="ES262" s="100"/>
      <c r="ET262" s="100"/>
      <c r="EU262" s="100"/>
      <c r="EV262" s="100"/>
      <c r="EW262" s="100"/>
      <c r="EX262" s="100"/>
      <c r="EY262" s="100"/>
      <c r="EZ262" s="100"/>
      <c r="FA262" s="100"/>
      <c r="FB262" s="100"/>
      <c r="FC262" s="100"/>
      <c r="FD262" s="100"/>
      <c r="FE262" s="100"/>
      <c r="FF262" s="100"/>
      <c r="FG262" s="100"/>
      <c r="FH262" s="100"/>
      <c r="FI262" s="100"/>
      <c r="FJ262" s="100"/>
      <c r="FK262" s="100"/>
      <c r="FL262" s="100"/>
      <c r="FM262" s="100"/>
      <c r="FN262" s="100"/>
      <c r="FO262" s="100"/>
      <c r="FP262" s="100"/>
      <c r="FQ262" s="100"/>
      <c r="FR262" s="100"/>
      <c r="FS262" s="100"/>
      <c r="FT262" s="100"/>
      <c r="FU262" s="100"/>
      <c r="FV262" s="100"/>
      <c r="FW262" s="100"/>
      <c r="FX262" s="100"/>
      <c r="FY262" s="100"/>
      <c r="FZ262" s="100"/>
      <c r="GA262" s="100"/>
      <c r="GB262" s="100"/>
      <c r="GC262" s="100"/>
      <c r="GD262" s="100"/>
      <c r="GE262" s="100"/>
      <c r="GF262" s="100"/>
      <c r="GG262" s="100"/>
      <c r="GH262" s="100"/>
      <c r="GI262" s="100"/>
      <c r="GJ262" s="100"/>
      <c r="GK262" s="100"/>
      <c r="GL262" s="100"/>
      <c r="GM262" s="100"/>
      <c r="GN262" s="100"/>
      <c r="GO262" s="100"/>
      <c r="GP262" s="100"/>
      <c r="GQ262" s="100"/>
      <c r="GR262" s="100"/>
      <c r="GS262" s="100"/>
      <c r="GT262" s="100"/>
      <c r="GU262" s="100"/>
      <c r="GV262" s="100"/>
      <c r="GW262" s="100"/>
      <c r="GX262" s="100"/>
      <c r="GY262" s="100"/>
      <c r="GZ262" s="100"/>
      <c r="HA262" s="100"/>
      <c r="HB262" s="100"/>
      <c r="HC262" s="100"/>
      <c r="HD262" s="100"/>
      <c r="HE262" s="100"/>
      <c r="HF262" s="100"/>
      <c r="HG262" s="100"/>
      <c r="HH262" s="100"/>
      <c r="HI262" s="100"/>
      <c r="HJ262" s="100"/>
      <c r="HK262" s="100"/>
      <c r="HL262" s="100"/>
      <c r="HM262" s="100"/>
      <c r="HN262" s="100"/>
      <c r="HO262" s="100"/>
      <c r="HP262" s="100"/>
      <c r="HQ262" s="100"/>
      <c r="HR262" s="100"/>
      <c r="HS262" s="100"/>
      <c r="HT262" s="100"/>
      <c r="HU262" s="100"/>
      <c r="HV262" s="100"/>
      <c r="HW262" s="100"/>
      <c r="HX262" s="100"/>
      <c r="HY262" s="100"/>
      <c r="HZ262" s="100"/>
    </row>
    <row r="263" customFormat="false" ht="12.8" hidden="false" customHeight="false" outlineLevel="0" collapsed="false">
      <c r="A263" s="100"/>
      <c r="B263" s="100"/>
      <c r="C263" s="100"/>
      <c r="D263" s="100"/>
      <c r="E263" s="100"/>
      <c r="F263" s="100"/>
      <c r="G263" s="163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63"/>
      <c r="AJ263" s="100"/>
      <c r="AK263" s="100"/>
      <c r="AL263" s="163"/>
      <c r="AM263" s="100"/>
      <c r="AN263" s="100"/>
      <c r="AO263" s="100"/>
      <c r="AP263" s="100"/>
      <c r="AQ263" s="100"/>
      <c r="AR263" s="100"/>
      <c r="AS263" s="100"/>
      <c r="AT263" s="100"/>
      <c r="AU263" s="100"/>
      <c r="AV263" s="100"/>
      <c r="AW263" s="100"/>
      <c r="AX263" s="100"/>
      <c r="AY263" s="100"/>
      <c r="AZ263" s="100"/>
      <c r="BA263" s="100"/>
      <c r="BB263" s="100"/>
      <c r="BC263" s="100"/>
      <c r="BD263" s="100"/>
      <c r="BE263" s="100"/>
      <c r="BF263" s="100"/>
      <c r="BG263" s="100"/>
      <c r="BH263" s="100"/>
      <c r="BI263" s="100"/>
      <c r="BJ263" s="100"/>
      <c r="BK263" s="100"/>
      <c r="BL263" s="100"/>
      <c r="BM263" s="100"/>
      <c r="BN263" s="100"/>
      <c r="BO263" s="100"/>
      <c r="BP263" s="100"/>
      <c r="BQ263" s="100"/>
      <c r="BR263" s="100"/>
      <c r="BS263" s="100"/>
      <c r="BT263" s="100"/>
      <c r="BU263" s="100"/>
      <c r="BV263" s="100"/>
      <c r="BW263" s="100"/>
      <c r="BX263" s="100"/>
      <c r="BY263" s="100"/>
      <c r="BZ263" s="100"/>
      <c r="CA263" s="100"/>
      <c r="CB263" s="100"/>
      <c r="CC263" s="100"/>
      <c r="CD263" s="100"/>
      <c r="CE263" s="100"/>
      <c r="CF263" s="100"/>
      <c r="CG263" s="100"/>
      <c r="CH263" s="100"/>
      <c r="CI263" s="100"/>
      <c r="CJ263" s="120"/>
      <c r="CK263" s="120"/>
      <c r="CL263" s="120"/>
      <c r="CM263" s="120"/>
      <c r="CN263" s="120"/>
      <c r="CO263" s="120"/>
      <c r="CP263" s="120"/>
      <c r="CQ263" s="100"/>
      <c r="CR263" s="100"/>
      <c r="CS263" s="100"/>
      <c r="CT263" s="100"/>
      <c r="CU263" s="100"/>
      <c r="CV263" s="100"/>
      <c r="CW263" s="100"/>
      <c r="CX263" s="100"/>
      <c r="CY263" s="100"/>
      <c r="CZ263" s="100"/>
      <c r="DA263" s="100"/>
      <c r="DB263" s="100"/>
      <c r="DC263" s="100"/>
      <c r="DD263" s="100"/>
      <c r="DE263" s="100"/>
      <c r="DF263" s="100"/>
      <c r="DG263" s="100"/>
      <c r="DH263" s="100"/>
      <c r="DI263" s="100"/>
      <c r="DJ263" s="100"/>
      <c r="DK263" s="100"/>
      <c r="DL263" s="100"/>
      <c r="DM263" s="100"/>
      <c r="DN263" s="100"/>
      <c r="DO263" s="100"/>
      <c r="DP263" s="100"/>
      <c r="DQ263" s="100"/>
      <c r="DR263" s="100"/>
      <c r="DS263" s="100"/>
      <c r="DT263" s="100"/>
      <c r="DU263" s="100"/>
      <c r="DV263" s="100"/>
      <c r="DW263" s="100"/>
      <c r="DX263" s="100"/>
      <c r="DY263" s="100"/>
      <c r="DZ263" s="100"/>
      <c r="EA263" s="100"/>
      <c r="EB263" s="100"/>
      <c r="EC263" s="100"/>
      <c r="ED263" s="100"/>
      <c r="EE263" s="100"/>
      <c r="EF263" s="100"/>
      <c r="EG263" s="100"/>
      <c r="EH263" s="100"/>
      <c r="EI263" s="100"/>
      <c r="EJ263" s="100"/>
      <c r="EK263" s="100"/>
      <c r="EL263" s="100"/>
      <c r="EM263" s="100"/>
      <c r="EN263" s="100"/>
      <c r="EO263" s="100"/>
      <c r="EP263" s="100"/>
      <c r="EQ263" s="100"/>
      <c r="ER263" s="100"/>
      <c r="ES263" s="100"/>
      <c r="ET263" s="100"/>
      <c r="EU263" s="100"/>
      <c r="EV263" s="100"/>
      <c r="EW263" s="100"/>
      <c r="EX263" s="100"/>
      <c r="EY263" s="100"/>
      <c r="EZ263" s="100"/>
      <c r="FA263" s="100"/>
      <c r="FB263" s="100"/>
      <c r="FC263" s="100"/>
      <c r="FD263" s="100"/>
      <c r="FE263" s="100"/>
      <c r="FF263" s="100"/>
      <c r="FG263" s="100"/>
      <c r="FH263" s="100"/>
      <c r="FI263" s="100"/>
      <c r="FJ263" s="100"/>
      <c r="FK263" s="100"/>
      <c r="FL263" s="100"/>
      <c r="FM263" s="100"/>
      <c r="FN263" s="100"/>
      <c r="FO263" s="100"/>
      <c r="FP263" s="100"/>
      <c r="FQ263" s="100"/>
      <c r="FR263" s="100"/>
      <c r="FS263" s="100"/>
      <c r="FT263" s="100"/>
      <c r="FU263" s="100"/>
      <c r="FV263" s="100"/>
      <c r="FW263" s="100"/>
      <c r="FX263" s="100"/>
      <c r="FY263" s="100"/>
      <c r="FZ263" s="100"/>
      <c r="GA263" s="100"/>
      <c r="GB263" s="100"/>
      <c r="GC263" s="100"/>
      <c r="GD263" s="100"/>
      <c r="GE263" s="100"/>
      <c r="GF263" s="100"/>
      <c r="GG263" s="100"/>
      <c r="GH263" s="100"/>
      <c r="GI263" s="100"/>
      <c r="GJ263" s="100"/>
      <c r="GK263" s="100"/>
      <c r="GL263" s="100"/>
      <c r="GM263" s="100"/>
      <c r="GN263" s="100"/>
      <c r="GO263" s="100"/>
      <c r="GP263" s="100"/>
      <c r="GQ263" s="100"/>
      <c r="GR263" s="100"/>
      <c r="GS263" s="100"/>
      <c r="GT263" s="100"/>
      <c r="GU263" s="100"/>
      <c r="GV263" s="100"/>
      <c r="GW263" s="100"/>
      <c r="GX263" s="100"/>
      <c r="GY263" s="100"/>
      <c r="GZ263" s="100"/>
      <c r="HA263" s="100"/>
      <c r="HB263" s="100"/>
      <c r="HC263" s="100"/>
      <c r="HD263" s="100"/>
      <c r="HE263" s="100"/>
      <c r="HF263" s="100"/>
      <c r="HG263" s="100"/>
      <c r="HH263" s="100"/>
      <c r="HI263" s="100"/>
      <c r="HJ263" s="100"/>
      <c r="HK263" s="100"/>
      <c r="HL263" s="100"/>
      <c r="HM263" s="100"/>
      <c r="HN263" s="100"/>
      <c r="HO263" s="100"/>
      <c r="HP263" s="100"/>
      <c r="HQ263" s="100"/>
      <c r="HR263" s="100"/>
      <c r="HS263" s="100"/>
      <c r="HT263" s="100"/>
      <c r="HU263" s="100"/>
      <c r="HV263" s="100"/>
      <c r="HW263" s="100"/>
      <c r="HX263" s="100"/>
      <c r="HY263" s="100"/>
      <c r="HZ263" s="100"/>
    </row>
    <row r="264" customFormat="false" ht="12.8" hidden="false" customHeight="false" outlineLevel="0" collapsed="false">
      <c r="A264" s="100"/>
      <c r="B264" s="100"/>
      <c r="C264" s="100"/>
      <c r="D264" s="100"/>
      <c r="E264" s="100"/>
      <c r="F264" s="100"/>
      <c r="G264" s="163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63"/>
      <c r="AJ264" s="100"/>
      <c r="AK264" s="100"/>
      <c r="AL264" s="163"/>
      <c r="AM264" s="100"/>
      <c r="AN264" s="100"/>
      <c r="AO264" s="100"/>
      <c r="AP264" s="100"/>
      <c r="AQ264" s="100"/>
      <c r="AR264" s="100"/>
      <c r="AS264" s="100"/>
      <c r="AT264" s="100"/>
      <c r="AU264" s="100"/>
      <c r="AV264" s="100"/>
      <c r="AW264" s="100"/>
      <c r="AX264" s="100"/>
      <c r="AY264" s="100"/>
      <c r="AZ264" s="100"/>
      <c r="BA264" s="100"/>
      <c r="BB264" s="100"/>
      <c r="BC264" s="100"/>
      <c r="BD264" s="100"/>
      <c r="BE264" s="100"/>
      <c r="BF264" s="100"/>
      <c r="BG264" s="100"/>
      <c r="BH264" s="100"/>
      <c r="BI264" s="100"/>
      <c r="BJ264" s="100"/>
      <c r="BK264" s="100"/>
      <c r="BL264" s="100"/>
      <c r="BM264" s="100"/>
      <c r="BN264" s="100"/>
      <c r="BO264" s="100"/>
      <c r="BP264" s="100"/>
      <c r="BQ264" s="100"/>
      <c r="BR264" s="100"/>
      <c r="BS264" s="100"/>
      <c r="BT264" s="100"/>
      <c r="BU264" s="100"/>
      <c r="BV264" s="100"/>
      <c r="BW264" s="100"/>
      <c r="BX264" s="100"/>
      <c r="BY264" s="100"/>
      <c r="BZ264" s="100"/>
      <c r="CA264" s="100"/>
      <c r="CB264" s="100"/>
      <c r="CC264" s="100"/>
      <c r="CD264" s="100"/>
      <c r="CE264" s="100"/>
      <c r="CF264" s="100"/>
      <c r="CG264" s="100"/>
      <c r="CH264" s="100"/>
      <c r="CI264" s="100"/>
      <c r="CJ264" s="120"/>
      <c r="CK264" s="120"/>
      <c r="CL264" s="120"/>
      <c r="CM264" s="120"/>
      <c r="CN264" s="120"/>
      <c r="CO264" s="120"/>
      <c r="CP264" s="120"/>
      <c r="CQ264" s="100"/>
      <c r="CR264" s="100"/>
      <c r="CS264" s="100"/>
      <c r="CT264" s="100"/>
      <c r="CU264" s="100"/>
      <c r="CV264" s="100"/>
      <c r="CW264" s="100"/>
      <c r="CX264" s="100"/>
      <c r="CY264" s="100"/>
      <c r="CZ264" s="100"/>
      <c r="DA264" s="100"/>
      <c r="DB264" s="100"/>
      <c r="DC264" s="100"/>
      <c r="DD264" s="100"/>
      <c r="DE264" s="100"/>
      <c r="DF264" s="100"/>
      <c r="DG264" s="100"/>
      <c r="DH264" s="100"/>
      <c r="DI264" s="100"/>
      <c r="DJ264" s="100"/>
      <c r="DK264" s="100"/>
      <c r="DL264" s="100"/>
      <c r="DM264" s="100"/>
      <c r="DN264" s="100"/>
      <c r="DO264" s="100"/>
      <c r="DP264" s="100"/>
      <c r="DQ264" s="100"/>
      <c r="DR264" s="100"/>
      <c r="DS264" s="100"/>
      <c r="DT264" s="100"/>
      <c r="DU264" s="100"/>
      <c r="DV264" s="100"/>
      <c r="DW264" s="100"/>
      <c r="DX264" s="100"/>
      <c r="DY264" s="100"/>
      <c r="DZ264" s="100"/>
      <c r="EA264" s="100"/>
      <c r="EB264" s="100"/>
      <c r="EC264" s="100"/>
      <c r="ED264" s="100"/>
      <c r="EE264" s="100"/>
      <c r="EF264" s="100"/>
      <c r="EG264" s="100"/>
      <c r="EH264" s="100"/>
      <c r="EI264" s="100"/>
      <c r="EJ264" s="100"/>
      <c r="EK264" s="100"/>
      <c r="EL264" s="100"/>
      <c r="EM264" s="100"/>
      <c r="EN264" s="100"/>
      <c r="EO264" s="100"/>
      <c r="EP264" s="100"/>
      <c r="EQ264" s="100"/>
      <c r="ER264" s="100"/>
      <c r="ES264" s="100"/>
      <c r="ET264" s="100"/>
      <c r="EU264" s="100"/>
      <c r="EV264" s="100"/>
      <c r="EW264" s="100"/>
      <c r="EX264" s="100"/>
      <c r="EY264" s="100"/>
      <c r="EZ264" s="100"/>
      <c r="FA264" s="100"/>
      <c r="FB264" s="100"/>
      <c r="FC264" s="100"/>
      <c r="FD264" s="100"/>
      <c r="FE264" s="100"/>
      <c r="FF264" s="100"/>
      <c r="FG264" s="100"/>
      <c r="FH264" s="100"/>
      <c r="FI264" s="100"/>
      <c r="FJ264" s="100"/>
      <c r="FK264" s="100"/>
      <c r="FL264" s="100"/>
      <c r="FM264" s="100"/>
      <c r="FN264" s="100"/>
      <c r="FO264" s="100"/>
      <c r="FP264" s="100"/>
      <c r="FQ264" s="100"/>
      <c r="FR264" s="100"/>
      <c r="FS264" s="100"/>
      <c r="FT264" s="100"/>
      <c r="FU264" s="100"/>
      <c r="FV264" s="100"/>
      <c r="FW264" s="100"/>
      <c r="FX264" s="100"/>
      <c r="FY264" s="100"/>
      <c r="FZ264" s="100"/>
      <c r="GA264" s="100"/>
      <c r="GB264" s="100"/>
      <c r="GC264" s="100"/>
      <c r="GD264" s="100"/>
      <c r="GE264" s="100"/>
      <c r="GF264" s="100"/>
      <c r="GG264" s="100"/>
      <c r="GH264" s="100"/>
      <c r="GI264" s="100"/>
      <c r="GJ264" s="100"/>
      <c r="GK264" s="100"/>
      <c r="GL264" s="100"/>
      <c r="GM264" s="100"/>
      <c r="GN264" s="100"/>
      <c r="GO264" s="100"/>
      <c r="GP264" s="100"/>
      <c r="GQ264" s="100"/>
      <c r="GR264" s="100"/>
      <c r="GS264" s="100"/>
      <c r="GT264" s="100"/>
      <c r="GU264" s="100"/>
      <c r="GV264" s="100"/>
      <c r="GW264" s="100"/>
      <c r="GX264" s="100"/>
      <c r="GY264" s="100"/>
      <c r="GZ264" s="100"/>
      <c r="HA264" s="100"/>
      <c r="HB264" s="100"/>
      <c r="HC264" s="100"/>
      <c r="HD264" s="100"/>
      <c r="HE264" s="100"/>
      <c r="HF264" s="100"/>
      <c r="HG264" s="100"/>
      <c r="HH264" s="100"/>
      <c r="HI264" s="100"/>
      <c r="HJ264" s="100"/>
      <c r="HK264" s="100"/>
      <c r="HL264" s="100"/>
      <c r="HM264" s="100"/>
      <c r="HN264" s="100"/>
      <c r="HO264" s="100"/>
      <c r="HP264" s="100"/>
      <c r="HQ264" s="100"/>
      <c r="HR264" s="100"/>
      <c r="HS264" s="100"/>
      <c r="HT264" s="100"/>
      <c r="HU264" s="100"/>
      <c r="HV264" s="100"/>
      <c r="HW264" s="100"/>
      <c r="HX264" s="100"/>
      <c r="HY264" s="100"/>
      <c r="HZ264" s="100"/>
    </row>
    <row r="265" customFormat="false" ht="12.8" hidden="false" customHeight="false" outlineLevel="0" collapsed="false">
      <c r="A265" s="100"/>
      <c r="B265" s="100"/>
      <c r="C265" s="100"/>
      <c r="D265" s="100"/>
      <c r="E265" s="100"/>
      <c r="F265" s="100"/>
      <c r="G265" s="163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63"/>
      <c r="AJ265" s="100"/>
      <c r="AK265" s="100"/>
      <c r="AL265" s="163"/>
      <c r="AM265" s="100"/>
      <c r="AN265" s="100"/>
      <c r="AO265" s="100"/>
      <c r="AP265" s="100"/>
      <c r="AQ265" s="100"/>
      <c r="AR265" s="100"/>
      <c r="AS265" s="100"/>
      <c r="AT265" s="100"/>
      <c r="AU265" s="100"/>
      <c r="AV265" s="100"/>
      <c r="AW265" s="100"/>
      <c r="AX265" s="100"/>
      <c r="AY265" s="100"/>
      <c r="AZ265" s="100"/>
      <c r="BA265" s="100"/>
      <c r="BB265" s="100"/>
      <c r="BC265" s="100"/>
      <c r="BD265" s="100"/>
      <c r="BE265" s="100"/>
      <c r="BF265" s="100"/>
      <c r="BG265" s="100"/>
      <c r="BH265" s="100"/>
      <c r="BI265" s="100"/>
      <c r="BJ265" s="100"/>
      <c r="BK265" s="100"/>
      <c r="BL265" s="100"/>
      <c r="BM265" s="100"/>
      <c r="BN265" s="100"/>
      <c r="BO265" s="100"/>
      <c r="BP265" s="100"/>
      <c r="BQ265" s="100"/>
      <c r="BR265" s="100"/>
      <c r="BS265" s="100"/>
      <c r="BT265" s="100"/>
      <c r="BU265" s="100"/>
      <c r="BV265" s="100"/>
      <c r="BW265" s="100"/>
      <c r="BX265" s="100"/>
      <c r="BY265" s="100"/>
      <c r="BZ265" s="100"/>
      <c r="CA265" s="100"/>
      <c r="CB265" s="100"/>
      <c r="CC265" s="100"/>
      <c r="CD265" s="100"/>
      <c r="CE265" s="100"/>
      <c r="CF265" s="100"/>
      <c r="CG265" s="100"/>
      <c r="CH265" s="100"/>
      <c r="CI265" s="100"/>
      <c r="CJ265" s="120"/>
      <c r="CK265" s="120"/>
      <c r="CL265" s="120"/>
      <c r="CM265" s="120"/>
      <c r="CN265" s="120"/>
      <c r="CO265" s="120"/>
      <c r="CP265" s="120"/>
      <c r="CQ265" s="100"/>
      <c r="CR265" s="100"/>
      <c r="CS265" s="100"/>
      <c r="CT265" s="100"/>
      <c r="CU265" s="100"/>
      <c r="CV265" s="100"/>
      <c r="CW265" s="100"/>
      <c r="CX265" s="100"/>
      <c r="CY265" s="100"/>
      <c r="CZ265" s="100"/>
      <c r="DA265" s="100"/>
      <c r="DB265" s="100"/>
      <c r="DC265" s="100"/>
      <c r="DD265" s="100"/>
      <c r="DE265" s="100"/>
      <c r="DF265" s="100"/>
      <c r="DG265" s="100"/>
      <c r="DH265" s="100"/>
      <c r="DI265" s="100"/>
      <c r="DJ265" s="100"/>
      <c r="DK265" s="100"/>
      <c r="DL265" s="100"/>
      <c r="DM265" s="100"/>
      <c r="DN265" s="100"/>
      <c r="DO265" s="100"/>
      <c r="DP265" s="100"/>
      <c r="DQ265" s="100"/>
      <c r="DR265" s="100"/>
      <c r="DS265" s="100"/>
      <c r="DT265" s="100"/>
      <c r="DU265" s="100"/>
      <c r="DV265" s="100"/>
      <c r="DW265" s="100"/>
      <c r="DX265" s="100"/>
      <c r="DY265" s="100"/>
      <c r="DZ265" s="100"/>
      <c r="EA265" s="100"/>
      <c r="EB265" s="100"/>
      <c r="EC265" s="100"/>
      <c r="ED265" s="100"/>
      <c r="EE265" s="100"/>
      <c r="EF265" s="100"/>
      <c r="EG265" s="100"/>
      <c r="EH265" s="100"/>
      <c r="EI265" s="100"/>
      <c r="EJ265" s="100"/>
      <c r="EK265" s="100"/>
      <c r="EL265" s="100"/>
      <c r="EM265" s="100"/>
      <c r="EN265" s="100"/>
      <c r="EO265" s="100"/>
      <c r="EP265" s="100"/>
      <c r="EQ265" s="100"/>
      <c r="ER265" s="100"/>
      <c r="ES265" s="100"/>
      <c r="ET265" s="100"/>
      <c r="EU265" s="100"/>
      <c r="EV265" s="100"/>
      <c r="EW265" s="100"/>
      <c r="EX265" s="100"/>
      <c r="EY265" s="100"/>
      <c r="EZ265" s="100"/>
      <c r="FA265" s="100"/>
      <c r="FB265" s="100"/>
      <c r="FC265" s="100"/>
      <c r="FD265" s="100"/>
      <c r="FE265" s="100"/>
      <c r="FF265" s="100"/>
      <c r="FG265" s="100"/>
      <c r="FH265" s="100"/>
      <c r="FI265" s="100"/>
      <c r="FJ265" s="100"/>
      <c r="FK265" s="100"/>
      <c r="FL265" s="100"/>
      <c r="FM265" s="100"/>
      <c r="FN265" s="100"/>
      <c r="FO265" s="100"/>
      <c r="FP265" s="100"/>
      <c r="FQ265" s="100"/>
      <c r="FR265" s="100"/>
      <c r="FS265" s="100"/>
      <c r="FT265" s="100"/>
      <c r="FU265" s="100"/>
      <c r="FV265" s="100"/>
      <c r="FW265" s="100"/>
      <c r="FX265" s="100"/>
      <c r="FY265" s="100"/>
      <c r="FZ265" s="100"/>
      <c r="GA265" s="100"/>
      <c r="GB265" s="100"/>
      <c r="GC265" s="100"/>
      <c r="GD265" s="100"/>
      <c r="GE265" s="100"/>
      <c r="GF265" s="100"/>
      <c r="GG265" s="100"/>
      <c r="GH265" s="100"/>
      <c r="GI265" s="100"/>
      <c r="GJ265" s="100"/>
      <c r="GK265" s="100"/>
      <c r="GL265" s="100"/>
      <c r="GM265" s="100"/>
      <c r="GN265" s="100"/>
      <c r="GO265" s="100"/>
      <c r="GP265" s="100"/>
      <c r="GQ265" s="100"/>
      <c r="GR265" s="100"/>
      <c r="GS265" s="100"/>
      <c r="GT265" s="100"/>
      <c r="GU265" s="100"/>
      <c r="GV265" s="100"/>
      <c r="GW265" s="100"/>
      <c r="GX265" s="100"/>
      <c r="GY265" s="100"/>
      <c r="GZ265" s="100"/>
      <c r="HA265" s="100"/>
      <c r="HB265" s="100"/>
      <c r="HC265" s="100"/>
      <c r="HD265" s="100"/>
      <c r="HE265" s="100"/>
      <c r="HF265" s="100"/>
      <c r="HG265" s="100"/>
      <c r="HH265" s="100"/>
      <c r="HI265" s="100"/>
      <c r="HJ265" s="100"/>
      <c r="HK265" s="100"/>
      <c r="HL265" s="100"/>
      <c r="HM265" s="100"/>
      <c r="HN265" s="100"/>
      <c r="HO265" s="100"/>
      <c r="HP265" s="100"/>
      <c r="HQ265" s="100"/>
      <c r="HR265" s="100"/>
      <c r="HS265" s="100"/>
      <c r="HT265" s="100"/>
      <c r="HU265" s="100"/>
      <c r="HV265" s="100"/>
      <c r="HW265" s="100"/>
      <c r="HX265" s="100"/>
      <c r="HY265" s="100"/>
      <c r="HZ265" s="100"/>
    </row>
    <row r="266" customFormat="false" ht="12.8" hidden="false" customHeight="false" outlineLevel="0" collapsed="false">
      <c r="A266" s="100"/>
      <c r="B266" s="100"/>
      <c r="C266" s="100"/>
      <c r="D266" s="100"/>
      <c r="E266" s="100"/>
      <c r="F266" s="100"/>
      <c r="G266" s="163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63"/>
      <c r="AJ266" s="100"/>
      <c r="AK266" s="100"/>
      <c r="AL266" s="163"/>
      <c r="AM266" s="100"/>
      <c r="AN266" s="100"/>
      <c r="AO266" s="100"/>
      <c r="AP266" s="100"/>
      <c r="AQ266" s="100"/>
      <c r="AR266" s="100"/>
      <c r="AS266" s="100"/>
      <c r="AT266" s="100"/>
      <c r="AU266" s="100"/>
      <c r="AV266" s="100"/>
      <c r="AW266" s="100"/>
      <c r="AX266" s="100"/>
      <c r="AY266" s="100"/>
      <c r="AZ266" s="100"/>
      <c r="BA266" s="100"/>
      <c r="BB266" s="100"/>
      <c r="BC266" s="100"/>
      <c r="BD266" s="100"/>
      <c r="BE266" s="100"/>
      <c r="BF266" s="100"/>
      <c r="BG266" s="100"/>
      <c r="BH266" s="100"/>
      <c r="BI266" s="100"/>
      <c r="BJ266" s="100"/>
      <c r="BK266" s="100"/>
      <c r="BL266" s="100"/>
      <c r="BM266" s="100"/>
      <c r="BN266" s="100"/>
      <c r="BO266" s="100"/>
      <c r="BP266" s="100"/>
      <c r="BQ266" s="100"/>
      <c r="BR266" s="100"/>
      <c r="BS266" s="100"/>
      <c r="BT266" s="100"/>
      <c r="BU266" s="100"/>
      <c r="BV266" s="100"/>
      <c r="BW266" s="100"/>
      <c r="BX266" s="100"/>
      <c r="BY266" s="100"/>
      <c r="BZ266" s="100"/>
      <c r="CA266" s="100"/>
      <c r="CB266" s="100"/>
      <c r="CC266" s="100"/>
      <c r="CD266" s="100"/>
      <c r="CE266" s="100"/>
      <c r="CF266" s="100"/>
      <c r="CG266" s="100"/>
      <c r="CH266" s="100"/>
      <c r="CI266" s="100"/>
      <c r="CJ266" s="120"/>
      <c r="CK266" s="120"/>
      <c r="CL266" s="120"/>
      <c r="CM266" s="120"/>
      <c r="CN266" s="120"/>
      <c r="CO266" s="120"/>
      <c r="CP266" s="120"/>
      <c r="CQ266" s="100"/>
      <c r="CR266" s="100"/>
      <c r="CS266" s="100"/>
      <c r="CT266" s="100"/>
      <c r="CU266" s="100"/>
      <c r="CV266" s="100"/>
      <c r="CW266" s="100"/>
      <c r="CX266" s="100"/>
      <c r="CY266" s="100"/>
      <c r="CZ266" s="100"/>
      <c r="DA266" s="100"/>
      <c r="DB266" s="100"/>
      <c r="DC266" s="100"/>
      <c r="DD266" s="100"/>
      <c r="DE266" s="100"/>
      <c r="DF266" s="100"/>
      <c r="DG266" s="100"/>
      <c r="DH266" s="100"/>
      <c r="DI266" s="100"/>
      <c r="DJ266" s="100"/>
      <c r="DK266" s="100"/>
      <c r="DL266" s="100"/>
      <c r="DM266" s="100"/>
      <c r="DN266" s="100"/>
      <c r="DO266" s="100"/>
      <c r="DP266" s="100"/>
      <c r="DQ266" s="100"/>
      <c r="DR266" s="100"/>
      <c r="DS266" s="100"/>
      <c r="DT266" s="100"/>
      <c r="DU266" s="100"/>
      <c r="DV266" s="100"/>
      <c r="DW266" s="100"/>
      <c r="DX266" s="100"/>
      <c r="DY266" s="100"/>
      <c r="DZ266" s="100"/>
      <c r="EA266" s="100"/>
      <c r="EB266" s="100"/>
      <c r="EC266" s="100"/>
      <c r="ED266" s="100"/>
      <c r="EE266" s="100"/>
      <c r="EF266" s="100"/>
      <c r="EG266" s="100"/>
      <c r="EH266" s="100"/>
      <c r="EI266" s="100"/>
      <c r="EJ266" s="100"/>
      <c r="EK266" s="100"/>
      <c r="EL266" s="100"/>
      <c r="EM266" s="100"/>
      <c r="EN266" s="100"/>
      <c r="EO266" s="100"/>
      <c r="EP266" s="100"/>
      <c r="EQ266" s="100"/>
      <c r="ER266" s="100"/>
      <c r="ES266" s="100"/>
      <c r="ET266" s="100"/>
      <c r="EU266" s="100"/>
      <c r="EV266" s="100"/>
      <c r="EW266" s="100"/>
      <c r="EX266" s="100"/>
      <c r="EY266" s="100"/>
      <c r="EZ266" s="100"/>
      <c r="FA266" s="100"/>
      <c r="FB266" s="100"/>
      <c r="FC266" s="100"/>
      <c r="FD266" s="100"/>
      <c r="FE266" s="100"/>
      <c r="FF266" s="100"/>
      <c r="FG266" s="100"/>
      <c r="FH266" s="100"/>
      <c r="FI266" s="100"/>
      <c r="FJ266" s="100"/>
      <c r="FK266" s="100"/>
      <c r="FL266" s="100"/>
      <c r="FM266" s="100"/>
      <c r="FN266" s="100"/>
      <c r="FO266" s="100"/>
      <c r="FP266" s="100"/>
      <c r="FQ266" s="100"/>
      <c r="FR266" s="100"/>
      <c r="FS266" s="100"/>
      <c r="FT266" s="100"/>
      <c r="FU266" s="100"/>
      <c r="FV266" s="100"/>
      <c r="FW266" s="100"/>
      <c r="FX266" s="100"/>
      <c r="FY266" s="100"/>
      <c r="FZ266" s="100"/>
      <c r="GA266" s="100"/>
      <c r="GB266" s="100"/>
      <c r="GC266" s="100"/>
      <c r="GD266" s="100"/>
      <c r="GE266" s="100"/>
      <c r="GF266" s="100"/>
      <c r="GG266" s="100"/>
      <c r="GH266" s="100"/>
      <c r="GI266" s="100"/>
      <c r="GJ266" s="100"/>
      <c r="GK266" s="100"/>
      <c r="GL266" s="100"/>
      <c r="GM266" s="100"/>
      <c r="GN266" s="100"/>
      <c r="GO266" s="100"/>
      <c r="GP266" s="100"/>
      <c r="GQ266" s="100"/>
      <c r="GR266" s="100"/>
      <c r="GS266" s="100"/>
      <c r="GT266" s="100"/>
      <c r="GU266" s="100"/>
      <c r="GV266" s="100"/>
      <c r="GW266" s="100"/>
      <c r="GX266" s="100"/>
      <c r="GY266" s="100"/>
      <c r="GZ266" s="100"/>
      <c r="HA266" s="100"/>
      <c r="HB266" s="100"/>
      <c r="HC266" s="100"/>
      <c r="HD266" s="100"/>
      <c r="HE266" s="100"/>
      <c r="HF266" s="100"/>
      <c r="HG266" s="100"/>
      <c r="HH266" s="100"/>
      <c r="HI266" s="100"/>
      <c r="HJ266" s="100"/>
      <c r="HK266" s="100"/>
      <c r="HL266" s="100"/>
      <c r="HM266" s="100"/>
      <c r="HN266" s="100"/>
      <c r="HO266" s="100"/>
      <c r="HP266" s="100"/>
      <c r="HQ266" s="100"/>
      <c r="HR266" s="100"/>
      <c r="HS266" s="100"/>
      <c r="HT266" s="100"/>
      <c r="HU266" s="100"/>
      <c r="HV266" s="100"/>
      <c r="HW266" s="100"/>
      <c r="HX266" s="100"/>
      <c r="HY266" s="100"/>
      <c r="HZ266" s="100"/>
    </row>
    <row r="267" customFormat="false" ht="12.8" hidden="false" customHeight="false" outlineLevel="0" collapsed="false">
      <c r="A267" s="100"/>
      <c r="B267" s="100"/>
      <c r="C267" s="100"/>
      <c r="D267" s="100"/>
      <c r="E267" s="100"/>
      <c r="F267" s="100"/>
      <c r="G267" s="163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63"/>
      <c r="AJ267" s="100"/>
      <c r="AK267" s="100"/>
      <c r="AL267" s="163"/>
      <c r="AM267" s="100"/>
      <c r="AN267" s="100"/>
      <c r="AO267" s="100"/>
      <c r="AP267" s="100"/>
      <c r="AQ267" s="100"/>
      <c r="AR267" s="100"/>
      <c r="AS267" s="100"/>
      <c r="AT267" s="100"/>
      <c r="AU267" s="100"/>
      <c r="AV267" s="100"/>
      <c r="AW267" s="100"/>
      <c r="AX267" s="100"/>
      <c r="AY267" s="100"/>
      <c r="AZ267" s="100"/>
      <c r="BA267" s="100"/>
      <c r="BB267" s="100"/>
      <c r="BC267" s="100"/>
      <c r="BD267" s="100"/>
      <c r="BE267" s="100"/>
      <c r="BF267" s="100"/>
      <c r="BG267" s="100"/>
      <c r="BH267" s="100"/>
      <c r="BI267" s="100"/>
      <c r="BJ267" s="100"/>
      <c r="BK267" s="100"/>
      <c r="BL267" s="100"/>
      <c r="BM267" s="100"/>
      <c r="BN267" s="100"/>
      <c r="BO267" s="100"/>
      <c r="BP267" s="100"/>
      <c r="BQ267" s="100"/>
      <c r="BR267" s="100"/>
      <c r="BS267" s="100"/>
      <c r="BT267" s="100"/>
      <c r="BU267" s="100"/>
      <c r="BV267" s="100"/>
      <c r="BW267" s="100"/>
      <c r="BX267" s="100"/>
      <c r="BY267" s="100"/>
      <c r="BZ267" s="100"/>
      <c r="CA267" s="100"/>
      <c r="CB267" s="100"/>
      <c r="CC267" s="100"/>
      <c r="CD267" s="100"/>
      <c r="CE267" s="100"/>
      <c r="CF267" s="100"/>
      <c r="CG267" s="100"/>
      <c r="CH267" s="100"/>
      <c r="CI267" s="100"/>
      <c r="CJ267" s="120"/>
      <c r="CK267" s="120"/>
      <c r="CL267" s="120"/>
      <c r="CM267" s="120"/>
      <c r="CN267" s="120"/>
      <c r="CO267" s="120"/>
      <c r="CP267" s="120"/>
      <c r="CQ267" s="100"/>
      <c r="CR267" s="100"/>
      <c r="CS267" s="100"/>
      <c r="CT267" s="100"/>
      <c r="CU267" s="100"/>
      <c r="CV267" s="100"/>
      <c r="CW267" s="100"/>
      <c r="CX267" s="100"/>
      <c r="CY267" s="100"/>
      <c r="CZ267" s="100"/>
      <c r="DA267" s="100"/>
      <c r="DB267" s="100"/>
      <c r="DC267" s="100"/>
      <c r="DD267" s="100"/>
      <c r="DE267" s="100"/>
      <c r="DF267" s="100"/>
      <c r="DG267" s="100"/>
      <c r="DH267" s="100"/>
      <c r="DI267" s="100"/>
      <c r="DJ267" s="100"/>
      <c r="DK267" s="100"/>
      <c r="DL267" s="100"/>
      <c r="DM267" s="100"/>
      <c r="DN267" s="100"/>
      <c r="DO267" s="100"/>
      <c r="DP267" s="100"/>
      <c r="DQ267" s="100"/>
      <c r="DR267" s="100"/>
      <c r="DS267" s="100"/>
      <c r="DT267" s="100"/>
      <c r="DU267" s="100"/>
      <c r="DV267" s="100"/>
      <c r="DW267" s="100"/>
      <c r="DX267" s="100"/>
      <c r="DY267" s="100"/>
      <c r="DZ267" s="100"/>
      <c r="EA267" s="100"/>
      <c r="EB267" s="100"/>
      <c r="EC267" s="100"/>
      <c r="ED267" s="100"/>
      <c r="EE267" s="100"/>
      <c r="EF267" s="100"/>
      <c r="EG267" s="100"/>
      <c r="EH267" s="100"/>
      <c r="EI267" s="100"/>
      <c r="EJ267" s="100"/>
      <c r="EK267" s="100"/>
      <c r="EL267" s="100"/>
      <c r="EM267" s="100"/>
      <c r="EN267" s="100"/>
      <c r="EO267" s="100"/>
      <c r="EP267" s="100"/>
      <c r="EQ267" s="100"/>
      <c r="ER267" s="100"/>
      <c r="ES267" s="100"/>
      <c r="ET267" s="100"/>
      <c r="EU267" s="100"/>
      <c r="EV267" s="100"/>
      <c r="EW267" s="100"/>
      <c r="EX267" s="100"/>
      <c r="EY267" s="100"/>
      <c r="EZ267" s="100"/>
      <c r="FA267" s="100"/>
      <c r="FB267" s="100"/>
      <c r="FC267" s="100"/>
      <c r="FD267" s="100"/>
      <c r="FE267" s="100"/>
      <c r="FF267" s="100"/>
      <c r="FG267" s="100"/>
      <c r="FH267" s="100"/>
      <c r="FI267" s="100"/>
      <c r="FJ267" s="100"/>
      <c r="FK267" s="100"/>
      <c r="FL267" s="100"/>
      <c r="FM267" s="100"/>
      <c r="FN267" s="100"/>
      <c r="FO267" s="100"/>
      <c r="FP267" s="100"/>
      <c r="FQ267" s="100"/>
      <c r="FR267" s="100"/>
      <c r="FS267" s="100"/>
      <c r="FT267" s="100"/>
      <c r="FU267" s="100"/>
      <c r="FV267" s="100"/>
      <c r="FW267" s="100"/>
      <c r="FX267" s="100"/>
      <c r="FY267" s="100"/>
      <c r="FZ267" s="100"/>
      <c r="GA267" s="100"/>
      <c r="GB267" s="100"/>
      <c r="GC267" s="100"/>
      <c r="GD267" s="100"/>
      <c r="GE267" s="100"/>
      <c r="GF267" s="100"/>
      <c r="GG267" s="100"/>
      <c r="GH267" s="100"/>
      <c r="GI267" s="100"/>
      <c r="GJ267" s="100"/>
      <c r="GK267" s="100"/>
      <c r="GL267" s="100"/>
      <c r="GM267" s="100"/>
      <c r="GN267" s="100"/>
      <c r="GO267" s="100"/>
      <c r="GP267" s="100"/>
      <c r="GQ267" s="100"/>
      <c r="GR267" s="100"/>
      <c r="GS267" s="100"/>
      <c r="GT267" s="100"/>
      <c r="GU267" s="100"/>
      <c r="GV267" s="100"/>
      <c r="GW267" s="100"/>
      <c r="GX267" s="100"/>
      <c r="GY267" s="100"/>
      <c r="GZ267" s="100"/>
      <c r="HA267" s="100"/>
      <c r="HB267" s="100"/>
      <c r="HC267" s="100"/>
      <c r="HD267" s="100"/>
      <c r="HE267" s="100"/>
      <c r="HF267" s="100"/>
      <c r="HG267" s="100"/>
      <c r="HH267" s="100"/>
      <c r="HI267" s="100"/>
      <c r="HJ267" s="100"/>
      <c r="HK267" s="100"/>
      <c r="HL267" s="100"/>
      <c r="HM267" s="100"/>
      <c r="HN267" s="100"/>
      <c r="HO267" s="100"/>
      <c r="HP267" s="100"/>
      <c r="HQ267" s="100"/>
      <c r="HR267" s="100"/>
      <c r="HS267" s="100"/>
      <c r="HT267" s="100"/>
      <c r="HU267" s="100"/>
      <c r="HV267" s="100"/>
      <c r="HW267" s="100"/>
      <c r="HX267" s="100"/>
      <c r="HY267" s="100"/>
      <c r="HZ267" s="100"/>
    </row>
    <row r="268" customFormat="false" ht="12.8" hidden="false" customHeight="false" outlineLevel="0" collapsed="false">
      <c r="A268" s="100"/>
      <c r="B268" s="100"/>
      <c r="C268" s="100"/>
      <c r="D268" s="100"/>
      <c r="E268" s="100"/>
      <c r="F268" s="100"/>
      <c r="G268" s="163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63"/>
      <c r="AJ268" s="100"/>
      <c r="AK268" s="100"/>
      <c r="AL268" s="163"/>
      <c r="AM268" s="100"/>
      <c r="AN268" s="100"/>
      <c r="AO268" s="100"/>
      <c r="AP268" s="100"/>
      <c r="AQ268" s="100"/>
      <c r="AR268" s="100"/>
      <c r="AS268" s="100"/>
      <c r="AT268" s="100"/>
      <c r="AU268" s="100"/>
      <c r="AV268" s="100"/>
      <c r="AW268" s="100"/>
      <c r="AX268" s="100"/>
      <c r="AY268" s="100"/>
      <c r="AZ268" s="100"/>
      <c r="BA268" s="100"/>
      <c r="BB268" s="100"/>
      <c r="BC268" s="100"/>
      <c r="BD268" s="100"/>
      <c r="BE268" s="100"/>
      <c r="BF268" s="100"/>
      <c r="BG268" s="100"/>
      <c r="BH268" s="100"/>
      <c r="BI268" s="100"/>
      <c r="BJ268" s="100"/>
      <c r="BK268" s="100"/>
      <c r="BL268" s="100"/>
      <c r="BM268" s="100"/>
      <c r="BN268" s="100"/>
      <c r="BO268" s="100"/>
      <c r="BP268" s="100"/>
      <c r="BQ268" s="100"/>
      <c r="BR268" s="100"/>
      <c r="BS268" s="100"/>
      <c r="BT268" s="100"/>
      <c r="BU268" s="100"/>
      <c r="BV268" s="100"/>
      <c r="BW268" s="100"/>
      <c r="BX268" s="100"/>
      <c r="BY268" s="100"/>
      <c r="BZ268" s="100"/>
      <c r="CA268" s="100"/>
      <c r="CB268" s="100"/>
      <c r="CC268" s="100"/>
      <c r="CD268" s="100"/>
      <c r="CE268" s="100"/>
      <c r="CF268" s="100"/>
      <c r="CG268" s="100"/>
      <c r="CH268" s="100"/>
      <c r="CI268" s="100"/>
      <c r="CJ268" s="120"/>
      <c r="CK268" s="120"/>
      <c r="CL268" s="120"/>
      <c r="CM268" s="120"/>
      <c r="CN268" s="120"/>
      <c r="CO268" s="120"/>
      <c r="CP268" s="120"/>
      <c r="CQ268" s="100"/>
      <c r="CR268" s="100"/>
      <c r="CS268" s="100"/>
      <c r="CT268" s="100"/>
      <c r="CU268" s="100"/>
      <c r="CV268" s="100"/>
      <c r="CW268" s="100"/>
      <c r="CX268" s="100"/>
      <c r="CY268" s="100"/>
      <c r="CZ268" s="100"/>
      <c r="DA268" s="100"/>
      <c r="DB268" s="100"/>
      <c r="DC268" s="100"/>
      <c r="DD268" s="100"/>
      <c r="DE268" s="100"/>
      <c r="DF268" s="100"/>
      <c r="DG268" s="100"/>
      <c r="DH268" s="100"/>
      <c r="DI268" s="100"/>
      <c r="DJ268" s="100"/>
      <c r="DK268" s="100"/>
      <c r="DL268" s="100"/>
      <c r="DM268" s="100"/>
      <c r="DN268" s="100"/>
      <c r="DO268" s="100"/>
      <c r="DP268" s="100"/>
      <c r="DQ268" s="100"/>
      <c r="DR268" s="100"/>
      <c r="DS268" s="100"/>
      <c r="DT268" s="100"/>
      <c r="DU268" s="100"/>
      <c r="DV268" s="100"/>
      <c r="DW268" s="100"/>
      <c r="DX268" s="100"/>
      <c r="DY268" s="100"/>
      <c r="DZ268" s="100"/>
      <c r="EA268" s="100"/>
      <c r="EB268" s="100"/>
      <c r="EC268" s="100"/>
      <c r="ED268" s="100"/>
      <c r="EE268" s="100"/>
      <c r="EF268" s="100"/>
      <c r="EG268" s="100"/>
      <c r="EH268" s="100"/>
      <c r="EI268" s="100"/>
      <c r="EJ268" s="100"/>
      <c r="EK268" s="100"/>
      <c r="EL268" s="100"/>
      <c r="EM268" s="100"/>
      <c r="EN268" s="100"/>
      <c r="EO268" s="100"/>
      <c r="EP268" s="100"/>
      <c r="EQ268" s="100"/>
      <c r="ER268" s="100"/>
      <c r="ES268" s="100"/>
      <c r="ET268" s="100"/>
      <c r="EU268" s="100"/>
      <c r="EV268" s="100"/>
      <c r="EW268" s="100"/>
      <c r="EX268" s="100"/>
      <c r="EY268" s="100"/>
      <c r="EZ268" s="100"/>
      <c r="FA268" s="100"/>
      <c r="FB268" s="100"/>
      <c r="FC268" s="100"/>
      <c r="FD268" s="100"/>
      <c r="FE268" s="100"/>
      <c r="FF268" s="100"/>
      <c r="FG268" s="100"/>
      <c r="FH268" s="100"/>
      <c r="FI268" s="100"/>
      <c r="FJ268" s="100"/>
      <c r="FK268" s="100"/>
      <c r="FL268" s="100"/>
      <c r="FM268" s="100"/>
      <c r="FN268" s="100"/>
      <c r="FO268" s="100"/>
      <c r="FP268" s="100"/>
      <c r="FQ268" s="100"/>
      <c r="FR268" s="100"/>
      <c r="FS268" s="100"/>
      <c r="FT268" s="100"/>
      <c r="FU268" s="100"/>
      <c r="FV268" s="100"/>
      <c r="FW268" s="100"/>
      <c r="FX268" s="100"/>
      <c r="FY268" s="100"/>
      <c r="FZ268" s="100"/>
      <c r="GA268" s="100"/>
      <c r="GB268" s="100"/>
      <c r="GC268" s="100"/>
      <c r="GD268" s="100"/>
      <c r="GE268" s="100"/>
      <c r="GF268" s="100"/>
      <c r="GG268" s="100"/>
      <c r="GH268" s="100"/>
      <c r="GI268" s="100"/>
      <c r="GJ268" s="100"/>
      <c r="GK268" s="100"/>
      <c r="GL268" s="100"/>
      <c r="GM268" s="100"/>
      <c r="GN268" s="100"/>
      <c r="GO268" s="100"/>
      <c r="GP268" s="100"/>
      <c r="GQ268" s="100"/>
      <c r="GR268" s="100"/>
      <c r="GS268" s="100"/>
      <c r="GT268" s="100"/>
      <c r="GU268" s="100"/>
      <c r="GV268" s="100"/>
      <c r="GW268" s="100"/>
      <c r="GX268" s="100"/>
      <c r="GY268" s="100"/>
      <c r="GZ268" s="100"/>
      <c r="HA268" s="100"/>
      <c r="HB268" s="100"/>
      <c r="HC268" s="100"/>
      <c r="HD268" s="100"/>
      <c r="HE268" s="100"/>
      <c r="HF268" s="100"/>
      <c r="HG268" s="100"/>
      <c r="HH268" s="100"/>
      <c r="HI268" s="100"/>
      <c r="HJ268" s="100"/>
      <c r="HK268" s="100"/>
      <c r="HL268" s="100"/>
      <c r="HM268" s="100"/>
      <c r="HN268" s="100"/>
      <c r="HO268" s="100"/>
      <c r="HP268" s="100"/>
      <c r="HQ268" s="100"/>
      <c r="HR268" s="100"/>
      <c r="HS268" s="100"/>
      <c r="HT268" s="100"/>
      <c r="HU268" s="100"/>
      <c r="HV268" s="100"/>
      <c r="HW268" s="100"/>
      <c r="HX268" s="100"/>
      <c r="HY268" s="100"/>
      <c r="HZ268" s="100"/>
    </row>
    <row r="269" customFormat="false" ht="12.8" hidden="false" customHeight="false" outlineLevel="0" collapsed="false">
      <c r="A269" s="100"/>
      <c r="B269" s="100"/>
      <c r="C269" s="100"/>
      <c r="D269" s="100"/>
      <c r="E269" s="100"/>
      <c r="F269" s="100"/>
      <c r="G269" s="163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63"/>
      <c r="AJ269" s="100"/>
      <c r="AK269" s="100"/>
      <c r="AL269" s="163"/>
      <c r="AM269" s="100"/>
      <c r="AN269" s="100"/>
      <c r="AO269" s="100"/>
      <c r="AP269" s="100"/>
      <c r="AQ269" s="100"/>
      <c r="AR269" s="100"/>
      <c r="AS269" s="100"/>
      <c r="AT269" s="100"/>
      <c r="AU269" s="100"/>
      <c r="AV269" s="100"/>
      <c r="AW269" s="100"/>
      <c r="AX269" s="100"/>
      <c r="AY269" s="100"/>
      <c r="AZ269" s="100"/>
      <c r="BA269" s="100"/>
      <c r="BB269" s="100"/>
      <c r="BC269" s="100"/>
      <c r="BD269" s="100"/>
      <c r="BE269" s="100"/>
      <c r="BF269" s="100"/>
      <c r="BG269" s="100"/>
      <c r="BH269" s="100"/>
      <c r="BI269" s="100"/>
      <c r="BJ269" s="100"/>
      <c r="BK269" s="100"/>
      <c r="BL269" s="100"/>
      <c r="BM269" s="100"/>
      <c r="BN269" s="100"/>
      <c r="BO269" s="100"/>
      <c r="BP269" s="100"/>
      <c r="BQ269" s="100"/>
      <c r="BR269" s="100"/>
      <c r="BS269" s="100"/>
      <c r="BT269" s="100"/>
      <c r="BU269" s="100"/>
      <c r="BV269" s="100"/>
      <c r="BW269" s="100"/>
      <c r="BX269" s="100"/>
      <c r="BY269" s="100"/>
      <c r="BZ269" s="100"/>
      <c r="CA269" s="100"/>
      <c r="CB269" s="100"/>
      <c r="CC269" s="100"/>
      <c r="CD269" s="100"/>
      <c r="CE269" s="100"/>
      <c r="CF269" s="100"/>
      <c r="CG269" s="100"/>
      <c r="CH269" s="100"/>
      <c r="CI269" s="100"/>
      <c r="CJ269" s="120"/>
      <c r="CK269" s="120"/>
      <c r="CL269" s="120"/>
      <c r="CM269" s="120"/>
      <c r="CN269" s="120"/>
      <c r="CO269" s="120"/>
      <c r="CP269" s="120"/>
      <c r="CQ269" s="100"/>
      <c r="CR269" s="100"/>
      <c r="CS269" s="100"/>
      <c r="CT269" s="100"/>
      <c r="CU269" s="100"/>
      <c r="CV269" s="100"/>
      <c r="CW269" s="100"/>
      <c r="CX269" s="100"/>
      <c r="CY269" s="100"/>
      <c r="CZ269" s="100"/>
      <c r="DA269" s="100"/>
      <c r="DB269" s="100"/>
      <c r="DC269" s="100"/>
      <c r="DD269" s="100"/>
      <c r="DE269" s="100"/>
      <c r="DF269" s="100"/>
      <c r="DG269" s="100"/>
      <c r="DH269" s="100"/>
      <c r="DI269" s="100"/>
      <c r="DJ269" s="100"/>
      <c r="DK269" s="100"/>
      <c r="DL269" s="100"/>
      <c r="DM269" s="100"/>
      <c r="DN269" s="100"/>
      <c r="DO269" s="100"/>
      <c r="DP269" s="100"/>
      <c r="DQ269" s="100"/>
      <c r="DR269" s="100"/>
      <c r="DS269" s="100"/>
      <c r="DT269" s="100"/>
      <c r="DU269" s="100"/>
      <c r="DV269" s="100"/>
      <c r="DW269" s="100"/>
      <c r="DX269" s="100"/>
      <c r="DY269" s="100"/>
      <c r="DZ269" s="100"/>
      <c r="EA269" s="100"/>
      <c r="EB269" s="100"/>
      <c r="EC269" s="100"/>
      <c r="ED269" s="100"/>
      <c r="EE269" s="100"/>
      <c r="EF269" s="100"/>
      <c r="EG269" s="100"/>
      <c r="EH269" s="100"/>
      <c r="EI269" s="100"/>
      <c r="EJ269" s="100"/>
      <c r="EK269" s="100"/>
      <c r="EL269" s="100"/>
      <c r="EM269" s="100"/>
      <c r="EN269" s="100"/>
      <c r="EO269" s="100"/>
      <c r="EP269" s="100"/>
      <c r="EQ269" s="100"/>
      <c r="ER269" s="100"/>
      <c r="ES269" s="100"/>
      <c r="ET269" s="100"/>
      <c r="EU269" s="100"/>
      <c r="EV269" s="100"/>
      <c r="EW269" s="100"/>
      <c r="EX269" s="100"/>
      <c r="EY269" s="100"/>
      <c r="EZ269" s="100"/>
      <c r="FA269" s="100"/>
      <c r="FB269" s="100"/>
      <c r="FC269" s="100"/>
      <c r="FD269" s="100"/>
      <c r="FE269" s="100"/>
      <c r="FF269" s="100"/>
      <c r="FG269" s="100"/>
      <c r="FH269" s="100"/>
      <c r="FI269" s="100"/>
      <c r="FJ269" s="100"/>
      <c r="FK269" s="100"/>
      <c r="FL269" s="100"/>
      <c r="FM269" s="100"/>
      <c r="FN269" s="100"/>
      <c r="FO269" s="100"/>
      <c r="FP269" s="100"/>
      <c r="FQ269" s="100"/>
      <c r="FR269" s="100"/>
      <c r="FS269" s="100"/>
      <c r="FT269" s="100"/>
      <c r="FU269" s="100"/>
      <c r="FV269" s="100"/>
      <c r="FW269" s="100"/>
      <c r="FX269" s="100"/>
      <c r="FY269" s="100"/>
      <c r="FZ269" s="100"/>
      <c r="GA269" s="100"/>
      <c r="GB269" s="100"/>
      <c r="GC269" s="100"/>
      <c r="GD269" s="100"/>
      <c r="GE269" s="100"/>
      <c r="GF269" s="100"/>
      <c r="GG269" s="100"/>
      <c r="GH269" s="100"/>
      <c r="GI269" s="100"/>
      <c r="GJ269" s="100"/>
      <c r="GK269" s="100"/>
      <c r="GL269" s="100"/>
      <c r="GM269" s="100"/>
      <c r="GN269" s="100"/>
      <c r="GO269" s="100"/>
      <c r="GP269" s="100"/>
      <c r="GQ269" s="100"/>
      <c r="GR269" s="100"/>
      <c r="GS269" s="100"/>
      <c r="GT269" s="100"/>
      <c r="GU269" s="100"/>
      <c r="GV269" s="100"/>
      <c r="GW269" s="100"/>
      <c r="GX269" s="100"/>
      <c r="GY269" s="100"/>
      <c r="GZ269" s="100"/>
      <c r="HA269" s="100"/>
      <c r="HB269" s="100"/>
      <c r="HC269" s="100"/>
      <c r="HD269" s="100"/>
      <c r="HE269" s="100"/>
      <c r="HF269" s="100"/>
      <c r="HG269" s="100"/>
      <c r="HH269" s="100"/>
      <c r="HI269" s="100"/>
      <c r="HJ269" s="100"/>
      <c r="HK269" s="100"/>
      <c r="HL269" s="100"/>
      <c r="HM269" s="100"/>
      <c r="HN269" s="100"/>
      <c r="HO269" s="100"/>
      <c r="HP269" s="100"/>
      <c r="HQ269" s="100"/>
      <c r="HR269" s="100"/>
      <c r="HS269" s="100"/>
      <c r="HT269" s="100"/>
      <c r="HU269" s="100"/>
      <c r="HV269" s="100"/>
      <c r="HW269" s="100"/>
      <c r="HX269" s="100"/>
      <c r="HY269" s="100"/>
      <c r="HZ269" s="100"/>
    </row>
    <row r="270" customFormat="false" ht="12.8" hidden="false" customHeight="false" outlineLevel="0" collapsed="false">
      <c r="A270" s="100"/>
      <c r="B270" s="100"/>
      <c r="C270" s="100"/>
      <c r="D270" s="100"/>
      <c r="E270" s="100"/>
      <c r="F270" s="100"/>
      <c r="G270" s="163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63"/>
      <c r="AJ270" s="100"/>
      <c r="AK270" s="100"/>
      <c r="AL270" s="163"/>
      <c r="AM270" s="100"/>
      <c r="AN270" s="100"/>
      <c r="AO270" s="100"/>
      <c r="AP270" s="100"/>
      <c r="AQ270" s="100"/>
      <c r="AR270" s="100"/>
      <c r="AS270" s="100"/>
      <c r="AT270" s="100"/>
      <c r="AU270" s="100"/>
      <c r="AV270" s="100"/>
      <c r="AW270" s="100"/>
      <c r="AX270" s="100"/>
      <c r="AY270" s="100"/>
      <c r="AZ270" s="100"/>
      <c r="BA270" s="100"/>
      <c r="BB270" s="100"/>
      <c r="BC270" s="100"/>
      <c r="BD270" s="100"/>
      <c r="BE270" s="100"/>
      <c r="BF270" s="100"/>
      <c r="BG270" s="100"/>
      <c r="BH270" s="100"/>
      <c r="BI270" s="100"/>
      <c r="BJ270" s="100"/>
      <c r="BK270" s="100"/>
      <c r="BL270" s="100"/>
      <c r="BM270" s="100"/>
      <c r="BN270" s="100"/>
      <c r="BO270" s="100"/>
      <c r="BP270" s="100"/>
      <c r="BQ270" s="100"/>
      <c r="BR270" s="100"/>
      <c r="BS270" s="100"/>
      <c r="BT270" s="100"/>
      <c r="BU270" s="100"/>
      <c r="BV270" s="100"/>
      <c r="BW270" s="100"/>
      <c r="BX270" s="100"/>
      <c r="BY270" s="100"/>
      <c r="BZ270" s="100"/>
      <c r="CA270" s="100"/>
      <c r="CB270" s="100"/>
      <c r="CC270" s="100"/>
      <c r="CD270" s="100"/>
      <c r="CE270" s="100"/>
      <c r="CF270" s="100"/>
      <c r="CG270" s="100"/>
      <c r="CH270" s="100"/>
      <c r="CI270" s="100"/>
      <c r="CJ270" s="120"/>
      <c r="CK270" s="120"/>
      <c r="CL270" s="120"/>
      <c r="CM270" s="120"/>
      <c r="CN270" s="120"/>
      <c r="CO270" s="120"/>
      <c r="CP270" s="120"/>
      <c r="CQ270" s="100"/>
      <c r="CR270" s="100"/>
      <c r="CS270" s="100"/>
      <c r="CT270" s="100"/>
      <c r="CU270" s="100"/>
      <c r="CV270" s="100"/>
      <c r="CW270" s="100"/>
      <c r="CX270" s="100"/>
      <c r="CY270" s="100"/>
      <c r="CZ270" s="100"/>
      <c r="DA270" s="100"/>
      <c r="DB270" s="100"/>
      <c r="DC270" s="100"/>
      <c r="DD270" s="100"/>
      <c r="DE270" s="100"/>
      <c r="DF270" s="100"/>
      <c r="DG270" s="100"/>
      <c r="DH270" s="100"/>
      <c r="DI270" s="100"/>
      <c r="DJ270" s="100"/>
      <c r="DK270" s="100"/>
      <c r="DL270" s="100"/>
      <c r="DM270" s="100"/>
      <c r="DN270" s="100"/>
      <c r="DO270" s="100"/>
      <c r="DP270" s="100"/>
      <c r="DQ270" s="100"/>
      <c r="DR270" s="100"/>
      <c r="DS270" s="100"/>
      <c r="DT270" s="100"/>
      <c r="DU270" s="100"/>
      <c r="DV270" s="100"/>
      <c r="DW270" s="100"/>
      <c r="DX270" s="100"/>
      <c r="DY270" s="100"/>
      <c r="DZ270" s="100"/>
      <c r="EA270" s="100"/>
      <c r="EB270" s="100"/>
      <c r="EC270" s="100"/>
      <c r="ED270" s="100"/>
      <c r="EE270" s="100"/>
      <c r="EF270" s="100"/>
      <c r="EG270" s="100"/>
      <c r="EH270" s="100"/>
      <c r="EI270" s="100"/>
      <c r="EJ270" s="100"/>
      <c r="EK270" s="100"/>
      <c r="EL270" s="100"/>
      <c r="EM270" s="100"/>
      <c r="EN270" s="100"/>
      <c r="EO270" s="100"/>
      <c r="EP270" s="100"/>
      <c r="EQ270" s="100"/>
      <c r="ER270" s="100"/>
      <c r="ES270" s="100"/>
      <c r="ET270" s="100"/>
      <c r="EU270" s="100"/>
      <c r="EV270" s="100"/>
      <c r="EW270" s="100"/>
      <c r="EX270" s="100"/>
      <c r="EY270" s="100"/>
      <c r="EZ270" s="100"/>
      <c r="FA270" s="100"/>
      <c r="FB270" s="100"/>
      <c r="FC270" s="100"/>
      <c r="FD270" s="100"/>
      <c r="FE270" s="100"/>
      <c r="FF270" s="100"/>
      <c r="FG270" s="100"/>
      <c r="FH270" s="100"/>
      <c r="FI270" s="100"/>
      <c r="FJ270" s="100"/>
      <c r="FK270" s="100"/>
      <c r="FL270" s="100"/>
      <c r="FM270" s="100"/>
      <c r="FN270" s="100"/>
      <c r="FO270" s="100"/>
      <c r="FP270" s="100"/>
      <c r="FQ270" s="100"/>
      <c r="FR270" s="100"/>
      <c r="FS270" s="100"/>
      <c r="FT270" s="100"/>
      <c r="FU270" s="100"/>
      <c r="FV270" s="100"/>
      <c r="FW270" s="100"/>
      <c r="FX270" s="100"/>
      <c r="FY270" s="100"/>
      <c r="FZ270" s="100"/>
      <c r="GA270" s="100"/>
      <c r="GB270" s="100"/>
      <c r="GC270" s="100"/>
      <c r="GD270" s="100"/>
      <c r="GE270" s="100"/>
      <c r="GF270" s="100"/>
      <c r="GG270" s="100"/>
      <c r="GH270" s="100"/>
      <c r="GI270" s="100"/>
      <c r="GJ270" s="100"/>
      <c r="GK270" s="100"/>
      <c r="GL270" s="100"/>
      <c r="GM270" s="100"/>
      <c r="GN270" s="100"/>
      <c r="GO270" s="100"/>
      <c r="GP270" s="100"/>
      <c r="GQ270" s="100"/>
      <c r="GR270" s="100"/>
      <c r="GS270" s="100"/>
      <c r="GT270" s="100"/>
      <c r="GU270" s="100"/>
      <c r="GV270" s="100"/>
      <c r="GW270" s="100"/>
      <c r="GX270" s="100"/>
      <c r="GY270" s="100"/>
      <c r="GZ270" s="100"/>
      <c r="HA270" s="100"/>
      <c r="HB270" s="100"/>
      <c r="HC270" s="100"/>
      <c r="HD270" s="100"/>
      <c r="HE270" s="100"/>
      <c r="HF270" s="100"/>
      <c r="HG270" s="100"/>
      <c r="HH270" s="100"/>
      <c r="HI270" s="100"/>
      <c r="HJ270" s="100"/>
      <c r="HK270" s="100"/>
      <c r="HL270" s="100"/>
      <c r="HM270" s="100"/>
      <c r="HN270" s="100"/>
      <c r="HO270" s="100"/>
      <c r="HP270" s="100"/>
      <c r="HQ270" s="100"/>
      <c r="HR270" s="100"/>
      <c r="HS270" s="100"/>
      <c r="HT270" s="100"/>
      <c r="HU270" s="100"/>
      <c r="HV270" s="100"/>
      <c r="HW270" s="100"/>
      <c r="HX270" s="100"/>
      <c r="HY270" s="100"/>
      <c r="HZ270" s="100"/>
    </row>
    <row r="271" customFormat="false" ht="12.8" hidden="false" customHeight="false" outlineLevel="0" collapsed="false">
      <c r="A271" s="100"/>
      <c r="B271" s="100"/>
      <c r="C271" s="100"/>
      <c r="D271" s="100"/>
      <c r="E271" s="100"/>
      <c r="F271" s="100"/>
      <c r="G271" s="163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63"/>
      <c r="AJ271" s="100"/>
      <c r="AK271" s="100"/>
      <c r="AL271" s="163"/>
      <c r="AM271" s="100"/>
      <c r="AN271" s="100"/>
      <c r="AO271" s="100"/>
      <c r="AP271" s="100"/>
      <c r="AQ271" s="100"/>
      <c r="AR271" s="100"/>
      <c r="AS271" s="100"/>
      <c r="AT271" s="100"/>
      <c r="AU271" s="100"/>
      <c r="AV271" s="100"/>
      <c r="AW271" s="100"/>
      <c r="AX271" s="100"/>
      <c r="AY271" s="100"/>
      <c r="AZ271" s="100"/>
      <c r="BA271" s="100"/>
      <c r="BB271" s="100"/>
      <c r="BC271" s="100"/>
      <c r="BD271" s="100"/>
      <c r="BE271" s="100"/>
      <c r="BF271" s="100"/>
      <c r="BG271" s="100"/>
      <c r="BH271" s="100"/>
      <c r="BI271" s="100"/>
      <c r="BJ271" s="100"/>
      <c r="BK271" s="100"/>
      <c r="BL271" s="100"/>
      <c r="BM271" s="100"/>
      <c r="BN271" s="100"/>
      <c r="BO271" s="100"/>
      <c r="BP271" s="100"/>
      <c r="BQ271" s="100"/>
      <c r="BR271" s="100"/>
      <c r="BS271" s="100"/>
      <c r="BT271" s="100"/>
      <c r="BU271" s="100"/>
      <c r="BV271" s="100"/>
      <c r="BW271" s="100"/>
      <c r="BX271" s="100"/>
      <c r="BY271" s="100"/>
      <c r="BZ271" s="100"/>
      <c r="CA271" s="100"/>
      <c r="CB271" s="100"/>
      <c r="CC271" s="100"/>
      <c r="CD271" s="100"/>
      <c r="CE271" s="100"/>
      <c r="CF271" s="100"/>
      <c r="CG271" s="100"/>
      <c r="CH271" s="100"/>
      <c r="CI271" s="100"/>
      <c r="CJ271" s="120"/>
      <c r="CK271" s="120"/>
      <c r="CL271" s="120"/>
      <c r="CM271" s="120"/>
      <c r="CN271" s="120"/>
      <c r="CO271" s="120"/>
      <c r="CP271" s="120"/>
      <c r="CQ271" s="100"/>
      <c r="CR271" s="100"/>
      <c r="CS271" s="100"/>
      <c r="CT271" s="100"/>
      <c r="CU271" s="100"/>
      <c r="CV271" s="100"/>
      <c r="CW271" s="100"/>
      <c r="CX271" s="100"/>
      <c r="CY271" s="100"/>
      <c r="CZ271" s="100"/>
      <c r="DA271" s="100"/>
      <c r="DB271" s="100"/>
      <c r="DC271" s="100"/>
      <c r="DD271" s="100"/>
      <c r="DE271" s="100"/>
      <c r="DF271" s="100"/>
      <c r="DG271" s="100"/>
      <c r="DH271" s="100"/>
      <c r="DI271" s="100"/>
      <c r="DJ271" s="100"/>
      <c r="DK271" s="100"/>
      <c r="DL271" s="100"/>
      <c r="DM271" s="100"/>
      <c r="DN271" s="100"/>
      <c r="DO271" s="100"/>
      <c r="DP271" s="100"/>
      <c r="DQ271" s="100"/>
      <c r="DR271" s="100"/>
      <c r="DS271" s="100"/>
      <c r="DT271" s="100"/>
      <c r="DU271" s="100"/>
      <c r="DV271" s="100"/>
      <c r="DW271" s="100"/>
      <c r="DX271" s="100"/>
      <c r="DY271" s="100"/>
      <c r="DZ271" s="100"/>
      <c r="EA271" s="100"/>
      <c r="EB271" s="100"/>
      <c r="EC271" s="100"/>
      <c r="ED271" s="100"/>
      <c r="EE271" s="100"/>
      <c r="EF271" s="100"/>
      <c r="EG271" s="100"/>
      <c r="EH271" s="100"/>
      <c r="EI271" s="100"/>
      <c r="EJ271" s="100"/>
      <c r="EK271" s="100"/>
      <c r="EL271" s="100"/>
      <c r="EM271" s="100"/>
      <c r="EN271" s="100"/>
      <c r="EO271" s="100"/>
      <c r="EP271" s="100"/>
      <c r="EQ271" s="100"/>
      <c r="ER271" s="100"/>
      <c r="ES271" s="100"/>
      <c r="ET271" s="100"/>
      <c r="EU271" s="100"/>
      <c r="EV271" s="100"/>
      <c r="EW271" s="100"/>
      <c r="EX271" s="100"/>
      <c r="EY271" s="100"/>
      <c r="EZ271" s="100"/>
      <c r="FA271" s="100"/>
      <c r="FB271" s="100"/>
      <c r="FC271" s="100"/>
      <c r="FD271" s="100"/>
      <c r="FE271" s="100"/>
      <c r="FF271" s="100"/>
      <c r="FG271" s="100"/>
      <c r="FH271" s="100"/>
      <c r="FI271" s="100"/>
      <c r="FJ271" s="100"/>
      <c r="FK271" s="100"/>
      <c r="FL271" s="100"/>
      <c r="FM271" s="100"/>
      <c r="FN271" s="100"/>
      <c r="FO271" s="100"/>
      <c r="FP271" s="100"/>
      <c r="FQ271" s="100"/>
      <c r="FR271" s="100"/>
      <c r="FS271" s="100"/>
      <c r="FT271" s="100"/>
      <c r="FU271" s="100"/>
      <c r="FV271" s="100"/>
      <c r="FW271" s="100"/>
      <c r="FX271" s="100"/>
      <c r="FY271" s="100"/>
      <c r="FZ271" s="100"/>
      <c r="GA271" s="100"/>
      <c r="GB271" s="100"/>
      <c r="GC271" s="100"/>
      <c r="GD271" s="100"/>
      <c r="GE271" s="100"/>
      <c r="GF271" s="100"/>
      <c r="GG271" s="100"/>
      <c r="GH271" s="100"/>
      <c r="GI271" s="100"/>
      <c r="GJ271" s="100"/>
      <c r="GK271" s="100"/>
      <c r="GL271" s="100"/>
      <c r="GM271" s="100"/>
      <c r="GN271" s="100"/>
      <c r="GO271" s="100"/>
      <c r="GP271" s="100"/>
      <c r="GQ271" s="100"/>
      <c r="GR271" s="100"/>
      <c r="GS271" s="100"/>
      <c r="GT271" s="100"/>
      <c r="GU271" s="100"/>
      <c r="GV271" s="100"/>
      <c r="GW271" s="100"/>
      <c r="GX271" s="100"/>
      <c r="GY271" s="100"/>
      <c r="GZ271" s="100"/>
      <c r="HA271" s="100"/>
      <c r="HB271" s="100"/>
      <c r="HC271" s="100"/>
      <c r="HD271" s="100"/>
      <c r="HE271" s="100"/>
      <c r="HF271" s="100"/>
      <c r="HG271" s="100"/>
      <c r="HH271" s="100"/>
      <c r="HI271" s="100"/>
      <c r="HJ271" s="100"/>
      <c r="HK271" s="100"/>
      <c r="HL271" s="100"/>
      <c r="HM271" s="100"/>
      <c r="HN271" s="100"/>
      <c r="HO271" s="100"/>
      <c r="HP271" s="100"/>
      <c r="HQ271" s="100"/>
      <c r="HR271" s="100"/>
      <c r="HS271" s="100"/>
      <c r="HT271" s="100"/>
      <c r="HU271" s="100"/>
      <c r="HV271" s="100"/>
      <c r="HW271" s="100"/>
      <c r="HX271" s="100"/>
      <c r="HY271" s="100"/>
      <c r="HZ271" s="100"/>
    </row>
    <row r="272" customFormat="false" ht="12.8" hidden="false" customHeight="false" outlineLevel="0" collapsed="false">
      <c r="A272" s="100"/>
      <c r="B272" s="100"/>
      <c r="C272" s="100"/>
      <c r="D272" s="100"/>
      <c r="E272" s="100"/>
      <c r="F272" s="100"/>
      <c r="G272" s="163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63"/>
      <c r="AJ272" s="100"/>
      <c r="AK272" s="100"/>
      <c r="AL272" s="163"/>
      <c r="AM272" s="100"/>
      <c r="AN272" s="100"/>
      <c r="AO272" s="100"/>
      <c r="AP272" s="100"/>
      <c r="AQ272" s="100"/>
      <c r="AR272" s="100"/>
      <c r="AS272" s="100"/>
      <c r="AT272" s="100"/>
      <c r="AU272" s="100"/>
      <c r="AV272" s="100"/>
      <c r="AW272" s="100"/>
      <c r="AX272" s="100"/>
      <c r="AY272" s="100"/>
      <c r="AZ272" s="100"/>
      <c r="BA272" s="100"/>
      <c r="BB272" s="100"/>
      <c r="BC272" s="100"/>
      <c r="BD272" s="100"/>
      <c r="BE272" s="100"/>
      <c r="BF272" s="100"/>
      <c r="BG272" s="100"/>
      <c r="BH272" s="100"/>
      <c r="BI272" s="100"/>
      <c r="BJ272" s="100"/>
      <c r="BK272" s="100"/>
      <c r="BL272" s="100"/>
      <c r="BM272" s="100"/>
      <c r="BN272" s="100"/>
      <c r="BO272" s="100"/>
      <c r="BP272" s="100"/>
      <c r="BQ272" s="100"/>
      <c r="BR272" s="100"/>
      <c r="BS272" s="100"/>
      <c r="BT272" s="100"/>
      <c r="BU272" s="100"/>
      <c r="BV272" s="100"/>
      <c r="BW272" s="100"/>
      <c r="BX272" s="100"/>
      <c r="BY272" s="100"/>
      <c r="BZ272" s="100"/>
      <c r="CA272" s="100"/>
      <c r="CB272" s="100"/>
      <c r="CC272" s="100"/>
      <c r="CD272" s="100"/>
      <c r="CE272" s="100"/>
      <c r="CF272" s="100"/>
      <c r="CG272" s="100"/>
      <c r="CH272" s="100"/>
      <c r="CI272" s="100"/>
      <c r="CJ272" s="120"/>
      <c r="CK272" s="120"/>
      <c r="CL272" s="120"/>
      <c r="CM272" s="120"/>
      <c r="CN272" s="120"/>
      <c r="CO272" s="120"/>
      <c r="CP272" s="120"/>
      <c r="CQ272" s="100"/>
      <c r="CR272" s="100"/>
      <c r="CS272" s="100"/>
      <c r="CT272" s="100"/>
      <c r="CU272" s="100"/>
      <c r="CV272" s="100"/>
      <c r="CW272" s="100"/>
      <c r="CX272" s="100"/>
      <c r="CY272" s="100"/>
      <c r="CZ272" s="100"/>
      <c r="DA272" s="100"/>
      <c r="DB272" s="100"/>
      <c r="DC272" s="100"/>
      <c r="DD272" s="100"/>
      <c r="DE272" s="100"/>
      <c r="DF272" s="100"/>
      <c r="DG272" s="100"/>
      <c r="DH272" s="100"/>
      <c r="DI272" s="100"/>
      <c r="DJ272" s="100"/>
      <c r="DK272" s="100"/>
      <c r="DL272" s="100"/>
      <c r="DM272" s="100"/>
      <c r="DN272" s="100"/>
      <c r="DO272" s="100"/>
      <c r="DP272" s="100"/>
      <c r="DQ272" s="100"/>
      <c r="DR272" s="100"/>
      <c r="DS272" s="100"/>
      <c r="DT272" s="100"/>
      <c r="DU272" s="100"/>
      <c r="DV272" s="100"/>
      <c r="DW272" s="100"/>
      <c r="DX272" s="100"/>
      <c r="DY272" s="100"/>
      <c r="DZ272" s="100"/>
      <c r="EA272" s="100"/>
      <c r="EB272" s="100"/>
      <c r="EC272" s="100"/>
      <c r="ED272" s="100"/>
      <c r="EE272" s="100"/>
      <c r="EF272" s="100"/>
      <c r="EG272" s="100"/>
      <c r="EH272" s="100"/>
      <c r="EI272" s="100"/>
      <c r="EJ272" s="100"/>
      <c r="EK272" s="100"/>
      <c r="EL272" s="100"/>
      <c r="EM272" s="100"/>
      <c r="EN272" s="100"/>
      <c r="EO272" s="100"/>
      <c r="EP272" s="100"/>
      <c r="EQ272" s="100"/>
      <c r="ER272" s="100"/>
      <c r="ES272" s="100"/>
      <c r="ET272" s="100"/>
      <c r="EU272" s="100"/>
      <c r="EV272" s="100"/>
      <c r="EW272" s="100"/>
      <c r="EX272" s="100"/>
      <c r="EY272" s="100"/>
      <c r="EZ272" s="100"/>
      <c r="FA272" s="100"/>
      <c r="FB272" s="100"/>
      <c r="FC272" s="100"/>
      <c r="FD272" s="100"/>
      <c r="FE272" s="100"/>
      <c r="FF272" s="100"/>
      <c r="FG272" s="100"/>
      <c r="FH272" s="100"/>
      <c r="FI272" s="100"/>
      <c r="FJ272" s="100"/>
      <c r="FK272" s="100"/>
      <c r="FL272" s="100"/>
      <c r="FM272" s="100"/>
      <c r="FN272" s="100"/>
      <c r="FO272" s="100"/>
      <c r="FP272" s="100"/>
      <c r="FQ272" s="100"/>
      <c r="FR272" s="100"/>
      <c r="FS272" s="100"/>
      <c r="FT272" s="100"/>
      <c r="FU272" s="100"/>
      <c r="FV272" s="100"/>
      <c r="FW272" s="100"/>
      <c r="FX272" s="100"/>
      <c r="FY272" s="100"/>
      <c r="FZ272" s="100"/>
      <c r="GA272" s="100"/>
      <c r="GB272" s="100"/>
      <c r="GC272" s="100"/>
      <c r="GD272" s="100"/>
      <c r="GE272" s="100"/>
      <c r="GF272" s="100"/>
      <c r="GG272" s="100"/>
      <c r="GH272" s="100"/>
      <c r="GI272" s="100"/>
      <c r="GJ272" s="100"/>
      <c r="GK272" s="100"/>
      <c r="GL272" s="100"/>
      <c r="GM272" s="100"/>
      <c r="GN272" s="100"/>
      <c r="GO272" s="100"/>
      <c r="GP272" s="100"/>
      <c r="GQ272" s="100"/>
      <c r="GR272" s="100"/>
      <c r="GS272" s="100"/>
      <c r="GT272" s="100"/>
      <c r="GU272" s="100"/>
      <c r="GV272" s="100"/>
      <c r="GW272" s="100"/>
      <c r="GX272" s="100"/>
      <c r="GY272" s="100"/>
      <c r="GZ272" s="100"/>
      <c r="HA272" s="100"/>
      <c r="HB272" s="100"/>
      <c r="HC272" s="100"/>
      <c r="HD272" s="100"/>
      <c r="HE272" s="100"/>
      <c r="HF272" s="100"/>
      <c r="HG272" s="100"/>
      <c r="HH272" s="100"/>
      <c r="HI272" s="100"/>
      <c r="HJ272" s="100"/>
      <c r="HK272" s="100"/>
      <c r="HL272" s="100"/>
      <c r="HM272" s="100"/>
      <c r="HN272" s="100"/>
      <c r="HO272" s="100"/>
      <c r="HP272" s="100"/>
      <c r="HQ272" s="100"/>
      <c r="HR272" s="100"/>
      <c r="HS272" s="100"/>
      <c r="HT272" s="100"/>
      <c r="HU272" s="100"/>
      <c r="HV272" s="100"/>
      <c r="HW272" s="100"/>
      <c r="HX272" s="100"/>
      <c r="HY272" s="100"/>
      <c r="HZ272" s="100"/>
    </row>
    <row r="273" customFormat="false" ht="12.8" hidden="false" customHeight="false" outlineLevel="0" collapsed="false">
      <c r="A273" s="100"/>
      <c r="B273" s="100"/>
      <c r="C273" s="100"/>
      <c r="D273" s="100"/>
      <c r="E273" s="100"/>
      <c r="F273" s="100"/>
      <c r="G273" s="163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63"/>
      <c r="AJ273" s="100"/>
      <c r="AK273" s="100"/>
      <c r="AL273" s="163"/>
      <c r="AM273" s="100"/>
      <c r="AN273" s="100"/>
      <c r="AO273" s="100"/>
      <c r="AP273" s="100"/>
      <c r="AQ273" s="100"/>
      <c r="AR273" s="100"/>
      <c r="AS273" s="100"/>
      <c r="AT273" s="100"/>
      <c r="AU273" s="100"/>
      <c r="AV273" s="100"/>
      <c r="AW273" s="100"/>
      <c r="AX273" s="100"/>
      <c r="AY273" s="100"/>
      <c r="AZ273" s="100"/>
      <c r="BA273" s="100"/>
      <c r="BB273" s="100"/>
      <c r="BC273" s="100"/>
      <c r="BD273" s="100"/>
      <c r="BE273" s="100"/>
      <c r="BF273" s="100"/>
      <c r="BG273" s="100"/>
      <c r="BH273" s="100"/>
      <c r="BI273" s="100"/>
      <c r="BJ273" s="100"/>
      <c r="BK273" s="100"/>
      <c r="BL273" s="100"/>
      <c r="BM273" s="100"/>
      <c r="BN273" s="100"/>
      <c r="BO273" s="100"/>
      <c r="BP273" s="100"/>
      <c r="BQ273" s="100"/>
      <c r="BR273" s="100"/>
      <c r="BS273" s="100"/>
      <c r="BT273" s="100"/>
      <c r="BU273" s="100"/>
      <c r="BV273" s="100"/>
      <c r="BW273" s="100"/>
      <c r="BX273" s="100"/>
      <c r="BY273" s="100"/>
      <c r="BZ273" s="100"/>
      <c r="CA273" s="100"/>
      <c r="CB273" s="100"/>
      <c r="CC273" s="100"/>
      <c r="CD273" s="100"/>
      <c r="CE273" s="100"/>
      <c r="CF273" s="100"/>
      <c r="CG273" s="100"/>
      <c r="CH273" s="100"/>
      <c r="CI273" s="100"/>
      <c r="CJ273" s="120"/>
      <c r="CK273" s="120"/>
      <c r="CL273" s="120"/>
      <c r="CM273" s="120"/>
      <c r="CN273" s="120"/>
      <c r="CO273" s="120"/>
      <c r="CP273" s="120"/>
      <c r="CQ273" s="100"/>
      <c r="CR273" s="100"/>
      <c r="CS273" s="100"/>
      <c r="CT273" s="100"/>
      <c r="CU273" s="100"/>
      <c r="CV273" s="100"/>
      <c r="CW273" s="100"/>
      <c r="CX273" s="100"/>
      <c r="CY273" s="100"/>
      <c r="CZ273" s="100"/>
      <c r="DA273" s="100"/>
      <c r="DB273" s="100"/>
      <c r="DC273" s="100"/>
      <c r="DD273" s="100"/>
      <c r="DE273" s="100"/>
      <c r="DF273" s="100"/>
      <c r="DG273" s="100"/>
      <c r="DH273" s="100"/>
      <c r="DI273" s="100"/>
      <c r="DJ273" s="100"/>
      <c r="DK273" s="100"/>
      <c r="DL273" s="100"/>
      <c r="DM273" s="100"/>
      <c r="DN273" s="100"/>
      <c r="DO273" s="100"/>
      <c r="DP273" s="100"/>
      <c r="DQ273" s="100"/>
      <c r="DR273" s="100"/>
      <c r="DS273" s="100"/>
      <c r="DT273" s="100"/>
      <c r="DU273" s="100"/>
      <c r="DV273" s="100"/>
      <c r="DW273" s="100"/>
      <c r="DX273" s="100"/>
      <c r="DY273" s="100"/>
      <c r="DZ273" s="100"/>
      <c r="EA273" s="100"/>
      <c r="EB273" s="100"/>
      <c r="EC273" s="100"/>
      <c r="ED273" s="100"/>
      <c r="EE273" s="100"/>
      <c r="EF273" s="100"/>
      <c r="EG273" s="100"/>
      <c r="EH273" s="100"/>
      <c r="EI273" s="100"/>
      <c r="EJ273" s="100"/>
      <c r="EK273" s="100"/>
      <c r="EL273" s="100"/>
      <c r="EM273" s="100"/>
      <c r="EN273" s="100"/>
      <c r="EO273" s="100"/>
      <c r="EP273" s="100"/>
      <c r="EQ273" s="100"/>
      <c r="ER273" s="100"/>
      <c r="ES273" s="100"/>
      <c r="ET273" s="100"/>
      <c r="EU273" s="100"/>
      <c r="EV273" s="100"/>
      <c r="EW273" s="100"/>
      <c r="EX273" s="100"/>
      <c r="EY273" s="100"/>
      <c r="EZ273" s="100"/>
      <c r="FA273" s="100"/>
      <c r="FB273" s="100"/>
      <c r="FC273" s="100"/>
      <c r="FD273" s="100"/>
      <c r="FE273" s="100"/>
      <c r="FF273" s="100"/>
      <c r="FG273" s="100"/>
      <c r="FH273" s="100"/>
      <c r="FI273" s="100"/>
      <c r="FJ273" s="100"/>
      <c r="FK273" s="100"/>
      <c r="FL273" s="100"/>
      <c r="FM273" s="100"/>
      <c r="FN273" s="100"/>
      <c r="FO273" s="100"/>
      <c r="FP273" s="100"/>
      <c r="FQ273" s="100"/>
      <c r="FR273" s="100"/>
      <c r="FS273" s="100"/>
      <c r="FT273" s="100"/>
      <c r="FU273" s="100"/>
      <c r="FV273" s="100"/>
      <c r="FW273" s="100"/>
      <c r="FX273" s="100"/>
      <c r="FY273" s="100"/>
      <c r="FZ273" s="100"/>
      <c r="GA273" s="100"/>
      <c r="GB273" s="100"/>
      <c r="GC273" s="100"/>
      <c r="GD273" s="100"/>
      <c r="GE273" s="100"/>
      <c r="GF273" s="100"/>
      <c r="GG273" s="100"/>
      <c r="GH273" s="100"/>
      <c r="GI273" s="100"/>
      <c r="GJ273" s="100"/>
      <c r="GK273" s="100"/>
      <c r="GL273" s="100"/>
      <c r="GM273" s="100"/>
      <c r="GN273" s="100"/>
      <c r="GO273" s="100"/>
      <c r="GP273" s="100"/>
      <c r="GQ273" s="100"/>
      <c r="GR273" s="100"/>
      <c r="GS273" s="100"/>
      <c r="GT273" s="100"/>
      <c r="GU273" s="100"/>
      <c r="GV273" s="100"/>
      <c r="GW273" s="100"/>
      <c r="GX273" s="100"/>
      <c r="GY273" s="100"/>
      <c r="GZ273" s="100"/>
      <c r="HA273" s="100"/>
      <c r="HB273" s="100"/>
      <c r="HC273" s="100"/>
      <c r="HD273" s="100"/>
      <c r="HE273" s="100"/>
      <c r="HF273" s="100"/>
      <c r="HG273" s="100"/>
      <c r="HH273" s="100"/>
      <c r="HI273" s="100"/>
      <c r="HJ273" s="100"/>
      <c r="HK273" s="100"/>
      <c r="HL273" s="100"/>
      <c r="HM273" s="100"/>
      <c r="HN273" s="100"/>
      <c r="HO273" s="100"/>
      <c r="HP273" s="100"/>
      <c r="HQ273" s="100"/>
      <c r="HR273" s="100"/>
      <c r="HS273" s="100"/>
      <c r="HT273" s="100"/>
      <c r="HU273" s="100"/>
      <c r="HV273" s="100"/>
      <c r="HW273" s="100"/>
      <c r="HX273" s="100"/>
      <c r="HY273" s="100"/>
      <c r="HZ273" s="100"/>
    </row>
    <row r="274" customFormat="false" ht="12.8" hidden="false" customHeight="false" outlineLevel="0" collapsed="false">
      <c r="A274" s="100"/>
      <c r="B274" s="100"/>
      <c r="C274" s="100"/>
      <c r="D274" s="100"/>
      <c r="E274" s="100"/>
      <c r="F274" s="100"/>
      <c r="G274" s="163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63"/>
      <c r="AJ274" s="100"/>
      <c r="AK274" s="100"/>
      <c r="AL274" s="163"/>
      <c r="AM274" s="100"/>
      <c r="AN274" s="100"/>
      <c r="AO274" s="100"/>
      <c r="AP274" s="100"/>
      <c r="AQ274" s="100"/>
      <c r="AR274" s="100"/>
      <c r="AS274" s="100"/>
      <c r="AT274" s="100"/>
      <c r="AU274" s="100"/>
      <c r="AV274" s="100"/>
      <c r="AW274" s="100"/>
      <c r="AX274" s="100"/>
      <c r="AY274" s="100"/>
      <c r="AZ274" s="100"/>
      <c r="BA274" s="100"/>
      <c r="BB274" s="100"/>
      <c r="BC274" s="100"/>
      <c r="BD274" s="100"/>
      <c r="BE274" s="100"/>
      <c r="BF274" s="100"/>
      <c r="BG274" s="100"/>
      <c r="BH274" s="100"/>
      <c r="BI274" s="100"/>
      <c r="BJ274" s="100"/>
      <c r="BK274" s="100"/>
      <c r="BL274" s="100"/>
      <c r="BM274" s="100"/>
      <c r="BN274" s="100"/>
      <c r="BO274" s="100"/>
      <c r="BP274" s="100"/>
      <c r="BQ274" s="100"/>
      <c r="BR274" s="100"/>
      <c r="BS274" s="100"/>
      <c r="BT274" s="100"/>
      <c r="BU274" s="100"/>
      <c r="BV274" s="100"/>
      <c r="BW274" s="100"/>
      <c r="BX274" s="100"/>
      <c r="BY274" s="100"/>
      <c r="BZ274" s="100"/>
      <c r="CA274" s="100"/>
      <c r="CB274" s="100"/>
      <c r="CC274" s="100"/>
      <c r="CD274" s="100"/>
      <c r="CE274" s="100"/>
      <c r="CF274" s="100"/>
      <c r="CG274" s="100"/>
      <c r="CH274" s="100"/>
      <c r="CI274" s="100"/>
      <c r="CJ274" s="120"/>
      <c r="CK274" s="120"/>
      <c r="CL274" s="120"/>
      <c r="CM274" s="120"/>
      <c r="CN274" s="120"/>
      <c r="CO274" s="120"/>
      <c r="CP274" s="120"/>
      <c r="CQ274" s="100"/>
      <c r="CR274" s="100"/>
      <c r="CS274" s="100"/>
      <c r="CT274" s="100"/>
      <c r="CU274" s="100"/>
      <c r="CV274" s="100"/>
      <c r="CW274" s="100"/>
      <c r="CX274" s="100"/>
      <c r="CY274" s="100"/>
      <c r="CZ274" s="100"/>
      <c r="DA274" s="100"/>
      <c r="DB274" s="100"/>
      <c r="DC274" s="100"/>
      <c r="DD274" s="100"/>
      <c r="DE274" s="100"/>
      <c r="DF274" s="100"/>
      <c r="DG274" s="100"/>
      <c r="DH274" s="100"/>
      <c r="DI274" s="100"/>
      <c r="DJ274" s="100"/>
      <c r="DK274" s="100"/>
      <c r="DL274" s="100"/>
      <c r="DM274" s="100"/>
      <c r="DN274" s="100"/>
      <c r="DO274" s="100"/>
      <c r="DP274" s="100"/>
      <c r="DQ274" s="100"/>
      <c r="DR274" s="100"/>
      <c r="DS274" s="100"/>
      <c r="DT274" s="100"/>
      <c r="DU274" s="100"/>
      <c r="DV274" s="100"/>
      <c r="DW274" s="100"/>
      <c r="DX274" s="100"/>
      <c r="DY274" s="100"/>
      <c r="DZ274" s="100"/>
      <c r="EA274" s="100"/>
      <c r="EB274" s="100"/>
      <c r="EC274" s="100"/>
      <c r="ED274" s="100"/>
      <c r="EE274" s="100"/>
      <c r="EF274" s="100"/>
      <c r="EG274" s="100"/>
      <c r="EH274" s="100"/>
      <c r="EI274" s="100"/>
      <c r="EJ274" s="100"/>
      <c r="EK274" s="100"/>
      <c r="EL274" s="100"/>
      <c r="EM274" s="100"/>
      <c r="EN274" s="100"/>
      <c r="EO274" s="100"/>
      <c r="EP274" s="100"/>
      <c r="EQ274" s="100"/>
      <c r="ER274" s="100"/>
      <c r="ES274" s="100"/>
      <c r="ET274" s="100"/>
      <c r="EU274" s="100"/>
      <c r="EV274" s="100"/>
      <c r="EW274" s="100"/>
      <c r="EX274" s="100"/>
      <c r="EY274" s="100"/>
      <c r="EZ274" s="100"/>
      <c r="FA274" s="100"/>
      <c r="FB274" s="100"/>
      <c r="FC274" s="100"/>
      <c r="FD274" s="100"/>
      <c r="FE274" s="100"/>
      <c r="FF274" s="100"/>
      <c r="FG274" s="100"/>
      <c r="FH274" s="100"/>
      <c r="FI274" s="100"/>
      <c r="FJ274" s="100"/>
      <c r="FK274" s="100"/>
      <c r="FL274" s="100"/>
      <c r="FM274" s="100"/>
      <c r="FN274" s="100"/>
      <c r="FO274" s="100"/>
      <c r="FP274" s="100"/>
      <c r="FQ274" s="100"/>
      <c r="FR274" s="100"/>
      <c r="FS274" s="100"/>
      <c r="FT274" s="100"/>
      <c r="FU274" s="100"/>
      <c r="FV274" s="100"/>
      <c r="FW274" s="100"/>
      <c r="FX274" s="100"/>
      <c r="FY274" s="100"/>
      <c r="FZ274" s="100"/>
      <c r="GA274" s="100"/>
      <c r="GB274" s="100"/>
      <c r="GC274" s="100"/>
      <c r="GD274" s="100"/>
      <c r="GE274" s="100"/>
      <c r="GF274" s="100"/>
      <c r="GG274" s="100"/>
      <c r="GH274" s="100"/>
      <c r="GI274" s="100"/>
      <c r="GJ274" s="100"/>
      <c r="GK274" s="100"/>
      <c r="GL274" s="100"/>
      <c r="GM274" s="100"/>
      <c r="GN274" s="100"/>
      <c r="GO274" s="100"/>
      <c r="GP274" s="100"/>
      <c r="GQ274" s="100"/>
      <c r="GR274" s="100"/>
      <c r="GS274" s="100"/>
      <c r="GT274" s="100"/>
      <c r="GU274" s="100"/>
      <c r="GV274" s="100"/>
      <c r="GW274" s="100"/>
      <c r="GX274" s="100"/>
      <c r="GY274" s="100"/>
      <c r="GZ274" s="100"/>
      <c r="HA274" s="100"/>
      <c r="HB274" s="100"/>
      <c r="HC274" s="100"/>
      <c r="HD274" s="100"/>
      <c r="HE274" s="100"/>
      <c r="HF274" s="100"/>
      <c r="HG274" s="100"/>
      <c r="HH274" s="100"/>
      <c r="HI274" s="100"/>
      <c r="HJ274" s="100"/>
      <c r="HK274" s="100"/>
      <c r="HL274" s="100"/>
      <c r="HM274" s="100"/>
      <c r="HN274" s="100"/>
      <c r="HO274" s="100"/>
      <c r="HP274" s="100"/>
      <c r="HQ274" s="100"/>
      <c r="HR274" s="100"/>
      <c r="HS274" s="100"/>
      <c r="HT274" s="100"/>
      <c r="HU274" s="100"/>
      <c r="HV274" s="100"/>
      <c r="HW274" s="100"/>
      <c r="HX274" s="100"/>
      <c r="HY274" s="100"/>
      <c r="HZ274" s="100"/>
    </row>
    <row r="275" customFormat="false" ht="12.8" hidden="false" customHeight="false" outlineLevel="0" collapsed="false">
      <c r="A275" s="100"/>
      <c r="B275" s="100"/>
      <c r="C275" s="100"/>
      <c r="D275" s="100"/>
      <c r="E275" s="100"/>
      <c r="F275" s="100"/>
      <c r="G275" s="163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63"/>
      <c r="AJ275" s="100"/>
      <c r="AK275" s="100"/>
      <c r="AL275" s="163"/>
      <c r="AM275" s="100"/>
      <c r="AN275" s="100"/>
      <c r="AO275" s="100"/>
      <c r="AP275" s="100"/>
      <c r="AQ275" s="100"/>
      <c r="AR275" s="100"/>
      <c r="AS275" s="100"/>
      <c r="AT275" s="100"/>
      <c r="AU275" s="100"/>
      <c r="AV275" s="100"/>
      <c r="AW275" s="100"/>
      <c r="AX275" s="100"/>
      <c r="AY275" s="100"/>
      <c r="AZ275" s="100"/>
      <c r="BA275" s="100"/>
      <c r="BB275" s="100"/>
      <c r="BC275" s="100"/>
      <c r="BD275" s="100"/>
      <c r="BE275" s="100"/>
      <c r="BF275" s="100"/>
      <c r="BG275" s="100"/>
      <c r="BH275" s="100"/>
      <c r="BI275" s="100"/>
      <c r="BJ275" s="100"/>
      <c r="BK275" s="100"/>
      <c r="BL275" s="100"/>
      <c r="BM275" s="100"/>
      <c r="BN275" s="100"/>
      <c r="BO275" s="100"/>
      <c r="BP275" s="100"/>
      <c r="BQ275" s="100"/>
      <c r="BR275" s="100"/>
      <c r="BS275" s="100"/>
      <c r="BT275" s="100"/>
      <c r="BU275" s="100"/>
      <c r="BV275" s="100"/>
      <c r="BW275" s="100"/>
      <c r="BX275" s="100"/>
      <c r="BY275" s="100"/>
      <c r="BZ275" s="100"/>
      <c r="CA275" s="100"/>
      <c r="CB275" s="100"/>
      <c r="CC275" s="100"/>
      <c r="CD275" s="100"/>
      <c r="CE275" s="100"/>
      <c r="CF275" s="100"/>
      <c r="CG275" s="100"/>
      <c r="CH275" s="100"/>
      <c r="CI275" s="100"/>
      <c r="CJ275" s="120"/>
      <c r="CK275" s="120"/>
      <c r="CL275" s="120"/>
      <c r="CM275" s="120"/>
      <c r="CN275" s="120"/>
      <c r="CO275" s="120"/>
      <c r="CP275" s="120"/>
      <c r="CQ275" s="100"/>
      <c r="CR275" s="100"/>
      <c r="CS275" s="100"/>
      <c r="CT275" s="100"/>
      <c r="CU275" s="100"/>
      <c r="CV275" s="100"/>
      <c r="CW275" s="100"/>
      <c r="CX275" s="100"/>
      <c r="CY275" s="100"/>
      <c r="CZ275" s="100"/>
      <c r="DA275" s="100"/>
      <c r="DB275" s="100"/>
      <c r="DC275" s="100"/>
      <c r="DD275" s="100"/>
      <c r="DE275" s="100"/>
      <c r="DF275" s="100"/>
      <c r="DG275" s="100"/>
      <c r="DH275" s="100"/>
      <c r="DI275" s="100"/>
      <c r="DJ275" s="100"/>
      <c r="DK275" s="100"/>
      <c r="DL275" s="100"/>
      <c r="DM275" s="100"/>
      <c r="DN275" s="100"/>
      <c r="DO275" s="100"/>
      <c r="DP275" s="100"/>
      <c r="DQ275" s="100"/>
      <c r="DR275" s="100"/>
      <c r="DS275" s="100"/>
      <c r="DT275" s="100"/>
      <c r="DU275" s="100"/>
      <c r="DV275" s="100"/>
      <c r="DW275" s="100"/>
      <c r="DX275" s="100"/>
      <c r="DY275" s="100"/>
      <c r="DZ275" s="100"/>
      <c r="EA275" s="100"/>
      <c r="EB275" s="100"/>
      <c r="EC275" s="100"/>
      <c r="ED275" s="100"/>
      <c r="EE275" s="100"/>
      <c r="EF275" s="100"/>
      <c r="EG275" s="100"/>
      <c r="EH275" s="100"/>
      <c r="EI275" s="100"/>
      <c r="EJ275" s="100"/>
      <c r="EK275" s="100"/>
      <c r="EL275" s="100"/>
      <c r="EM275" s="100"/>
      <c r="EN275" s="100"/>
      <c r="EO275" s="100"/>
      <c r="EP275" s="100"/>
      <c r="EQ275" s="100"/>
      <c r="ER275" s="100"/>
      <c r="ES275" s="100"/>
      <c r="ET275" s="100"/>
      <c r="EU275" s="100"/>
      <c r="EV275" s="100"/>
      <c r="EW275" s="100"/>
      <c r="EX275" s="100"/>
      <c r="EY275" s="100"/>
      <c r="EZ275" s="100"/>
      <c r="FA275" s="100"/>
      <c r="FB275" s="100"/>
      <c r="FC275" s="100"/>
      <c r="FD275" s="100"/>
      <c r="FE275" s="100"/>
      <c r="FF275" s="100"/>
      <c r="FG275" s="100"/>
      <c r="FH275" s="100"/>
      <c r="FI275" s="100"/>
      <c r="FJ275" s="100"/>
      <c r="FK275" s="100"/>
      <c r="FL275" s="100"/>
      <c r="FM275" s="100"/>
      <c r="FN275" s="100"/>
      <c r="FO275" s="100"/>
      <c r="FP275" s="100"/>
      <c r="FQ275" s="100"/>
      <c r="FR275" s="100"/>
      <c r="FS275" s="100"/>
      <c r="FT275" s="100"/>
      <c r="FU275" s="100"/>
      <c r="FV275" s="100"/>
      <c r="FW275" s="100"/>
      <c r="FX275" s="100"/>
      <c r="FY275" s="100"/>
      <c r="FZ275" s="100"/>
      <c r="GA275" s="100"/>
      <c r="GB275" s="100"/>
      <c r="GC275" s="100"/>
      <c r="GD275" s="100"/>
      <c r="GE275" s="100"/>
      <c r="GF275" s="100"/>
      <c r="GG275" s="100"/>
      <c r="GH275" s="100"/>
      <c r="GI275" s="100"/>
      <c r="GJ275" s="100"/>
      <c r="GK275" s="100"/>
      <c r="GL275" s="100"/>
      <c r="GM275" s="100"/>
      <c r="GN275" s="100"/>
      <c r="GO275" s="100"/>
      <c r="GP275" s="100"/>
      <c r="GQ275" s="100"/>
      <c r="GR275" s="100"/>
      <c r="GS275" s="100"/>
      <c r="GT275" s="100"/>
      <c r="GU275" s="100"/>
      <c r="GV275" s="100"/>
      <c r="GW275" s="100"/>
      <c r="GX275" s="100"/>
      <c r="GY275" s="100"/>
      <c r="GZ275" s="100"/>
      <c r="HA275" s="100"/>
      <c r="HB275" s="100"/>
      <c r="HC275" s="100"/>
      <c r="HD275" s="100"/>
      <c r="HE275" s="100"/>
      <c r="HF275" s="100"/>
      <c r="HG275" s="100"/>
      <c r="HH275" s="100"/>
      <c r="HI275" s="100"/>
      <c r="HJ275" s="100"/>
      <c r="HK275" s="100"/>
      <c r="HL275" s="100"/>
      <c r="HM275" s="100"/>
      <c r="HN275" s="100"/>
      <c r="HO275" s="100"/>
      <c r="HP275" s="100"/>
      <c r="HQ275" s="100"/>
      <c r="HR275" s="100"/>
      <c r="HS275" s="100"/>
      <c r="HT275" s="100"/>
      <c r="HU275" s="100"/>
      <c r="HV275" s="100"/>
      <c r="HW275" s="100"/>
      <c r="HX275" s="100"/>
      <c r="HY275" s="100"/>
      <c r="HZ275" s="100"/>
    </row>
    <row r="276" customFormat="false" ht="12.8" hidden="false" customHeight="false" outlineLevel="0" collapsed="false">
      <c r="A276" s="100"/>
      <c r="B276" s="100"/>
      <c r="C276" s="100"/>
      <c r="D276" s="100"/>
      <c r="E276" s="100"/>
      <c r="F276" s="100"/>
      <c r="G276" s="163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63"/>
      <c r="AJ276" s="100"/>
      <c r="AK276" s="100"/>
      <c r="AL276" s="163"/>
      <c r="AM276" s="100"/>
      <c r="AN276" s="100"/>
      <c r="AO276" s="100"/>
      <c r="AP276" s="100"/>
      <c r="AQ276" s="100"/>
      <c r="AR276" s="100"/>
      <c r="AS276" s="100"/>
      <c r="AT276" s="100"/>
      <c r="AU276" s="100"/>
      <c r="AV276" s="100"/>
      <c r="AW276" s="100"/>
      <c r="AX276" s="100"/>
      <c r="AY276" s="100"/>
      <c r="AZ276" s="100"/>
      <c r="BA276" s="100"/>
      <c r="BB276" s="100"/>
      <c r="BC276" s="100"/>
      <c r="BD276" s="100"/>
      <c r="BE276" s="100"/>
      <c r="BF276" s="100"/>
      <c r="BG276" s="100"/>
      <c r="BH276" s="100"/>
      <c r="BI276" s="100"/>
      <c r="BJ276" s="100"/>
      <c r="BK276" s="100"/>
      <c r="BL276" s="100"/>
      <c r="BM276" s="100"/>
      <c r="BN276" s="100"/>
      <c r="BO276" s="100"/>
      <c r="BP276" s="100"/>
      <c r="BQ276" s="100"/>
      <c r="BR276" s="100"/>
      <c r="BS276" s="100"/>
      <c r="BT276" s="100"/>
      <c r="BU276" s="100"/>
      <c r="BV276" s="100"/>
      <c r="BW276" s="100"/>
      <c r="BX276" s="100"/>
      <c r="BY276" s="100"/>
      <c r="BZ276" s="100"/>
      <c r="CA276" s="100"/>
      <c r="CB276" s="100"/>
      <c r="CC276" s="100"/>
      <c r="CD276" s="100"/>
      <c r="CE276" s="100"/>
      <c r="CF276" s="100"/>
      <c r="CG276" s="100"/>
      <c r="CH276" s="100"/>
      <c r="CI276" s="100"/>
      <c r="CJ276" s="120"/>
      <c r="CK276" s="120"/>
      <c r="CL276" s="120"/>
      <c r="CM276" s="120"/>
      <c r="CN276" s="120"/>
      <c r="CO276" s="120"/>
      <c r="CP276" s="120"/>
      <c r="CQ276" s="100"/>
      <c r="CR276" s="100"/>
      <c r="CS276" s="100"/>
      <c r="CT276" s="100"/>
      <c r="CU276" s="100"/>
      <c r="CV276" s="100"/>
      <c r="CW276" s="100"/>
      <c r="CX276" s="100"/>
      <c r="CY276" s="100"/>
      <c r="CZ276" s="100"/>
      <c r="DA276" s="100"/>
      <c r="DB276" s="100"/>
      <c r="DC276" s="100"/>
      <c r="DD276" s="100"/>
      <c r="DE276" s="100"/>
      <c r="DF276" s="100"/>
      <c r="DG276" s="100"/>
      <c r="DH276" s="100"/>
      <c r="DI276" s="100"/>
      <c r="DJ276" s="100"/>
      <c r="DK276" s="100"/>
      <c r="DL276" s="100"/>
      <c r="DM276" s="100"/>
      <c r="DN276" s="100"/>
      <c r="DO276" s="100"/>
      <c r="DP276" s="100"/>
      <c r="DQ276" s="100"/>
      <c r="DR276" s="100"/>
      <c r="DS276" s="100"/>
      <c r="DT276" s="100"/>
      <c r="DU276" s="100"/>
      <c r="DV276" s="100"/>
      <c r="DW276" s="100"/>
      <c r="DX276" s="100"/>
      <c r="DY276" s="100"/>
      <c r="DZ276" s="100"/>
      <c r="EA276" s="100"/>
      <c r="EB276" s="100"/>
      <c r="EC276" s="100"/>
      <c r="ED276" s="100"/>
      <c r="EE276" s="100"/>
      <c r="EF276" s="100"/>
      <c r="EG276" s="100"/>
      <c r="EH276" s="100"/>
      <c r="EI276" s="100"/>
      <c r="EJ276" s="100"/>
      <c r="EK276" s="100"/>
      <c r="EL276" s="100"/>
      <c r="EM276" s="100"/>
      <c r="EN276" s="100"/>
      <c r="EO276" s="100"/>
      <c r="EP276" s="100"/>
      <c r="EQ276" s="100"/>
      <c r="ER276" s="100"/>
      <c r="ES276" s="100"/>
      <c r="ET276" s="100"/>
      <c r="EU276" s="100"/>
      <c r="EV276" s="100"/>
      <c r="EW276" s="100"/>
      <c r="EX276" s="100"/>
      <c r="EY276" s="100"/>
      <c r="EZ276" s="100"/>
      <c r="FA276" s="100"/>
      <c r="FB276" s="100"/>
      <c r="FC276" s="100"/>
      <c r="FD276" s="100"/>
      <c r="FE276" s="100"/>
      <c r="FF276" s="100"/>
      <c r="FG276" s="100"/>
      <c r="FH276" s="100"/>
      <c r="FI276" s="100"/>
      <c r="FJ276" s="100"/>
      <c r="FK276" s="100"/>
      <c r="FL276" s="100"/>
      <c r="FM276" s="100"/>
      <c r="FN276" s="100"/>
      <c r="FO276" s="100"/>
      <c r="FP276" s="100"/>
      <c r="FQ276" s="100"/>
      <c r="FR276" s="100"/>
      <c r="FS276" s="100"/>
      <c r="FT276" s="100"/>
      <c r="FU276" s="100"/>
      <c r="FV276" s="100"/>
      <c r="FW276" s="100"/>
      <c r="FX276" s="100"/>
      <c r="FY276" s="100"/>
      <c r="FZ276" s="100"/>
      <c r="GA276" s="100"/>
      <c r="GB276" s="100"/>
      <c r="GC276" s="100"/>
      <c r="GD276" s="100"/>
      <c r="GE276" s="100"/>
      <c r="GF276" s="100"/>
      <c r="GG276" s="100"/>
      <c r="GH276" s="100"/>
      <c r="GI276" s="100"/>
      <c r="GJ276" s="100"/>
      <c r="GK276" s="100"/>
      <c r="GL276" s="100"/>
      <c r="GM276" s="100"/>
      <c r="GN276" s="100"/>
      <c r="GO276" s="100"/>
      <c r="GP276" s="100"/>
      <c r="GQ276" s="100"/>
      <c r="GR276" s="100"/>
      <c r="GS276" s="100"/>
      <c r="GT276" s="100"/>
      <c r="GU276" s="100"/>
      <c r="GV276" s="100"/>
      <c r="GW276" s="100"/>
      <c r="GX276" s="100"/>
      <c r="GY276" s="100"/>
      <c r="GZ276" s="100"/>
      <c r="HA276" s="100"/>
      <c r="HB276" s="100"/>
      <c r="HC276" s="100"/>
      <c r="HD276" s="100"/>
      <c r="HE276" s="100"/>
      <c r="HF276" s="100"/>
      <c r="HG276" s="100"/>
      <c r="HH276" s="100"/>
      <c r="HI276" s="100"/>
      <c r="HJ276" s="100"/>
      <c r="HK276" s="100"/>
      <c r="HL276" s="100"/>
      <c r="HM276" s="100"/>
      <c r="HN276" s="100"/>
      <c r="HO276" s="100"/>
      <c r="HP276" s="100"/>
      <c r="HQ276" s="100"/>
      <c r="HR276" s="100"/>
      <c r="HS276" s="100"/>
      <c r="HT276" s="100"/>
      <c r="HU276" s="100"/>
      <c r="HV276" s="100"/>
      <c r="HW276" s="100"/>
      <c r="HX276" s="100"/>
      <c r="HY276" s="100"/>
      <c r="HZ276" s="100"/>
    </row>
    <row r="277" customFormat="false" ht="12.8" hidden="false" customHeight="false" outlineLevel="0" collapsed="false">
      <c r="A277" s="100"/>
      <c r="B277" s="100"/>
      <c r="C277" s="100"/>
      <c r="D277" s="100"/>
      <c r="E277" s="100"/>
      <c r="F277" s="100"/>
      <c r="G277" s="163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63"/>
      <c r="AJ277" s="100"/>
      <c r="AK277" s="100"/>
      <c r="AL277" s="163"/>
      <c r="AM277" s="100"/>
      <c r="AN277" s="100"/>
      <c r="AO277" s="100"/>
      <c r="AP277" s="100"/>
      <c r="AQ277" s="100"/>
      <c r="AR277" s="100"/>
      <c r="AS277" s="100"/>
      <c r="AT277" s="100"/>
      <c r="AU277" s="100"/>
      <c r="AV277" s="100"/>
      <c r="AW277" s="100"/>
      <c r="AX277" s="100"/>
      <c r="AY277" s="100"/>
      <c r="AZ277" s="100"/>
      <c r="BA277" s="100"/>
      <c r="BB277" s="100"/>
      <c r="BC277" s="100"/>
      <c r="BD277" s="100"/>
      <c r="BE277" s="100"/>
      <c r="BF277" s="100"/>
      <c r="BG277" s="100"/>
      <c r="BH277" s="100"/>
      <c r="BI277" s="100"/>
      <c r="BJ277" s="100"/>
      <c r="BK277" s="100"/>
      <c r="BL277" s="100"/>
      <c r="BM277" s="100"/>
      <c r="BN277" s="100"/>
      <c r="BO277" s="100"/>
      <c r="BP277" s="100"/>
      <c r="BQ277" s="100"/>
      <c r="BR277" s="100"/>
      <c r="BS277" s="100"/>
      <c r="BT277" s="100"/>
      <c r="BU277" s="100"/>
      <c r="BV277" s="100"/>
      <c r="BW277" s="100"/>
      <c r="BX277" s="100"/>
      <c r="BY277" s="100"/>
      <c r="BZ277" s="100"/>
      <c r="CA277" s="100"/>
      <c r="CB277" s="100"/>
      <c r="CC277" s="100"/>
      <c r="CD277" s="100"/>
      <c r="CE277" s="100"/>
      <c r="CF277" s="100"/>
      <c r="CG277" s="100"/>
      <c r="CH277" s="100"/>
      <c r="CI277" s="100"/>
      <c r="CJ277" s="120"/>
      <c r="CK277" s="120"/>
      <c r="CL277" s="120"/>
      <c r="CM277" s="120"/>
      <c r="CN277" s="120"/>
      <c r="CO277" s="120"/>
      <c r="CP277" s="120"/>
      <c r="CQ277" s="100"/>
      <c r="CR277" s="100"/>
      <c r="CS277" s="100"/>
      <c r="CT277" s="100"/>
      <c r="CU277" s="100"/>
      <c r="CV277" s="100"/>
      <c r="CW277" s="100"/>
      <c r="CX277" s="100"/>
      <c r="CY277" s="100"/>
      <c r="CZ277" s="100"/>
      <c r="DA277" s="100"/>
      <c r="DB277" s="100"/>
      <c r="DC277" s="100"/>
      <c r="DD277" s="100"/>
      <c r="DE277" s="100"/>
      <c r="DF277" s="100"/>
      <c r="DG277" s="100"/>
      <c r="DH277" s="100"/>
      <c r="DI277" s="100"/>
      <c r="DJ277" s="100"/>
      <c r="DK277" s="100"/>
      <c r="DL277" s="100"/>
      <c r="DM277" s="100"/>
      <c r="DN277" s="100"/>
      <c r="DO277" s="100"/>
      <c r="DP277" s="100"/>
      <c r="DQ277" s="100"/>
      <c r="DR277" s="100"/>
      <c r="DS277" s="100"/>
      <c r="DT277" s="100"/>
      <c r="DU277" s="100"/>
      <c r="DV277" s="100"/>
      <c r="DW277" s="100"/>
      <c r="DX277" s="100"/>
      <c r="DY277" s="100"/>
      <c r="DZ277" s="100"/>
      <c r="EA277" s="100"/>
      <c r="EB277" s="100"/>
      <c r="EC277" s="100"/>
      <c r="ED277" s="100"/>
      <c r="EE277" s="100"/>
      <c r="EF277" s="100"/>
      <c r="EG277" s="100"/>
      <c r="EH277" s="100"/>
      <c r="EI277" s="100"/>
      <c r="EJ277" s="100"/>
      <c r="EK277" s="100"/>
      <c r="EL277" s="100"/>
      <c r="EM277" s="100"/>
      <c r="EN277" s="100"/>
      <c r="EO277" s="100"/>
      <c r="EP277" s="100"/>
      <c r="EQ277" s="100"/>
      <c r="ER277" s="100"/>
      <c r="ES277" s="100"/>
      <c r="ET277" s="100"/>
      <c r="EU277" s="100"/>
      <c r="EV277" s="100"/>
      <c r="EW277" s="100"/>
      <c r="EX277" s="100"/>
      <c r="EY277" s="100"/>
      <c r="EZ277" s="100"/>
      <c r="FA277" s="100"/>
      <c r="FB277" s="100"/>
      <c r="FC277" s="100"/>
      <c r="FD277" s="100"/>
      <c r="FE277" s="100"/>
      <c r="FF277" s="100"/>
      <c r="FG277" s="100"/>
      <c r="FH277" s="100"/>
      <c r="FI277" s="100"/>
      <c r="FJ277" s="100"/>
      <c r="FK277" s="100"/>
      <c r="FL277" s="100"/>
      <c r="FM277" s="100"/>
      <c r="FN277" s="100"/>
      <c r="FO277" s="100"/>
      <c r="FP277" s="100"/>
      <c r="FQ277" s="100"/>
      <c r="FR277" s="100"/>
      <c r="FS277" s="100"/>
      <c r="FT277" s="100"/>
      <c r="FU277" s="100"/>
      <c r="FV277" s="100"/>
      <c r="FW277" s="100"/>
      <c r="FX277" s="100"/>
      <c r="FY277" s="100"/>
      <c r="FZ277" s="100"/>
      <c r="GA277" s="100"/>
      <c r="GB277" s="100"/>
      <c r="GC277" s="100"/>
      <c r="GD277" s="100"/>
      <c r="GE277" s="100"/>
      <c r="GF277" s="100"/>
      <c r="GG277" s="100"/>
      <c r="GH277" s="100"/>
      <c r="GI277" s="100"/>
      <c r="GJ277" s="100"/>
      <c r="GK277" s="100"/>
      <c r="GL277" s="100"/>
      <c r="GM277" s="100"/>
      <c r="GN277" s="100"/>
      <c r="GO277" s="100"/>
      <c r="GP277" s="100"/>
      <c r="GQ277" s="100"/>
      <c r="GR277" s="100"/>
      <c r="GS277" s="100"/>
      <c r="GT277" s="100"/>
      <c r="GU277" s="100"/>
      <c r="GV277" s="100"/>
      <c r="GW277" s="100"/>
      <c r="GX277" s="100"/>
      <c r="GY277" s="100"/>
      <c r="GZ277" s="100"/>
      <c r="HA277" s="100"/>
      <c r="HB277" s="100"/>
      <c r="HC277" s="100"/>
      <c r="HD277" s="100"/>
      <c r="HE277" s="100"/>
      <c r="HF277" s="100"/>
      <c r="HG277" s="100"/>
      <c r="HH277" s="100"/>
      <c r="HI277" s="100"/>
      <c r="HJ277" s="100"/>
      <c r="HK277" s="100"/>
      <c r="HL277" s="100"/>
      <c r="HM277" s="100"/>
      <c r="HN277" s="100"/>
      <c r="HO277" s="100"/>
      <c r="HP277" s="100"/>
      <c r="HQ277" s="100"/>
      <c r="HR277" s="100"/>
      <c r="HS277" s="100"/>
      <c r="HT277" s="100"/>
      <c r="HU277" s="100"/>
      <c r="HV277" s="100"/>
      <c r="HW277" s="100"/>
      <c r="HX277" s="100"/>
      <c r="HY277" s="100"/>
      <c r="HZ277" s="100"/>
    </row>
    <row r="278" customFormat="false" ht="12.8" hidden="false" customHeight="false" outlineLevel="0" collapsed="false">
      <c r="A278" s="100"/>
      <c r="B278" s="100"/>
      <c r="C278" s="100"/>
      <c r="D278" s="100"/>
      <c r="E278" s="100"/>
      <c r="F278" s="100"/>
      <c r="G278" s="163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63"/>
      <c r="AJ278" s="100"/>
      <c r="AK278" s="100"/>
      <c r="AL278" s="163"/>
      <c r="AM278" s="100"/>
      <c r="AN278" s="100"/>
      <c r="AO278" s="100"/>
      <c r="AP278" s="100"/>
      <c r="AQ278" s="100"/>
      <c r="AR278" s="100"/>
      <c r="AS278" s="100"/>
      <c r="AT278" s="100"/>
      <c r="AU278" s="100"/>
      <c r="AV278" s="100"/>
      <c r="AW278" s="100"/>
      <c r="AX278" s="100"/>
      <c r="AY278" s="100"/>
      <c r="AZ278" s="100"/>
      <c r="BA278" s="100"/>
      <c r="BB278" s="100"/>
      <c r="BC278" s="100"/>
      <c r="BD278" s="100"/>
      <c r="BE278" s="100"/>
      <c r="BF278" s="100"/>
      <c r="BG278" s="100"/>
      <c r="BH278" s="100"/>
      <c r="BI278" s="100"/>
      <c r="BJ278" s="100"/>
      <c r="BK278" s="100"/>
      <c r="BL278" s="100"/>
      <c r="BM278" s="100"/>
      <c r="BN278" s="100"/>
      <c r="BO278" s="100"/>
      <c r="BP278" s="100"/>
      <c r="BQ278" s="100"/>
      <c r="BR278" s="100"/>
      <c r="BS278" s="100"/>
      <c r="BT278" s="100"/>
      <c r="BU278" s="100"/>
      <c r="BV278" s="100"/>
      <c r="BW278" s="100"/>
      <c r="BX278" s="100"/>
      <c r="BY278" s="100"/>
      <c r="BZ278" s="100"/>
      <c r="CA278" s="100"/>
      <c r="CB278" s="100"/>
      <c r="CC278" s="100"/>
      <c r="CD278" s="100"/>
      <c r="CE278" s="100"/>
      <c r="CF278" s="100"/>
      <c r="CG278" s="100"/>
      <c r="CH278" s="100"/>
      <c r="CI278" s="100"/>
      <c r="CJ278" s="120"/>
      <c r="CK278" s="120"/>
      <c r="CL278" s="120"/>
      <c r="CM278" s="120"/>
      <c r="CN278" s="120"/>
      <c r="CO278" s="120"/>
      <c r="CP278" s="120"/>
      <c r="CQ278" s="100"/>
      <c r="CR278" s="100"/>
      <c r="CS278" s="100"/>
      <c r="CT278" s="100"/>
      <c r="CU278" s="100"/>
      <c r="CV278" s="100"/>
      <c r="CW278" s="100"/>
      <c r="CX278" s="100"/>
      <c r="CY278" s="100"/>
      <c r="CZ278" s="100"/>
      <c r="DA278" s="100"/>
      <c r="DB278" s="100"/>
      <c r="DC278" s="100"/>
      <c r="DD278" s="100"/>
      <c r="DE278" s="100"/>
      <c r="DF278" s="100"/>
      <c r="DG278" s="100"/>
      <c r="DH278" s="100"/>
      <c r="DI278" s="100"/>
      <c r="DJ278" s="100"/>
      <c r="DK278" s="100"/>
      <c r="DL278" s="100"/>
      <c r="DM278" s="100"/>
      <c r="DN278" s="100"/>
      <c r="DO278" s="100"/>
      <c r="DP278" s="100"/>
      <c r="DQ278" s="100"/>
      <c r="DR278" s="100"/>
      <c r="DS278" s="100"/>
      <c r="DT278" s="100"/>
      <c r="DU278" s="100"/>
      <c r="DV278" s="100"/>
      <c r="DW278" s="100"/>
      <c r="DX278" s="100"/>
      <c r="DY278" s="100"/>
      <c r="DZ278" s="100"/>
      <c r="EA278" s="100"/>
      <c r="EB278" s="100"/>
      <c r="EC278" s="100"/>
      <c r="ED278" s="100"/>
      <c r="EE278" s="100"/>
      <c r="EF278" s="100"/>
      <c r="EG278" s="100"/>
      <c r="EH278" s="100"/>
      <c r="EI278" s="100"/>
      <c r="EJ278" s="100"/>
      <c r="EK278" s="100"/>
      <c r="EL278" s="100"/>
      <c r="EM278" s="100"/>
      <c r="EN278" s="100"/>
      <c r="EO278" s="100"/>
      <c r="EP278" s="100"/>
      <c r="EQ278" s="100"/>
      <c r="ER278" s="100"/>
      <c r="ES278" s="100"/>
      <c r="ET278" s="100"/>
      <c r="EU278" s="100"/>
      <c r="EV278" s="100"/>
      <c r="EW278" s="100"/>
      <c r="EX278" s="100"/>
      <c r="EY278" s="100"/>
      <c r="EZ278" s="100"/>
      <c r="FA278" s="100"/>
      <c r="FB278" s="100"/>
      <c r="FC278" s="100"/>
      <c r="FD278" s="100"/>
      <c r="FE278" s="100"/>
      <c r="FF278" s="100"/>
      <c r="FG278" s="100"/>
      <c r="FH278" s="100"/>
      <c r="FI278" s="100"/>
      <c r="FJ278" s="100"/>
      <c r="FK278" s="100"/>
      <c r="FL278" s="100"/>
      <c r="FM278" s="100"/>
      <c r="FN278" s="100"/>
      <c r="FO278" s="100"/>
      <c r="FP278" s="100"/>
      <c r="FQ278" s="100"/>
      <c r="FR278" s="100"/>
      <c r="FS278" s="100"/>
      <c r="FT278" s="100"/>
      <c r="FU278" s="100"/>
      <c r="FV278" s="100"/>
      <c r="FW278" s="100"/>
      <c r="FX278" s="100"/>
      <c r="FY278" s="100"/>
      <c r="FZ278" s="100"/>
      <c r="GA278" s="100"/>
      <c r="GB278" s="100"/>
      <c r="GC278" s="100"/>
      <c r="GD278" s="100"/>
      <c r="GE278" s="100"/>
      <c r="GF278" s="100"/>
      <c r="GG278" s="100"/>
      <c r="GH278" s="100"/>
      <c r="GI278" s="100"/>
      <c r="GJ278" s="100"/>
      <c r="GK278" s="100"/>
      <c r="GL278" s="100"/>
      <c r="GM278" s="100"/>
      <c r="GN278" s="100"/>
      <c r="GO278" s="100"/>
      <c r="GP278" s="100"/>
      <c r="GQ278" s="100"/>
      <c r="GR278" s="100"/>
      <c r="GS278" s="100"/>
      <c r="GT278" s="100"/>
      <c r="GU278" s="100"/>
      <c r="GV278" s="100"/>
      <c r="GW278" s="100"/>
      <c r="GX278" s="100"/>
      <c r="GY278" s="100"/>
      <c r="GZ278" s="100"/>
      <c r="HA278" s="100"/>
      <c r="HB278" s="100"/>
      <c r="HC278" s="100"/>
      <c r="HD278" s="100"/>
      <c r="HE278" s="100"/>
      <c r="HF278" s="100"/>
      <c r="HG278" s="100"/>
      <c r="HH278" s="100"/>
      <c r="HI278" s="100"/>
      <c r="HJ278" s="100"/>
      <c r="HK278" s="100"/>
      <c r="HL278" s="100"/>
      <c r="HM278" s="100"/>
      <c r="HN278" s="100"/>
      <c r="HO278" s="100"/>
      <c r="HP278" s="100"/>
      <c r="HQ278" s="100"/>
      <c r="HR278" s="100"/>
      <c r="HS278" s="100"/>
      <c r="HT278" s="100"/>
      <c r="HU278" s="100"/>
      <c r="HV278" s="100"/>
      <c r="HW278" s="100"/>
      <c r="HX278" s="100"/>
      <c r="HY278" s="100"/>
      <c r="HZ278" s="100"/>
    </row>
    <row r="279" customFormat="false" ht="12.8" hidden="false" customHeight="false" outlineLevel="0" collapsed="false">
      <c r="A279" s="100"/>
      <c r="B279" s="100"/>
      <c r="C279" s="100"/>
      <c r="D279" s="100"/>
      <c r="E279" s="100"/>
      <c r="F279" s="100"/>
      <c r="G279" s="163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63"/>
      <c r="AJ279" s="100"/>
      <c r="AK279" s="100"/>
      <c r="AL279" s="163"/>
      <c r="AM279" s="100"/>
      <c r="AN279" s="100"/>
      <c r="AO279" s="100"/>
      <c r="AP279" s="100"/>
      <c r="AQ279" s="100"/>
      <c r="AR279" s="100"/>
      <c r="AS279" s="100"/>
      <c r="AT279" s="100"/>
      <c r="AU279" s="100"/>
      <c r="AV279" s="100"/>
      <c r="AW279" s="100"/>
      <c r="AX279" s="100"/>
      <c r="AY279" s="100"/>
      <c r="AZ279" s="100"/>
      <c r="BA279" s="100"/>
      <c r="BB279" s="100"/>
      <c r="BC279" s="100"/>
      <c r="BD279" s="100"/>
      <c r="BE279" s="100"/>
      <c r="BF279" s="100"/>
      <c r="BG279" s="100"/>
      <c r="BH279" s="100"/>
      <c r="BI279" s="100"/>
      <c r="BJ279" s="100"/>
      <c r="BK279" s="100"/>
      <c r="BL279" s="100"/>
      <c r="BM279" s="100"/>
      <c r="BN279" s="100"/>
      <c r="BO279" s="100"/>
      <c r="BP279" s="100"/>
      <c r="BQ279" s="100"/>
      <c r="BR279" s="100"/>
      <c r="BS279" s="100"/>
      <c r="BT279" s="100"/>
      <c r="BU279" s="100"/>
      <c r="BV279" s="100"/>
      <c r="BW279" s="100"/>
      <c r="BX279" s="100"/>
      <c r="BY279" s="100"/>
      <c r="BZ279" s="100"/>
      <c r="CA279" s="100"/>
      <c r="CB279" s="100"/>
      <c r="CC279" s="100"/>
      <c r="CD279" s="100"/>
      <c r="CE279" s="100"/>
      <c r="CF279" s="100"/>
      <c r="CG279" s="100"/>
      <c r="CH279" s="100"/>
      <c r="CI279" s="100"/>
      <c r="CJ279" s="120"/>
      <c r="CK279" s="120"/>
      <c r="CL279" s="120"/>
      <c r="CM279" s="120"/>
      <c r="CN279" s="120"/>
      <c r="CO279" s="120"/>
      <c r="CP279" s="120"/>
      <c r="CQ279" s="100"/>
      <c r="CR279" s="100"/>
      <c r="CS279" s="100"/>
      <c r="CT279" s="100"/>
      <c r="CU279" s="100"/>
      <c r="CV279" s="100"/>
      <c r="CW279" s="100"/>
      <c r="CX279" s="100"/>
      <c r="CY279" s="100"/>
      <c r="CZ279" s="100"/>
      <c r="DA279" s="100"/>
      <c r="DB279" s="100"/>
      <c r="DC279" s="100"/>
      <c r="DD279" s="100"/>
      <c r="DE279" s="100"/>
      <c r="DF279" s="100"/>
      <c r="DG279" s="100"/>
      <c r="DH279" s="100"/>
      <c r="DI279" s="100"/>
      <c r="DJ279" s="100"/>
      <c r="DK279" s="100"/>
      <c r="DL279" s="100"/>
      <c r="DM279" s="100"/>
      <c r="DN279" s="100"/>
      <c r="DO279" s="100"/>
      <c r="DP279" s="100"/>
      <c r="DQ279" s="100"/>
      <c r="DR279" s="100"/>
      <c r="DS279" s="100"/>
      <c r="DT279" s="100"/>
      <c r="DU279" s="100"/>
      <c r="DV279" s="100"/>
      <c r="DW279" s="100"/>
      <c r="DX279" s="100"/>
      <c r="DY279" s="100"/>
      <c r="DZ279" s="100"/>
      <c r="EA279" s="100"/>
      <c r="EB279" s="100"/>
      <c r="EC279" s="100"/>
      <c r="ED279" s="100"/>
      <c r="EE279" s="100"/>
      <c r="EF279" s="100"/>
      <c r="EG279" s="100"/>
      <c r="EH279" s="100"/>
      <c r="EI279" s="100"/>
      <c r="EJ279" s="100"/>
      <c r="EK279" s="100"/>
      <c r="EL279" s="100"/>
      <c r="EM279" s="100"/>
      <c r="EN279" s="100"/>
      <c r="EO279" s="100"/>
      <c r="EP279" s="100"/>
      <c r="EQ279" s="100"/>
      <c r="ER279" s="100"/>
      <c r="ES279" s="100"/>
      <c r="ET279" s="100"/>
      <c r="EU279" s="100"/>
      <c r="EV279" s="100"/>
      <c r="EW279" s="100"/>
      <c r="EX279" s="100"/>
      <c r="EY279" s="100"/>
      <c r="EZ279" s="100"/>
      <c r="FA279" s="100"/>
      <c r="FB279" s="100"/>
      <c r="FC279" s="100"/>
      <c r="FD279" s="100"/>
      <c r="FE279" s="100"/>
      <c r="FF279" s="100"/>
      <c r="FG279" s="100"/>
      <c r="FH279" s="100"/>
      <c r="FI279" s="100"/>
      <c r="FJ279" s="100"/>
      <c r="FK279" s="100"/>
      <c r="FL279" s="100"/>
      <c r="FM279" s="100"/>
      <c r="FN279" s="100"/>
      <c r="FO279" s="100"/>
      <c r="FP279" s="100"/>
      <c r="FQ279" s="100"/>
      <c r="FR279" s="100"/>
      <c r="FS279" s="100"/>
      <c r="FT279" s="100"/>
      <c r="FU279" s="100"/>
      <c r="FV279" s="100"/>
      <c r="FW279" s="100"/>
      <c r="FX279" s="100"/>
      <c r="FY279" s="100"/>
      <c r="FZ279" s="100"/>
      <c r="GA279" s="100"/>
      <c r="GB279" s="100"/>
      <c r="GC279" s="100"/>
      <c r="GD279" s="100"/>
      <c r="GE279" s="100"/>
      <c r="GF279" s="100"/>
      <c r="GG279" s="100"/>
      <c r="GH279" s="100"/>
      <c r="GI279" s="100"/>
      <c r="GJ279" s="100"/>
      <c r="GK279" s="100"/>
      <c r="GL279" s="100"/>
      <c r="GM279" s="100"/>
      <c r="GN279" s="100"/>
      <c r="GO279" s="100"/>
      <c r="GP279" s="100"/>
      <c r="GQ279" s="100"/>
      <c r="GR279" s="100"/>
      <c r="GS279" s="100"/>
      <c r="GT279" s="100"/>
      <c r="GU279" s="100"/>
      <c r="GV279" s="100"/>
      <c r="GW279" s="100"/>
      <c r="GX279" s="100"/>
      <c r="GY279" s="100"/>
      <c r="GZ279" s="100"/>
      <c r="HA279" s="100"/>
      <c r="HB279" s="100"/>
      <c r="HC279" s="100"/>
      <c r="HD279" s="100"/>
      <c r="HE279" s="100"/>
      <c r="HF279" s="100"/>
      <c r="HG279" s="100"/>
      <c r="HH279" s="100"/>
      <c r="HI279" s="100"/>
      <c r="HJ279" s="100"/>
      <c r="HK279" s="100"/>
      <c r="HL279" s="100"/>
      <c r="HM279" s="100"/>
      <c r="HN279" s="100"/>
      <c r="HO279" s="100"/>
      <c r="HP279" s="100"/>
      <c r="HQ279" s="100"/>
      <c r="HR279" s="100"/>
      <c r="HS279" s="100"/>
      <c r="HT279" s="100"/>
      <c r="HU279" s="100"/>
      <c r="HV279" s="100"/>
      <c r="HW279" s="100"/>
      <c r="HX279" s="100"/>
      <c r="HY279" s="100"/>
      <c r="HZ279" s="100"/>
    </row>
    <row r="280" customFormat="false" ht="12.8" hidden="false" customHeight="false" outlineLevel="0" collapsed="false">
      <c r="A280" s="100"/>
      <c r="B280" s="100"/>
      <c r="C280" s="100"/>
      <c r="D280" s="100"/>
      <c r="E280" s="100"/>
      <c r="F280" s="100"/>
      <c r="G280" s="163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63"/>
      <c r="AJ280" s="100"/>
      <c r="AK280" s="100"/>
      <c r="AL280" s="163"/>
      <c r="AM280" s="100"/>
      <c r="AN280" s="100"/>
      <c r="AO280" s="100"/>
      <c r="AP280" s="100"/>
      <c r="AQ280" s="100"/>
      <c r="AR280" s="100"/>
      <c r="AS280" s="100"/>
      <c r="AT280" s="100"/>
      <c r="AU280" s="100"/>
      <c r="AV280" s="100"/>
      <c r="AW280" s="100"/>
      <c r="AX280" s="100"/>
      <c r="AY280" s="100"/>
      <c r="AZ280" s="100"/>
      <c r="BA280" s="100"/>
      <c r="BB280" s="100"/>
      <c r="BC280" s="100"/>
      <c r="BD280" s="100"/>
      <c r="BE280" s="100"/>
      <c r="BF280" s="100"/>
      <c r="BG280" s="100"/>
      <c r="BH280" s="100"/>
      <c r="BI280" s="100"/>
      <c r="BJ280" s="100"/>
      <c r="BK280" s="100"/>
      <c r="BL280" s="100"/>
      <c r="BM280" s="100"/>
      <c r="BN280" s="100"/>
      <c r="BO280" s="100"/>
      <c r="BP280" s="100"/>
      <c r="BQ280" s="100"/>
      <c r="BR280" s="100"/>
      <c r="BS280" s="100"/>
      <c r="BT280" s="100"/>
      <c r="BU280" s="100"/>
      <c r="BV280" s="100"/>
      <c r="BW280" s="100"/>
      <c r="BX280" s="100"/>
      <c r="BY280" s="100"/>
      <c r="BZ280" s="100"/>
      <c r="CA280" s="100"/>
      <c r="CB280" s="100"/>
      <c r="CC280" s="100"/>
      <c r="CD280" s="100"/>
      <c r="CE280" s="100"/>
      <c r="CF280" s="100"/>
      <c r="CG280" s="100"/>
      <c r="CH280" s="100"/>
      <c r="CI280" s="100"/>
      <c r="CJ280" s="120"/>
      <c r="CK280" s="120"/>
      <c r="CL280" s="120"/>
      <c r="CM280" s="120"/>
      <c r="CN280" s="120"/>
      <c r="CO280" s="120"/>
      <c r="CP280" s="120"/>
      <c r="CQ280" s="100"/>
      <c r="CR280" s="100"/>
      <c r="CS280" s="100"/>
      <c r="CT280" s="100"/>
      <c r="CU280" s="100"/>
      <c r="CV280" s="100"/>
      <c r="CW280" s="100"/>
      <c r="CX280" s="100"/>
      <c r="CY280" s="100"/>
      <c r="CZ280" s="100"/>
      <c r="DA280" s="100"/>
      <c r="DB280" s="100"/>
      <c r="DC280" s="100"/>
      <c r="DD280" s="100"/>
      <c r="DE280" s="100"/>
      <c r="DF280" s="100"/>
      <c r="DG280" s="100"/>
      <c r="DH280" s="100"/>
      <c r="DI280" s="100"/>
      <c r="DJ280" s="100"/>
      <c r="DK280" s="100"/>
      <c r="DL280" s="100"/>
      <c r="DM280" s="100"/>
      <c r="DN280" s="100"/>
      <c r="DO280" s="100"/>
      <c r="DP280" s="100"/>
      <c r="DQ280" s="100"/>
      <c r="DR280" s="100"/>
      <c r="DS280" s="100"/>
      <c r="DT280" s="100"/>
      <c r="DU280" s="100"/>
      <c r="DV280" s="100"/>
      <c r="DW280" s="100"/>
      <c r="DX280" s="100"/>
      <c r="DY280" s="100"/>
      <c r="DZ280" s="100"/>
      <c r="EA280" s="100"/>
      <c r="EB280" s="100"/>
      <c r="EC280" s="100"/>
      <c r="ED280" s="100"/>
      <c r="EE280" s="100"/>
      <c r="EF280" s="100"/>
      <c r="EG280" s="100"/>
      <c r="EH280" s="100"/>
      <c r="EI280" s="100"/>
      <c r="EJ280" s="100"/>
      <c r="EK280" s="100"/>
      <c r="EL280" s="100"/>
      <c r="EM280" s="100"/>
      <c r="EN280" s="100"/>
      <c r="EO280" s="100"/>
      <c r="EP280" s="100"/>
      <c r="EQ280" s="100"/>
      <c r="ER280" s="100"/>
      <c r="ES280" s="100"/>
      <c r="ET280" s="100"/>
      <c r="EU280" s="100"/>
      <c r="EV280" s="100"/>
      <c r="EW280" s="100"/>
      <c r="EX280" s="100"/>
      <c r="EY280" s="100"/>
      <c r="EZ280" s="100"/>
      <c r="FA280" s="100"/>
      <c r="FB280" s="100"/>
      <c r="FC280" s="100"/>
      <c r="FD280" s="100"/>
      <c r="FE280" s="100"/>
      <c r="FF280" s="100"/>
      <c r="FG280" s="100"/>
      <c r="FH280" s="100"/>
      <c r="FI280" s="100"/>
      <c r="FJ280" s="100"/>
      <c r="FK280" s="100"/>
      <c r="FL280" s="100"/>
      <c r="FM280" s="100"/>
      <c r="FN280" s="100"/>
      <c r="FO280" s="100"/>
      <c r="FP280" s="100"/>
      <c r="FQ280" s="100"/>
      <c r="FR280" s="100"/>
      <c r="FS280" s="100"/>
      <c r="FT280" s="100"/>
      <c r="FU280" s="100"/>
      <c r="FV280" s="100"/>
      <c r="FW280" s="100"/>
      <c r="FX280" s="100"/>
      <c r="FY280" s="100"/>
      <c r="FZ280" s="100"/>
      <c r="GA280" s="100"/>
      <c r="GB280" s="100"/>
      <c r="GC280" s="100"/>
      <c r="GD280" s="100"/>
      <c r="GE280" s="100"/>
      <c r="GF280" s="100"/>
      <c r="GG280" s="100"/>
      <c r="GH280" s="100"/>
      <c r="GI280" s="100"/>
      <c r="GJ280" s="100"/>
      <c r="GK280" s="100"/>
      <c r="GL280" s="100"/>
      <c r="GM280" s="100"/>
      <c r="GN280" s="100"/>
      <c r="GO280" s="100"/>
      <c r="GP280" s="100"/>
      <c r="GQ280" s="100"/>
      <c r="GR280" s="100"/>
      <c r="GS280" s="100"/>
      <c r="GT280" s="100"/>
      <c r="GU280" s="100"/>
      <c r="GV280" s="100"/>
      <c r="GW280" s="100"/>
      <c r="GX280" s="100"/>
      <c r="GY280" s="100"/>
      <c r="GZ280" s="100"/>
      <c r="HA280" s="100"/>
      <c r="HB280" s="100"/>
      <c r="HC280" s="100"/>
      <c r="HD280" s="100"/>
      <c r="HE280" s="100"/>
      <c r="HF280" s="100"/>
      <c r="HG280" s="100"/>
      <c r="HH280" s="100"/>
      <c r="HI280" s="100"/>
      <c r="HJ280" s="100"/>
      <c r="HK280" s="100"/>
      <c r="HL280" s="100"/>
      <c r="HM280" s="100"/>
      <c r="HN280" s="100"/>
      <c r="HO280" s="100"/>
      <c r="HP280" s="100"/>
      <c r="HQ280" s="100"/>
      <c r="HR280" s="100"/>
      <c r="HS280" s="100"/>
      <c r="HT280" s="100"/>
      <c r="HU280" s="100"/>
      <c r="HV280" s="100"/>
      <c r="HW280" s="100"/>
      <c r="HX280" s="100"/>
      <c r="HY280" s="100"/>
      <c r="HZ280" s="100"/>
    </row>
    <row r="281" customFormat="false" ht="12.8" hidden="false" customHeight="false" outlineLevel="0" collapsed="false">
      <c r="A281" s="100"/>
      <c r="B281" s="100"/>
      <c r="C281" s="100"/>
      <c r="D281" s="100"/>
      <c r="E281" s="100"/>
      <c r="F281" s="100"/>
      <c r="G281" s="163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63"/>
      <c r="AJ281" s="100"/>
      <c r="AK281" s="100"/>
      <c r="AL281" s="163"/>
      <c r="AM281" s="100"/>
      <c r="AN281" s="100"/>
      <c r="AO281" s="100"/>
      <c r="AP281" s="100"/>
      <c r="AQ281" s="100"/>
      <c r="AR281" s="100"/>
      <c r="AS281" s="100"/>
      <c r="AT281" s="100"/>
      <c r="AU281" s="100"/>
      <c r="AV281" s="100"/>
      <c r="AW281" s="100"/>
      <c r="AX281" s="100"/>
      <c r="AY281" s="100"/>
      <c r="AZ281" s="100"/>
      <c r="BA281" s="100"/>
      <c r="BB281" s="100"/>
      <c r="BC281" s="100"/>
      <c r="BD281" s="100"/>
      <c r="BE281" s="100"/>
      <c r="BF281" s="100"/>
      <c r="BG281" s="100"/>
      <c r="BH281" s="100"/>
      <c r="BI281" s="100"/>
      <c r="BJ281" s="100"/>
      <c r="BK281" s="100"/>
      <c r="BL281" s="100"/>
      <c r="BM281" s="100"/>
      <c r="BN281" s="100"/>
      <c r="BO281" s="100"/>
      <c r="BP281" s="100"/>
      <c r="BQ281" s="100"/>
      <c r="BR281" s="100"/>
      <c r="BS281" s="100"/>
      <c r="BT281" s="100"/>
      <c r="BU281" s="100"/>
      <c r="BV281" s="100"/>
      <c r="BW281" s="100"/>
      <c r="BX281" s="100"/>
      <c r="BY281" s="100"/>
      <c r="BZ281" s="100"/>
      <c r="CA281" s="100"/>
      <c r="CB281" s="100"/>
      <c r="CC281" s="100"/>
      <c r="CD281" s="100"/>
      <c r="CE281" s="100"/>
      <c r="CF281" s="100"/>
      <c r="CG281" s="100"/>
      <c r="CH281" s="100"/>
      <c r="CI281" s="100"/>
      <c r="CJ281" s="120"/>
      <c r="CK281" s="120"/>
      <c r="CL281" s="120"/>
      <c r="CM281" s="120"/>
      <c r="CN281" s="120"/>
      <c r="CO281" s="120"/>
      <c r="CP281" s="120"/>
      <c r="CQ281" s="100"/>
      <c r="CR281" s="100"/>
      <c r="CS281" s="100"/>
      <c r="CT281" s="100"/>
      <c r="CU281" s="100"/>
      <c r="CV281" s="100"/>
      <c r="CW281" s="100"/>
      <c r="CX281" s="100"/>
      <c r="CY281" s="100"/>
      <c r="CZ281" s="100"/>
      <c r="DA281" s="100"/>
      <c r="DB281" s="100"/>
      <c r="DC281" s="100"/>
      <c r="DD281" s="100"/>
      <c r="DE281" s="100"/>
      <c r="DF281" s="100"/>
      <c r="DG281" s="100"/>
      <c r="DH281" s="100"/>
      <c r="DI281" s="100"/>
      <c r="DJ281" s="100"/>
      <c r="DK281" s="100"/>
      <c r="DL281" s="100"/>
      <c r="DM281" s="100"/>
      <c r="DN281" s="100"/>
      <c r="DO281" s="100"/>
      <c r="DP281" s="100"/>
      <c r="DQ281" s="100"/>
      <c r="DR281" s="100"/>
      <c r="DS281" s="100"/>
      <c r="DT281" s="100"/>
      <c r="DU281" s="100"/>
      <c r="DV281" s="100"/>
      <c r="DW281" s="100"/>
      <c r="DX281" s="100"/>
      <c r="DY281" s="100"/>
      <c r="DZ281" s="100"/>
      <c r="EA281" s="100"/>
      <c r="EB281" s="100"/>
      <c r="EC281" s="100"/>
      <c r="ED281" s="100"/>
      <c r="EE281" s="100"/>
      <c r="EF281" s="100"/>
      <c r="EG281" s="100"/>
      <c r="EH281" s="100"/>
      <c r="EI281" s="100"/>
      <c r="EJ281" s="100"/>
      <c r="EK281" s="100"/>
      <c r="EL281" s="100"/>
      <c r="EM281" s="100"/>
      <c r="EN281" s="100"/>
      <c r="EO281" s="100"/>
      <c r="EP281" s="100"/>
      <c r="EQ281" s="100"/>
      <c r="ER281" s="100"/>
      <c r="ES281" s="100"/>
      <c r="ET281" s="100"/>
      <c r="EU281" s="100"/>
      <c r="EV281" s="100"/>
      <c r="EW281" s="100"/>
      <c r="EX281" s="100"/>
      <c r="EY281" s="100"/>
      <c r="EZ281" s="100"/>
      <c r="FA281" s="100"/>
      <c r="FB281" s="100"/>
      <c r="FC281" s="100"/>
      <c r="FD281" s="100"/>
      <c r="FE281" s="100"/>
      <c r="FF281" s="100"/>
      <c r="FG281" s="100"/>
      <c r="FH281" s="100"/>
      <c r="FI281" s="100"/>
      <c r="FJ281" s="100"/>
      <c r="FK281" s="100"/>
      <c r="FL281" s="100"/>
      <c r="FM281" s="100"/>
      <c r="FN281" s="100"/>
      <c r="FO281" s="100"/>
      <c r="FP281" s="100"/>
      <c r="FQ281" s="100"/>
      <c r="FR281" s="100"/>
      <c r="FS281" s="100"/>
      <c r="FT281" s="100"/>
      <c r="FU281" s="100"/>
      <c r="FV281" s="100"/>
      <c r="FW281" s="100"/>
      <c r="FX281" s="100"/>
      <c r="FY281" s="100"/>
      <c r="FZ281" s="100"/>
      <c r="GA281" s="100"/>
      <c r="GB281" s="100"/>
      <c r="GC281" s="100"/>
      <c r="GD281" s="100"/>
      <c r="GE281" s="100"/>
      <c r="GF281" s="100"/>
      <c r="GG281" s="100"/>
      <c r="GH281" s="100"/>
      <c r="GI281" s="100"/>
      <c r="GJ281" s="100"/>
      <c r="GK281" s="100"/>
      <c r="GL281" s="100"/>
      <c r="GM281" s="100"/>
      <c r="GN281" s="100"/>
      <c r="GO281" s="100"/>
      <c r="GP281" s="100"/>
      <c r="GQ281" s="100"/>
      <c r="GR281" s="100"/>
      <c r="GS281" s="100"/>
      <c r="GT281" s="100"/>
      <c r="GU281" s="100"/>
      <c r="GV281" s="100"/>
      <c r="GW281" s="100"/>
      <c r="GX281" s="100"/>
      <c r="GY281" s="100"/>
      <c r="GZ281" s="100"/>
      <c r="HA281" s="100"/>
      <c r="HB281" s="100"/>
      <c r="HC281" s="100"/>
      <c r="HD281" s="100"/>
      <c r="HE281" s="100"/>
      <c r="HF281" s="100"/>
      <c r="HG281" s="100"/>
      <c r="HH281" s="100"/>
      <c r="HI281" s="100"/>
      <c r="HJ281" s="100"/>
      <c r="HK281" s="100"/>
      <c r="HL281" s="100"/>
      <c r="HM281" s="100"/>
      <c r="HN281" s="100"/>
      <c r="HO281" s="100"/>
      <c r="HP281" s="100"/>
      <c r="HQ281" s="100"/>
      <c r="HR281" s="100"/>
      <c r="HS281" s="100"/>
      <c r="HT281" s="100"/>
      <c r="HU281" s="100"/>
      <c r="HV281" s="100"/>
      <c r="HW281" s="100"/>
      <c r="HX281" s="100"/>
      <c r="HY281" s="100"/>
      <c r="HZ281" s="100"/>
    </row>
    <row r="282" customFormat="false" ht="12.8" hidden="false" customHeight="false" outlineLevel="0" collapsed="false">
      <c r="A282" s="100"/>
      <c r="B282" s="100"/>
      <c r="C282" s="100"/>
      <c r="D282" s="100"/>
      <c r="E282" s="100"/>
      <c r="F282" s="100"/>
      <c r="G282" s="163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63"/>
      <c r="AJ282" s="100"/>
      <c r="AK282" s="100"/>
      <c r="AL282" s="163"/>
      <c r="AM282" s="100"/>
      <c r="AN282" s="100"/>
      <c r="AO282" s="100"/>
      <c r="AP282" s="100"/>
      <c r="AQ282" s="100"/>
      <c r="AR282" s="100"/>
      <c r="AS282" s="100"/>
      <c r="AT282" s="100"/>
      <c r="AU282" s="100"/>
      <c r="AV282" s="100"/>
      <c r="AW282" s="100"/>
      <c r="AX282" s="100"/>
      <c r="AY282" s="100"/>
      <c r="AZ282" s="100"/>
      <c r="BA282" s="100"/>
      <c r="BB282" s="100"/>
      <c r="BC282" s="100"/>
      <c r="BD282" s="100"/>
      <c r="BE282" s="100"/>
      <c r="BF282" s="100"/>
      <c r="BG282" s="100"/>
      <c r="BH282" s="100"/>
      <c r="BI282" s="100"/>
      <c r="BJ282" s="100"/>
      <c r="BK282" s="100"/>
      <c r="BL282" s="100"/>
      <c r="BM282" s="100"/>
      <c r="BN282" s="100"/>
      <c r="BO282" s="100"/>
      <c r="BP282" s="100"/>
      <c r="BQ282" s="100"/>
      <c r="BR282" s="100"/>
      <c r="BS282" s="100"/>
      <c r="BT282" s="100"/>
      <c r="BU282" s="100"/>
      <c r="BV282" s="100"/>
      <c r="BW282" s="100"/>
      <c r="BX282" s="100"/>
      <c r="BY282" s="100"/>
      <c r="BZ282" s="100"/>
      <c r="CA282" s="100"/>
      <c r="CB282" s="100"/>
      <c r="CC282" s="100"/>
      <c r="CD282" s="100"/>
      <c r="CE282" s="100"/>
      <c r="CF282" s="100"/>
      <c r="CG282" s="100"/>
      <c r="CH282" s="100"/>
      <c r="CI282" s="100"/>
      <c r="CJ282" s="120"/>
      <c r="CK282" s="120"/>
      <c r="CL282" s="120"/>
      <c r="CM282" s="120"/>
      <c r="CN282" s="120"/>
      <c r="CO282" s="120"/>
      <c r="CP282" s="120"/>
      <c r="CQ282" s="100"/>
      <c r="CR282" s="100"/>
      <c r="CS282" s="100"/>
      <c r="CT282" s="100"/>
      <c r="CU282" s="100"/>
      <c r="CV282" s="100"/>
      <c r="CW282" s="100"/>
      <c r="CX282" s="100"/>
      <c r="CY282" s="100"/>
      <c r="CZ282" s="100"/>
      <c r="DA282" s="100"/>
      <c r="DB282" s="100"/>
      <c r="DC282" s="100"/>
      <c r="DD282" s="100"/>
      <c r="DE282" s="100"/>
      <c r="DF282" s="100"/>
      <c r="DG282" s="100"/>
      <c r="DH282" s="100"/>
      <c r="DI282" s="100"/>
      <c r="DJ282" s="100"/>
      <c r="DK282" s="100"/>
      <c r="DL282" s="100"/>
      <c r="DM282" s="100"/>
      <c r="DN282" s="100"/>
      <c r="DO282" s="100"/>
      <c r="DP282" s="100"/>
      <c r="DQ282" s="100"/>
      <c r="DR282" s="100"/>
      <c r="DS282" s="100"/>
      <c r="DT282" s="100"/>
      <c r="DU282" s="100"/>
      <c r="DV282" s="100"/>
      <c r="DW282" s="100"/>
      <c r="DX282" s="100"/>
      <c r="DY282" s="100"/>
      <c r="DZ282" s="100"/>
      <c r="EA282" s="100"/>
      <c r="EB282" s="100"/>
      <c r="EC282" s="100"/>
      <c r="ED282" s="100"/>
      <c r="EE282" s="100"/>
      <c r="EF282" s="100"/>
      <c r="EG282" s="100"/>
      <c r="EH282" s="100"/>
      <c r="EI282" s="100"/>
      <c r="EJ282" s="100"/>
      <c r="EK282" s="100"/>
      <c r="EL282" s="100"/>
      <c r="EM282" s="100"/>
      <c r="EN282" s="100"/>
      <c r="EO282" s="100"/>
      <c r="EP282" s="100"/>
      <c r="EQ282" s="100"/>
      <c r="ER282" s="100"/>
      <c r="ES282" s="100"/>
      <c r="ET282" s="100"/>
      <c r="EU282" s="100"/>
      <c r="EV282" s="100"/>
      <c r="EW282" s="100"/>
      <c r="EX282" s="100"/>
      <c r="EY282" s="100"/>
      <c r="EZ282" s="100"/>
      <c r="FA282" s="100"/>
      <c r="FB282" s="100"/>
      <c r="FC282" s="100"/>
      <c r="FD282" s="100"/>
      <c r="FE282" s="100"/>
      <c r="FF282" s="100"/>
      <c r="FG282" s="100"/>
      <c r="FH282" s="100"/>
      <c r="FI282" s="100"/>
      <c r="FJ282" s="100"/>
      <c r="FK282" s="100"/>
      <c r="FL282" s="100"/>
      <c r="FM282" s="100"/>
      <c r="FN282" s="100"/>
      <c r="FO282" s="100"/>
      <c r="FP282" s="100"/>
      <c r="FQ282" s="100"/>
      <c r="FR282" s="100"/>
      <c r="FS282" s="100"/>
      <c r="FT282" s="100"/>
      <c r="FU282" s="100"/>
      <c r="FV282" s="100"/>
      <c r="FW282" s="100"/>
      <c r="FX282" s="100"/>
      <c r="FY282" s="100"/>
      <c r="FZ282" s="100"/>
      <c r="GA282" s="100"/>
      <c r="GB282" s="100"/>
      <c r="GC282" s="100"/>
      <c r="GD282" s="100"/>
      <c r="GE282" s="100"/>
      <c r="GF282" s="100"/>
      <c r="GG282" s="100"/>
      <c r="GH282" s="100"/>
      <c r="GI282" s="100"/>
      <c r="GJ282" s="100"/>
      <c r="GK282" s="100"/>
      <c r="GL282" s="100"/>
      <c r="GM282" s="100"/>
      <c r="GN282" s="100"/>
      <c r="GO282" s="100"/>
      <c r="GP282" s="100"/>
      <c r="GQ282" s="100"/>
      <c r="GR282" s="100"/>
      <c r="GS282" s="100"/>
      <c r="GT282" s="100"/>
      <c r="GU282" s="100"/>
      <c r="GV282" s="100"/>
      <c r="GW282" s="100"/>
      <c r="GX282" s="100"/>
      <c r="GY282" s="100"/>
      <c r="GZ282" s="100"/>
      <c r="HA282" s="100"/>
      <c r="HB282" s="100"/>
      <c r="HC282" s="100"/>
      <c r="HD282" s="100"/>
      <c r="HE282" s="100"/>
      <c r="HF282" s="100"/>
      <c r="HG282" s="100"/>
      <c r="HH282" s="100"/>
      <c r="HI282" s="100"/>
      <c r="HJ282" s="100"/>
      <c r="HK282" s="100"/>
      <c r="HL282" s="100"/>
      <c r="HM282" s="100"/>
      <c r="HN282" s="100"/>
      <c r="HO282" s="100"/>
      <c r="HP282" s="100"/>
      <c r="HQ282" s="100"/>
      <c r="HR282" s="100"/>
      <c r="HS282" s="100"/>
      <c r="HT282" s="100"/>
      <c r="HU282" s="100"/>
      <c r="HV282" s="100"/>
      <c r="HW282" s="100"/>
      <c r="HX282" s="100"/>
      <c r="HY282" s="100"/>
      <c r="HZ282" s="100"/>
    </row>
    <row r="283" customFormat="false" ht="12.8" hidden="false" customHeight="false" outlineLevel="0" collapsed="false">
      <c r="A283" s="100"/>
      <c r="B283" s="100"/>
      <c r="C283" s="100"/>
      <c r="D283" s="100"/>
      <c r="E283" s="100"/>
      <c r="F283" s="100"/>
      <c r="G283" s="163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63"/>
      <c r="AJ283" s="100"/>
      <c r="AK283" s="100"/>
      <c r="AL283" s="163"/>
      <c r="AM283" s="100"/>
      <c r="AN283" s="100"/>
      <c r="AO283" s="100"/>
      <c r="AP283" s="100"/>
      <c r="AQ283" s="100"/>
      <c r="AR283" s="100"/>
      <c r="AS283" s="100"/>
      <c r="AT283" s="100"/>
      <c r="AU283" s="100"/>
      <c r="AV283" s="100"/>
      <c r="AW283" s="100"/>
      <c r="AX283" s="100"/>
      <c r="AY283" s="100"/>
      <c r="AZ283" s="100"/>
      <c r="BA283" s="100"/>
      <c r="BB283" s="100"/>
      <c r="BC283" s="100"/>
      <c r="BD283" s="100"/>
      <c r="BE283" s="100"/>
      <c r="BF283" s="100"/>
      <c r="BG283" s="100"/>
      <c r="BH283" s="100"/>
      <c r="BI283" s="100"/>
      <c r="BJ283" s="100"/>
      <c r="BK283" s="100"/>
      <c r="BL283" s="100"/>
      <c r="BM283" s="100"/>
      <c r="BN283" s="100"/>
      <c r="BO283" s="100"/>
      <c r="BP283" s="100"/>
      <c r="BQ283" s="100"/>
      <c r="BR283" s="100"/>
      <c r="BS283" s="100"/>
      <c r="BT283" s="100"/>
      <c r="BU283" s="100"/>
      <c r="BV283" s="100"/>
      <c r="BW283" s="100"/>
      <c r="BX283" s="100"/>
      <c r="BY283" s="100"/>
      <c r="BZ283" s="100"/>
      <c r="CA283" s="100"/>
      <c r="CB283" s="100"/>
      <c r="CC283" s="100"/>
      <c r="CD283" s="100"/>
      <c r="CE283" s="100"/>
      <c r="CF283" s="100"/>
      <c r="CG283" s="100"/>
      <c r="CH283" s="100"/>
      <c r="CI283" s="100"/>
      <c r="CJ283" s="120"/>
      <c r="CK283" s="120"/>
      <c r="CL283" s="120"/>
      <c r="CM283" s="120"/>
      <c r="CN283" s="120"/>
      <c r="CO283" s="120"/>
      <c r="CP283" s="120"/>
      <c r="CQ283" s="100"/>
      <c r="CR283" s="100"/>
      <c r="CS283" s="100"/>
      <c r="CT283" s="100"/>
      <c r="CU283" s="100"/>
      <c r="CV283" s="100"/>
      <c r="CW283" s="100"/>
      <c r="CX283" s="100"/>
      <c r="CY283" s="100"/>
      <c r="CZ283" s="100"/>
      <c r="DA283" s="100"/>
      <c r="DB283" s="100"/>
      <c r="DC283" s="100"/>
      <c r="DD283" s="100"/>
      <c r="DE283" s="100"/>
      <c r="DF283" s="100"/>
      <c r="DG283" s="100"/>
      <c r="DH283" s="100"/>
      <c r="DI283" s="100"/>
      <c r="DJ283" s="100"/>
      <c r="DK283" s="100"/>
      <c r="DL283" s="100"/>
      <c r="DM283" s="100"/>
      <c r="DN283" s="100"/>
      <c r="DO283" s="100"/>
      <c r="DP283" s="100"/>
      <c r="DQ283" s="100"/>
      <c r="DR283" s="100"/>
      <c r="DS283" s="100"/>
      <c r="DT283" s="100"/>
      <c r="DU283" s="100"/>
      <c r="DV283" s="100"/>
      <c r="DW283" s="100"/>
      <c r="DX283" s="100"/>
      <c r="DY283" s="100"/>
      <c r="DZ283" s="100"/>
      <c r="EA283" s="100"/>
      <c r="EB283" s="100"/>
      <c r="EC283" s="100"/>
      <c r="ED283" s="100"/>
      <c r="EE283" s="100"/>
      <c r="EF283" s="100"/>
      <c r="EG283" s="100"/>
      <c r="EH283" s="100"/>
      <c r="EI283" s="100"/>
      <c r="EJ283" s="100"/>
      <c r="EK283" s="100"/>
      <c r="EL283" s="100"/>
      <c r="EM283" s="100"/>
      <c r="EN283" s="100"/>
      <c r="EO283" s="100"/>
      <c r="EP283" s="100"/>
      <c r="EQ283" s="100"/>
      <c r="ER283" s="100"/>
      <c r="ES283" s="100"/>
      <c r="ET283" s="100"/>
      <c r="EU283" s="100"/>
      <c r="EV283" s="100"/>
      <c r="EW283" s="100"/>
      <c r="EX283" s="100"/>
      <c r="EY283" s="100"/>
      <c r="EZ283" s="100"/>
      <c r="FA283" s="100"/>
      <c r="FB283" s="100"/>
      <c r="FC283" s="100"/>
      <c r="FD283" s="100"/>
      <c r="FE283" s="100"/>
      <c r="FF283" s="100"/>
      <c r="FG283" s="100"/>
      <c r="FH283" s="100"/>
      <c r="FI283" s="100"/>
      <c r="FJ283" s="100"/>
      <c r="FK283" s="100"/>
      <c r="FL283" s="100"/>
      <c r="FM283" s="100"/>
      <c r="FN283" s="100"/>
      <c r="FO283" s="100"/>
      <c r="FP283" s="100"/>
      <c r="FQ283" s="100"/>
      <c r="FR283" s="100"/>
      <c r="FS283" s="100"/>
      <c r="FT283" s="100"/>
      <c r="FU283" s="100"/>
      <c r="FV283" s="100"/>
      <c r="FW283" s="100"/>
      <c r="FX283" s="100"/>
      <c r="FY283" s="100"/>
      <c r="FZ283" s="100"/>
      <c r="GA283" s="100"/>
      <c r="GB283" s="100"/>
      <c r="GC283" s="100"/>
      <c r="GD283" s="100"/>
      <c r="GE283" s="100"/>
      <c r="GF283" s="100"/>
      <c r="GG283" s="100"/>
      <c r="GH283" s="100"/>
      <c r="GI283" s="100"/>
      <c r="GJ283" s="100"/>
      <c r="GK283" s="100"/>
      <c r="GL283" s="100"/>
      <c r="GM283" s="100"/>
      <c r="GN283" s="100"/>
      <c r="GO283" s="100"/>
      <c r="GP283" s="100"/>
      <c r="GQ283" s="100"/>
      <c r="GR283" s="100"/>
      <c r="GS283" s="100"/>
      <c r="GT283" s="100"/>
      <c r="GU283" s="100"/>
      <c r="GV283" s="100"/>
      <c r="GW283" s="100"/>
      <c r="GX283" s="100"/>
      <c r="GY283" s="100"/>
      <c r="GZ283" s="100"/>
      <c r="HA283" s="100"/>
      <c r="HB283" s="100"/>
      <c r="HC283" s="100"/>
      <c r="HD283" s="100"/>
      <c r="HE283" s="100"/>
      <c r="HF283" s="100"/>
      <c r="HG283" s="100"/>
      <c r="HH283" s="100"/>
      <c r="HI283" s="100"/>
      <c r="HJ283" s="100"/>
      <c r="HK283" s="100"/>
      <c r="HL283" s="100"/>
      <c r="HM283" s="100"/>
      <c r="HN283" s="100"/>
      <c r="HO283" s="100"/>
      <c r="HP283" s="100"/>
      <c r="HQ283" s="100"/>
      <c r="HR283" s="100"/>
      <c r="HS283" s="100"/>
      <c r="HT283" s="100"/>
      <c r="HU283" s="100"/>
      <c r="HV283" s="100"/>
      <c r="HW283" s="100"/>
      <c r="HX283" s="100"/>
      <c r="HY283" s="100"/>
      <c r="HZ283" s="100"/>
    </row>
    <row r="284" customFormat="false" ht="12.8" hidden="false" customHeight="false" outlineLevel="0" collapsed="false">
      <c r="A284" s="100"/>
      <c r="B284" s="100"/>
      <c r="C284" s="100"/>
      <c r="D284" s="100"/>
      <c r="E284" s="100"/>
      <c r="F284" s="100"/>
      <c r="G284" s="163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63"/>
      <c r="AJ284" s="100"/>
      <c r="AK284" s="100"/>
      <c r="AL284" s="163"/>
      <c r="AM284" s="100"/>
      <c r="AN284" s="100"/>
      <c r="AO284" s="100"/>
      <c r="AP284" s="100"/>
      <c r="AQ284" s="100"/>
      <c r="AR284" s="100"/>
      <c r="AS284" s="100"/>
      <c r="AT284" s="100"/>
      <c r="AU284" s="100"/>
      <c r="AV284" s="100"/>
      <c r="AW284" s="100"/>
      <c r="AX284" s="100"/>
      <c r="AY284" s="100"/>
      <c r="AZ284" s="100"/>
      <c r="BA284" s="100"/>
      <c r="BB284" s="100"/>
      <c r="BC284" s="100"/>
      <c r="BD284" s="100"/>
      <c r="BE284" s="100"/>
      <c r="BF284" s="100"/>
      <c r="BG284" s="100"/>
      <c r="BH284" s="100"/>
      <c r="BI284" s="100"/>
      <c r="BJ284" s="100"/>
      <c r="BK284" s="100"/>
      <c r="BL284" s="100"/>
      <c r="BM284" s="100"/>
      <c r="BN284" s="100"/>
      <c r="BO284" s="100"/>
      <c r="BP284" s="100"/>
      <c r="BQ284" s="100"/>
      <c r="BR284" s="100"/>
      <c r="BS284" s="100"/>
      <c r="BT284" s="100"/>
      <c r="BU284" s="100"/>
      <c r="BV284" s="100"/>
      <c r="BW284" s="100"/>
      <c r="BX284" s="100"/>
      <c r="BY284" s="100"/>
      <c r="BZ284" s="100"/>
      <c r="CA284" s="100"/>
      <c r="CB284" s="100"/>
      <c r="CC284" s="100"/>
      <c r="CD284" s="100"/>
      <c r="CE284" s="100"/>
      <c r="CF284" s="100"/>
      <c r="CG284" s="100"/>
      <c r="CH284" s="100"/>
      <c r="CI284" s="100"/>
      <c r="CJ284" s="120"/>
      <c r="CK284" s="120"/>
      <c r="CL284" s="120"/>
      <c r="CM284" s="120"/>
      <c r="CN284" s="120"/>
      <c r="CO284" s="120"/>
      <c r="CP284" s="120"/>
      <c r="CQ284" s="100"/>
      <c r="CR284" s="100"/>
      <c r="CS284" s="100"/>
      <c r="CT284" s="100"/>
      <c r="CU284" s="100"/>
      <c r="CV284" s="100"/>
      <c r="CW284" s="100"/>
      <c r="CX284" s="100"/>
      <c r="CY284" s="100"/>
      <c r="CZ284" s="100"/>
      <c r="DA284" s="100"/>
      <c r="DB284" s="100"/>
      <c r="DC284" s="100"/>
      <c r="DD284" s="100"/>
      <c r="DE284" s="100"/>
      <c r="DF284" s="100"/>
      <c r="DG284" s="100"/>
      <c r="DH284" s="100"/>
      <c r="DI284" s="100"/>
      <c r="DJ284" s="100"/>
      <c r="DK284" s="100"/>
      <c r="DL284" s="100"/>
      <c r="DM284" s="100"/>
      <c r="DN284" s="100"/>
      <c r="DO284" s="100"/>
      <c r="DP284" s="100"/>
      <c r="DQ284" s="100"/>
      <c r="DR284" s="100"/>
      <c r="DS284" s="100"/>
      <c r="DT284" s="100"/>
      <c r="DU284" s="100"/>
      <c r="DV284" s="100"/>
      <c r="DW284" s="100"/>
      <c r="DX284" s="100"/>
      <c r="DY284" s="100"/>
      <c r="DZ284" s="100"/>
      <c r="EA284" s="100"/>
      <c r="EB284" s="100"/>
      <c r="EC284" s="100"/>
      <c r="ED284" s="100"/>
      <c r="EE284" s="100"/>
      <c r="EF284" s="100"/>
      <c r="EG284" s="100"/>
      <c r="EH284" s="100"/>
      <c r="EI284" s="100"/>
      <c r="EJ284" s="100"/>
      <c r="EK284" s="100"/>
      <c r="EL284" s="100"/>
      <c r="EM284" s="100"/>
      <c r="EN284" s="100"/>
      <c r="EO284" s="100"/>
      <c r="EP284" s="100"/>
      <c r="EQ284" s="100"/>
      <c r="ER284" s="100"/>
      <c r="ES284" s="100"/>
      <c r="ET284" s="100"/>
      <c r="EU284" s="100"/>
      <c r="EV284" s="100"/>
      <c r="EW284" s="100"/>
      <c r="EX284" s="100"/>
      <c r="EY284" s="100"/>
      <c r="EZ284" s="100"/>
      <c r="FA284" s="100"/>
      <c r="FB284" s="100"/>
      <c r="FC284" s="100"/>
      <c r="FD284" s="100"/>
      <c r="FE284" s="100"/>
      <c r="FF284" s="100"/>
      <c r="FG284" s="100"/>
      <c r="FH284" s="100"/>
      <c r="FI284" s="100"/>
      <c r="FJ284" s="100"/>
      <c r="FK284" s="100"/>
      <c r="FL284" s="100"/>
      <c r="FM284" s="100"/>
      <c r="FN284" s="100"/>
      <c r="FO284" s="100"/>
      <c r="FP284" s="100"/>
      <c r="FQ284" s="100"/>
      <c r="FR284" s="100"/>
      <c r="FS284" s="100"/>
      <c r="FT284" s="100"/>
      <c r="FU284" s="100"/>
      <c r="FV284" s="100"/>
      <c r="FW284" s="100"/>
      <c r="FX284" s="100"/>
      <c r="FY284" s="100"/>
      <c r="FZ284" s="100"/>
      <c r="GA284" s="100"/>
      <c r="GB284" s="100"/>
      <c r="GC284" s="100"/>
      <c r="GD284" s="100"/>
      <c r="GE284" s="100"/>
      <c r="GF284" s="100"/>
      <c r="GG284" s="100"/>
      <c r="GH284" s="100"/>
      <c r="GI284" s="100"/>
      <c r="GJ284" s="100"/>
      <c r="GK284" s="100"/>
      <c r="GL284" s="100"/>
      <c r="GM284" s="100"/>
      <c r="GN284" s="100"/>
      <c r="GO284" s="100"/>
      <c r="GP284" s="100"/>
      <c r="GQ284" s="100"/>
      <c r="GR284" s="100"/>
      <c r="GS284" s="100"/>
      <c r="GT284" s="100"/>
      <c r="GU284" s="100"/>
      <c r="GV284" s="100"/>
      <c r="GW284" s="100"/>
      <c r="GX284" s="100"/>
      <c r="GY284" s="100"/>
      <c r="GZ284" s="100"/>
      <c r="HA284" s="100"/>
      <c r="HB284" s="100"/>
      <c r="HC284" s="100"/>
      <c r="HD284" s="100"/>
      <c r="HE284" s="100"/>
      <c r="HF284" s="100"/>
      <c r="HG284" s="100"/>
      <c r="HH284" s="100"/>
      <c r="HI284" s="100"/>
      <c r="HJ284" s="100"/>
      <c r="HK284" s="100"/>
      <c r="HL284" s="100"/>
      <c r="HM284" s="100"/>
      <c r="HN284" s="100"/>
      <c r="HO284" s="100"/>
      <c r="HP284" s="100"/>
      <c r="HQ284" s="100"/>
      <c r="HR284" s="100"/>
      <c r="HS284" s="100"/>
      <c r="HT284" s="100"/>
      <c r="HU284" s="100"/>
      <c r="HV284" s="100"/>
      <c r="HW284" s="100"/>
      <c r="HX284" s="100"/>
      <c r="HY284" s="100"/>
      <c r="HZ284" s="100"/>
    </row>
    <row r="285" customFormat="false" ht="12.8" hidden="false" customHeight="false" outlineLevel="0" collapsed="false">
      <c r="A285" s="100"/>
      <c r="B285" s="100"/>
      <c r="C285" s="100"/>
      <c r="D285" s="100"/>
      <c r="E285" s="100"/>
      <c r="F285" s="100"/>
      <c r="G285" s="163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63"/>
      <c r="AJ285" s="100"/>
      <c r="AK285" s="100"/>
      <c r="AL285" s="163"/>
      <c r="AM285" s="100"/>
      <c r="AN285" s="100"/>
      <c r="AO285" s="100"/>
      <c r="AP285" s="100"/>
      <c r="AQ285" s="100"/>
      <c r="AR285" s="100"/>
      <c r="AS285" s="100"/>
      <c r="AT285" s="100"/>
      <c r="AU285" s="100"/>
      <c r="AV285" s="100"/>
      <c r="AW285" s="100"/>
      <c r="AX285" s="100"/>
      <c r="AY285" s="100"/>
      <c r="AZ285" s="100"/>
      <c r="BA285" s="100"/>
      <c r="BB285" s="100"/>
      <c r="BC285" s="100"/>
      <c r="BD285" s="100"/>
      <c r="BE285" s="100"/>
      <c r="BF285" s="100"/>
      <c r="BG285" s="100"/>
      <c r="BH285" s="100"/>
      <c r="BI285" s="100"/>
      <c r="BJ285" s="100"/>
      <c r="BK285" s="100"/>
      <c r="BL285" s="100"/>
      <c r="BM285" s="100"/>
      <c r="BN285" s="100"/>
      <c r="BO285" s="100"/>
      <c r="BP285" s="100"/>
      <c r="BQ285" s="100"/>
      <c r="BR285" s="100"/>
      <c r="BS285" s="100"/>
      <c r="BT285" s="100"/>
      <c r="BU285" s="100"/>
      <c r="BV285" s="100"/>
      <c r="BW285" s="100"/>
      <c r="BX285" s="100"/>
      <c r="BY285" s="100"/>
      <c r="BZ285" s="100"/>
      <c r="CA285" s="100"/>
      <c r="CB285" s="100"/>
      <c r="CC285" s="100"/>
      <c r="CD285" s="100"/>
      <c r="CE285" s="100"/>
      <c r="CF285" s="100"/>
      <c r="CG285" s="100"/>
      <c r="CH285" s="100"/>
      <c r="CI285" s="100"/>
      <c r="CJ285" s="120"/>
      <c r="CK285" s="120"/>
      <c r="CL285" s="120"/>
      <c r="CM285" s="120"/>
      <c r="CN285" s="120"/>
      <c r="CO285" s="120"/>
      <c r="CP285" s="120"/>
      <c r="CQ285" s="100"/>
      <c r="CR285" s="100"/>
      <c r="CS285" s="100"/>
      <c r="CT285" s="100"/>
      <c r="CU285" s="100"/>
      <c r="CV285" s="100"/>
      <c r="CW285" s="100"/>
      <c r="CX285" s="100"/>
      <c r="CY285" s="100"/>
      <c r="CZ285" s="100"/>
      <c r="DA285" s="100"/>
      <c r="DB285" s="100"/>
      <c r="DC285" s="100"/>
      <c r="DD285" s="100"/>
      <c r="DE285" s="100"/>
      <c r="DF285" s="100"/>
      <c r="DG285" s="100"/>
      <c r="DH285" s="100"/>
      <c r="DI285" s="100"/>
      <c r="DJ285" s="100"/>
      <c r="DK285" s="100"/>
      <c r="DL285" s="100"/>
      <c r="DM285" s="100"/>
      <c r="DN285" s="100"/>
      <c r="DO285" s="100"/>
      <c r="DP285" s="100"/>
      <c r="DQ285" s="100"/>
      <c r="DR285" s="100"/>
      <c r="DS285" s="100"/>
      <c r="DT285" s="100"/>
      <c r="DU285" s="100"/>
      <c r="DV285" s="100"/>
      <c r="DW285" s="100"/>
      <c r="DX285" s="100"/>
      <c r="DY285" s="100"/>
      <c r="DZ285" s="100"/>
      <c r="EA285" s="100"/>
      <c r="EB285" s="100"/>
      <c r="EC285" s="100"/>
      <c r="ED285" s="100"/>
      <c r="EE285" s="100"/>
      <c r="EF285" s="100"/>
      <c r="EG285" s="100"/>
      <c r="EH285" s="100"/>
      <c r="EI285" s="100"/>
      <c r="EJ285" s="100"/>
      <c r="EK285" s="100"/>
      <c r="EL285" s="100"/>
      <c r="EM285" s="100"/>
      <c r="EN285" s="100"/>
      <c r="EO285" s="100"/>
      <c r="EP285" s="100"/>
      <c r="EQ285" s="100"/>
      <c r="ER285" s="100"/>
      <c r="ES285" s="100"/>
      <c r="ET285" s="100"/>
      <c r="EU285" s="100"/>
      <c r="EV285" s="100"/>
      <c r="EW285" s="100"/>
      <c r="EX285" s="100"/>
      <c r="EY285" s="100"/>
      <c r="EZ285" s="100"/>
      <c r="FA285" s="100"/>
      <c r="FB285" s="100"/>
      <c r="FC285" s="100"/>
      <c r="FD285" s="100"/>
      <c r="FE285" s="100"/>
      <c r="FF285" s="100"/>
      <c r="FG285" s="100"/>
      <c r="FH285" s="100"/>
      <c r="FI285" s="100"/>
      <c r="FJ285" s="100"/>
      <c r="FK285" s="100"/>
      <c r="FL285" s="100"/>
      <c r="FM285" s="100"/>
      <c r="FN285" s="100"/>
      <c r="FO285" s="100"/>
      <c r="FP285" s="100"/>
      <c r="FQ285" s="100"/>
      <c r="FR285" s="100"/>
      <c r="FS285" s="100"/>
      <c r="FT285" s="100"/>
      <c r="FU285" s="100"/>
      <c r="FV285" s="100"/>
      <c r="FW285" s="100"/>
      <c r="FX285" s="100"/>
      <c r="FY285" s="100"/>
      <c r="FZ285" s="100"/>
      <c r="GA285" s="100"/>
      <c r="GB285" s="100"/>
      <c r="GC285" s="100"/>
      <c r="GD285" s="100"/>
      <c r="GE285" s="100"/>
      <c r="GF285" s="100"/>
      <c r="GG285" s="100"/>
      <c r="GH285" s="100"/>
      <c r="GI285" s="100"/>
      <c r="GJ285" s="100"/>
      <c r="GK285" s="100"/>
      <c r="GL285" s="100"/>
      <c r="GM285" s="100"/>
      <c r="GN285" s="100"/>
      <c r="GO285" s="100"/>
      <c r="GP285" s="100"/>
      <c r="GQ285" s="100"/>
      <c r="GR285" s="100"/>
      <c r="GS285" s="100"/>
      <c r="GT285" s="100"/>
      <c r="GU285" s="100"/>
      <c r="GV285" s="100"/>
      <c r="GW285" s="100"/>
      <c r="GX285" s="100"/>
      <c r="GY285" s="100"/>
      <c r="GZ285" s="100"/>
      <c r="HA285" s="100"/>
      <c r="HB285" s="100"/>
      <c r="HC285" s="100"/>
      <c r="HD285" s="100"/>
      <c r="HE285" s="100"/>
      <c r="HF285" s="100"/>
      <c r="HG285" s="100"/>
      <c r="HH285" s="100"/>
      <c r="HI285" s="100"/>
      <c r="HJ285" s="100"/>
      <c r="HK285" s="100"/>
      <c r="HL285" s="100"/>
      <c r="HM285" s="100"/>
      <c r="HN285" s="100"/>
      <c r="HO285" s="100"/>
      <c r="HP285" s="100"/>
      <c r="HQ285" s="100"/>
      <c r="HR285" s="100"/>
      <c r="HS285" s="100"/>
      <c r="HT285" s="100"/>
      <c r="HU285" s="100"/>
      <c r="HV285" s="100"/>
      <c r="HW285" s="100"/>
      <c r="HX285" s="100"/>
      <c r="HY285" s="100"/>
      <c r="HZ285" s="100"/>
    </row>
    <row r="286" customFormat="false" ht="12.8" hidden="false" customHeight="false" outlineLevel="0" collapsed="false">
      <c r="A286" s="100"/>
      <c r="B286" s="100"/>
      <c r="C286" s="100"/>
      <c r="D286" s="100"/>
      <c r="E286" s="100"/>
      <c r="F286" s="100"/>
      <c r="G286" s="163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63"/>
      <c r="AJ286" s="100"/>
      <c r="AK286" s="100"/>
      <c r="AL286" s="163"/>
      <c r="AM286" s="100"/>
      <c r="AN286" s="100"/>
      <c r="AO286" s="100"/>
      <c r="AP286" s="100"/>
      <c r="AQ286" s="100"/>
      <c r="AR286" s="100"/>
      <c r="AS286" s="100"/>
      <c r="AT286" s="100"/>
      <c r="AU286" s="100"/>
      <c r="AV286" s="100"/>
      <c r="AW286" s="100"/>
      <c r="AX286" s="100"/>
      <c r="AY286" s="100"/>
      <c r="AZ286" s="100"/>
      <c r="BA286" s="100"/>
      <c r="BB286" s="100"/>
      <c r="BC286" s="100"/>
      <c r="BD286" s="100"/>
      <c r="BE286" s="100"/>
      <c r="BF286" s="100"/>
      <c r="BG286" s="100"/>
      <c r="BH286" s="100"/>
      <c r="BI286" s="100"/>
      <c r="BJ286" s="100"/>
      <c r="BK286" s="100"/>
      <c r="BL286" s="100"/>
      <c r="BM286" s="100"/>
      <c r="BN286" s="100"/>
      <c r="BO286" s="100"/>
      <c r="BP286" s="100"/>
      <c r="BQ286" s="100"/>
      <c r="BR286" s="100"/>
      <c r="BS286" s="100"/>
      <c r="BT286" s="100"/>
      <c r="BU286" s="100"/>
      <c r="BV286" s="100"/>
      <c r="BW286" s="100"/>
      <c r="BX286" s="100"/>
      <c r="BY286" s="100"/>
      <c r="BZ286" s="100"/>
      <c r="CA286" s="100"/>
      <c r="CB286" s="100"/>
      <c r="CC286" s="100"/>
      <c r="CD286" s="100"/>
      <c r="CE286" s="100"/>
      <c r="CF286" s="100"/>
      <c r="CG286" s="100"/>
      <c r="CH286" s="100"/>
      <c r="CI286" s="100"/>
      <c r="CJ286" s="120"/>
      <c r="CK286" s="120"/>
      <c r="CL286" s="120"/>
      <c r="CM286" s="120"/>
      <c r="CN286" s="120"/>
      <c r="CO286" s="120"/>
      <c r="CP286" s="120"/>
      <c r="CQ286" s="100"/>
      <c r="CR286" s="100"/>
      <c r="CS286" s="100"/>
      <c r="CT286" s="100"/>
      <c r="CU286" s="100"/>
      <c r="CV286" s="100"/>
      <c r="CW286" s="100"/>
      <c r="CX286" s="100"/>
      <c r="CY286" s="100"/>
      <c r="CZ286" s="100"/>
      <c r="DA286" s="100"/>
      <c r="DB286" s="100"/>
      <c r="DC286" s="100"/>
      <c r="DD286" s="100"/>
      <c r="DE286" s="100"/>
      <c r="DF286" s="100"/>
      <c r="DG286" s="100"/>
      <c r="DH286" s="100"/>
      <c r="DI286" s="100"/>
      <c r="DJ286" s="100"/>
      <c r="DK286" s="100"/>
      <c r="DL286" s="100"/>
      <c r="DM286" s="100"/>
      <c r="DN286" s="100"/>
      <c r="DO286" s="100"/>
      <c r="DP286" s="100"/>
      <c r="DQ286" s="100"/>
      <c r="DR286" s="100"/>
      <c r="DS286" s="100"/>
      <c r="DT286" s="100"/>
      <c r="DU286" s="100"/>
      <c r="DV286" s="100"/>
      <c r="DW286" s="100"/>
      <c r="DX286" s="100"/>
      <c r="DY286" s="100"/>
      <c r="DZ286" s="100"/>
      <c r="EA286" s="100"/>
      <c r="EB286" s="100"/>
      <c r="EC286" s="100"/>
      <c r="ED286" s="100"/>
      <c r="EE286" s="100"/>
      <c r="EF286" s="100"/>
      <c r="EG286" s="100"/>
      <c r="EH286" s="100"/>
      <c r="EI286" s="100"/>
      <c r="EJ286" s="100"/>
      <c r="EK286" s="100"/>
      <c r="EL286" s="100"/>
      <c r="EM286" s="100"/>
      <c r="EN286" s="100"/>
      <c r="EO286" s="100"/>
      <c r="EP286" s="100"/>
      <c r="EQ286" s="100"/>
      <c r="ER286" s="100"/>
      <c r="ES286" s="100"/>
      <c r="ET286" s="100"/>
      <c r="EU286" s="100"/>
      <c r="EV286" s="100"/>
      <c r="EW286" s="100"/>
      <c r="EX286" s="100"/>
      <c r="EY286" s="100"/>
      <c r="EZ286" s="100"/>
      <c r="FA286" s="100"/>
      <c r="FB286" s="100"/>
      <c r="FC286" s="100"/>
      <c r="FD286" s="100"/>
      <c r="FE286" s="100"/>
      <c r="FF286" s="100"/>
      <c r="FG286" s="100"/>
      <c r="FH286" s="100"/>
      <c r="FI286" s="100"/>
      <c r="FJ286" s="100"/>
      <c r="FK286" s="100"/>
      <c r="FL286" s="100"/>
      <c r="FM286" s="100"/>
      <c r="FN286" s="100"/>
      <c r="FO286" s="100"/>
      <c r="FP286" s="100"/>
      <c r="FQ286" s="100"/>
      <c r="FR286" s="100"/>
      <c r="FS286" s="100"/>
      <c r="FT286" s="100"/>
      <c r="FU286" s="100"/>
      <c r="FV286" s="100"/>
      <c r="FW286" s="100"/>
      <c r="FX286" s="100"/>
      <c r="FY286" s="100"/>
      <c r="FZ286" s="100"/>
      <c r="GA286" s="100"/>
      <c r="GB286" s="100"/>
      <c r="GC286" s="100"/>
      <c r="GD286" s="100"/>
      <c r="GE286" s="100"/>
      <c r="GF286" s="100"/>
      <c r="GG286" s="100"/>
      <c r="GH286" s="100"/>
      <c r="GI286" s="100"/>
      <c r="GJ286" s="100"/>
      <c r="GK286" s="100"/>
      <c r="GL286" s="100"/>
      <c r="GM286" s="100"/>
      <c r="GN286" s="100"/>
      <c r="GO286" s="100"/>
      <c r="GP286" s="100"/>
      <c r="GQ286" s="100"/>
      <c r="GR286" s="100"/>
      <c r="GS286" s="100"/>
      <c r="GT286" s="100"/>
      <c r="GU286" s="100"/>
      <c r="GV286" s="100"/>
      <c r="GW286" s="100"/>
      <c r="GX286" s="100"/>
      <c r="GY286" s="100"/>
      <c r="GZ286" s="100"/>
      <c r="HA286" s="100"/>
      <c r="HB286" s="100"/>
      <c r="HC286" s="100"/>
      <c r="HD286" s="100"/>
      <c r="HE286" s="100"/>
      <c r="HF286" s="100"/>
      <c r="HG286" s="100"/>
      <c r="HH286" s="100"/>
      <c r="HI286" s="100"/>
      <c r="HJ286" s="100"/>
      <c r="HK286" s="100"/>
      <c r="HL286" s="100"/>
      <c r="HM286" s="100"/>
      <c r="HN286" s="100"/>
      <c r="HO286" s="100"/>
      <c r="HP286" s="100"/>
      <c r="HQ286" s="100"/>
      <c r="HR286" s="100"/>
      <c r="HS286" s="100"/>
      <c r="HT286" s="100"/>
      <c r="HU286" s="100"/>
      <c r="HV286" s="100"/>
      <c r="HW286" s="100"/>
      <c r="HX286" s="100"/>
      <c r="HY286" s="100"/>
      <c r="HZ286" s="100"/>
    </row>
    <row r="287" customFormat="false" ht="12.8" hidden="false" customHeight="false" outlineLevel="0" collapsed="false">
      <c r="A287" s="100"/>
      <c r="B287" s="100"/>
      <c r="C287" s="100"/>
      <c r="D287" s="100"/>
      <c r="E287" s="100"/>
      <c r="F287" s="100"/>
      <c r="G287" s="163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63"/>
      <c r="AJ287" s="100"/>
      <c r="AK287" s="100"/>
      <c r="AL287" s="163"/>
      <c r="AM287" s="100"/>
      <c r="AN287" s="100"/>
      <c r="AO287" s="100"/>
      <c r="AP287" s="100"/>
      <c r="AQ287" s="100"/>
      <c r="AR287" s="100"/>
      <c r="AS287" s="100"/>
      <c r="AT287" s="100"/>
      <c r="AU287" s="100"/>
      <c r="AV287" s="100"/>
      <c r="AW287" s="100"/>
      <c r="AX287" s="100"/>
      <c r="AY287" s="100"/>
      <c r="AZ287" s="100"/>
      <c r="BA287" s="100"/>
      <c r="BB287" s="100"/>
      <c r="BC287" s="100"/>
      <c r="BD287" s="100"/>
      <c r="BE287" s="100"/>
      <c r="BF287" s="100"/>
      <c r="BG287" s="100"/>
      <c r="BH287" s="100"/>
      <c r="BI287" s="100"/>
      <c r="BJ287" s="100"/>
      <c r="BK287" s="100"/>
      <c r="BL287" s="100"/>
      <c r="BM287" s="100"/>
      <c r="BN287" s="100"/>
      <c r="BO287" s="100"/>
      <c r="BP287" s="100"/>
      <c r="BQ287" s="100"/>
      <c r="BR287" s="100"/>
      <c r="BS287" s="100"/>
      <c r="BT287" s="100"/>
      <c r="BU287" s="100"/>
      <c r="BV287" s="100"/>
      <c r="BW287" s="100"/>
      <c r="BX287" s="100"/>
      <c r="BY287" s="100"/>
      <c r="BZ287" s="100"/>
      <c r="CA287" s="100"/>
      <c r="CB287" s="100"/>
      <c r="CC287" s="100"/>
      <c r="CD287" s="100"/>
      <c r="CE287" s="100"/>
      <c r="CF287" s="100"/>
      <c r="CG287" s="100"/>
      <c r="CH287" s="100"/>
      <c r="CI287" s="100"/>
      <c r="CJ287" s="120"/>
      <c r="CK287" s="120"/>
      <c r="CL287" s="120"/>
      <c r="CM287" s="120"/>
      <c r="CN287" s="120"/>
      <c r="CO287" s="120"/>
      <c r="CP287" s="120"/>
      <c r="CQ287" s="100"/>
      <c r="CR287" s="100"/>
      <c r="CS287" s="100"/>
      <c r="CT287" s="100"/>
      <c r="CU287" s="100"/>
      <c r="CV287" s="100"/>
      <c r="CW287" s="100"/>
      <c r="CX287" s="100"/>
      <c r="CY287" s="100"/>
      <c r="CZ287" s="100"/>
      <c r="DA287" s="100"/>
      <c r="DB287" s="100"/>
      <c r="DC287" s="100"/>
      <c r="DD287" s="100"/>
      <c r="DE287" s="100"/>
      <c r="DF287" s="100"/>
      <c r="DG287" s="100"/>
      <c r="DH287" s="100"/>
      <c r="DI287" s="100"/>
      <c r="DJ287" s="100"/>
      <c r="DK287" s="100"/>
      <c r="DL287" s="100"/>
      <c r="DM287" s="100"/>
      <c r="DN287" s="100"/>
      <c r="DO287" s="100"/>
      <c r="DP287" s="100"/>
      <c r="DQ287" s="100"/>
      <c r="DR287" s="100"/>
      <c r="DS287" s="100"/>
      <c r="DT287" s="100"/>
      <c r="DU287" s="100"/>
      <c r="DV287" s="100"/>
      <c r="DW287" s="100"/>
      <c r="DX287" s="100"/>
      <c r="DY287" s="100"/>
      <c r="DZ287" s="100"/>
      <c r="EA287" s="100"/>
      <c r="EB287" s="100"/>
      <c r="EC287" s="100"/>
      <c r="ED287" s="100"/>
      <c r="EE287" s="100"/>
      <c r="EF287" s="100"/>
      <c r="EG287" s="100"/>
      <c r="EH287" s="100"/>
      <c r="EI287" s="100"/>
      <c r="EJ287" s="100"/>
      <c r="EK287" s="100"/>
      <c r="EL287" s="100"/>
      <c r="EM287" s="100"/>
      <c r="EN287" s="100"/>
      <c r="EO287" s="100"/>
      <c r="EP287" s="100"/>
      <c r="EQ287" s="100"/>
      <c r="ER287" s="100"/>
      <c r="ES287" s="100"/>
      <c r="ET287" s="100"/>
      <c r="EU287" s="100"/>
      <c r="EV287" s="100"/>
      <c r="EW287" s="100"/>
      <c r="EX287" s="100"/>
      <c r="EY287" s="100"/>
      <c r="EZ287" s="100"/>
      <c r="FA287" s="100"/>
      <c r="FB287" s="100"/>
      <c r="FC287" s="100"/>
      <c r="FD287" s="100"/>
      <c r="FE287" s="100"/>
      <c r="FF287" s="100"/>
      <c r="FG287" s="100"/>
      <c r="FH287" s="100"/>
      <c r="FI287" s="100"/>
      <c r="FJ287" s="100"/>
      <c r="FK287" s="100"/>
      <c r="FL287" s="100"/>
      <c r="FM287" s="100"/>
      <c r="FN287" s="100"/>
      <c r="FO287" s="100"/>
      <c r="FP287" s="100"/>
      <c r="FQ287" s="100"/>
      <c r="FR287" s="100"/>
      <c r="FS287" s="100"/>
      <c r="FT287" s="100"/>
      <c r="FU287" s="100"/>
      <c r="FV287" s="100"/>
      <c r="FW287" s="100"/>
      <c r="FX287" s="100"/>
      <c r="FY287" s="100"/>
      <c r="FZ287" s="100"/>
      <c r="GA287" s="100"/>
      <c r="GB287" s="100"/>
      <c r="GC287" s="100"/>
      <c r="GD287" s="100"/>
      <c r="GE287" s="100"/>
      <c r="GF287" s="100"/>
      <c r="GG287" s="100"/>
      <c r="GH287" s="100"/>
      <c r="GI287" s="100"/>
      <c r="GJ287" s="100"/>
      <c r="GK287" s="100"/>
      <c r="GL287" s="100"/>
      <c r="GM287" s="100"/>
      <c r="GN287" s="100"/>
      <c r="GO287" s="100"/>
      <c r="GP287" s="100"/>
      <c r="GQ287" s="100"/>
      <c r="GR287" s="100"/>
      <c r="GS287" s="100"/>
      <c r="GT287" s="100"/>
      <c r="GU287" s="100"/>
      <c r="GV287" s="100"/>
      <c r="GW287" s="100"/>
      <c r="GX287" s="100"/>
      <c r="GY287" s="100"/>
      <c r="GZ287" s="100"/>
      <c r="HA287" s="100"/>
      <c r="HB287" s="100"/>
      <c r="HC287" s="100"/>
      <c r="HD287" s="100"/>
      <c r="HE287" s="100"/>
      <c r="HF287" s="100"/>
      <c r="HG287" s="100"/>
      <c r="HH287" s="100"/>
      <c r="HI287" s="100"/>
      <c r="HJ287" s="100"/>
      <c r="HK287" s="100"/>
      <c r="HL287" s="100"/>
      <c r="HM287" s="100"/>
      <c r="HN287" s="100"/>
      <c r="HO287" s="100"/>
      <c r="HP287" s="100"/>
      <c r="HQ287" s="100"/>
      <c r="HR287" s="100"/>
      <c r="HS287" s="100"/>
      <c r="HT287" s="100"/>
      <c r="HU287" s="100"/>
      <c r="HV287" s="100"/>
      <c r="HW287" s="100"/>
      <c r="HX287" s="100"/>
      <c r="HY287" s="100"/>
      <c r="HZ287" s="100"/>
    </row>
    <row r="288" customFormat="false" ht="12.8" hidden="false" customHeight="false" outlineLevel="0" collapsed="false">
      <c r="A288" s="100"/>
      <c r="B288" s="100"/>
      <c r="C288" s="100"/>
      <c r="D288" s="100"/>
      <c r="E288" s="100"/>
      <c r="F288" s="100"/>
      <c r="G288" s="163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63"/>
      <c r="AJ288" s="100"/>
      <c r="AK288" s="100"/>
      <c r="AL288" s="163"/>
      <c r="AM288" s="100"/>
      <c r="AN288" s="100"/>
      <c r="AO288" s="100"/>
      <c r="AP288" s="100"/>
      <c r="AQ288" s="100"/>
      <c r="AR288" s="100"/>
      <c r="AS288" s="100"/>
      <c r="AT288" s="100"/>
      <c r="AU288" s="100"/>
      <c r="AV288" s="100"/>
      <c r="AW288" s="100"/>
      <c r="AX288" s="100"/>
      <c r="AY288" s="100"/>
      <c r="AZ288" s="100"/>
      <c r="BA288" s="100"/>
      <c r="BB288" s="100"/>
      <c r="BC288" s="100"/>
      <c r="BD288" s="100"/>
      <c r="BE288" s="100"/>
      <c r="BF288" s="100"/>
      <c r="BG288" s="100"/>
      <c r="BH288" s="100"/>
      <c r="BI288" s="100"/>
      <c r="BJ288" s="100"/>
      <c r="BK288" s="100"/>
      <c r="BL288" s="100"/>
      <c r="BM288" s="100"/>
      <c r="BN288" s="100"/>
      <c r="BO288" s="100"/>
      <c r="BP288" s="100"/>
      <c r="BQ288" s="100"/>
      <c r="BR288" s="100"/>
      <c r="BS288" s="100"/>
      <c r="BT288" s="100"/>
      <c r="BU288" s="100"/>
      <c r="BV288" s="100"/>
      <c r="BW288" s="100"/>
      <c r="BX288" s="100"/>
      <c r="BY288" s="100"/>
      <c r="BZ288" s="100"/>
      <c r="CA288" s="100"/>
      <c r="CB288" s="100"/>
      <c r="CC288" s="100"/>
      <c r="CD288" s="100"/>
      <c r="CE288" s="100"/>
      <c r="CF288" s="100"/>
      <c r="CG288" s="100"/>
      <c r="CH288" s="100"/>
      <c r="CI288" s="100"/>
      <c r="CJ288" s="120"/>
      <c r="CK288" s="120"/>
      <c r="CL288" s="120"/>
      <c r="CM288" s="120"/>
      <c r="CN288" s="120"/>
      <c r="CO288" s="120"/>
      <c r="CP288" s="120"/>
      <c r="CQ288" s="100"/>
      <c r="CR288" s="100"/>
      <c r="CS288" s="100"/>
      <c r="CT288" s="100"/>
      <c r="CU288" s="100"/>
      <c r="CV288" s="100"/>
      <c r="CW288" s="100"/>
      <c r="CX288" s="100"/>
      <c r="CY288" s="100"/>
      <c r="CZ288" s="100"/>
      <c r="DA288" s="100"/>
      <c r="DB288" s="100"/>
      <c r="DC288" s="100"/>
      <c r="DD288" s="100"/>
      <c r="DE288" s="100"/>
      <c r="DF288" s="100"/>
      <c r="DG288" s="100"/>
      <c r="DH288" s="100"/>
      <c r="DI288" s="100"/>
      <c r="DJ288" s="100"/>
      <c r="DK288" s="100"/>
      <c r="DL288" s="100"/>
      <c r="DM288" s="100"/>
      <c r="DN288" s="100"/>
      <c r="DO288" s="100"/>
      <c r="DP288" s="100"/>
      <c r="DQ288" s="100"/>
      <c r="DR288" s="100"/>
      <c r="DS288" s="100"/>
      <c r="DT288" s="100"/>
      <c r="DU288" s="100"/>
      <c r="DV288" s="100"/>
      <c r="DW288" s="100"/>
      <c r="DX288" s="100"/>
      <c r="DY288" s="100"/>
      <c r="DZ288" s="100"/>
      <c r="EA288" s="100"/>
      <c r="EB288" s="100"/>
      <c r="EC288" s="100"/>
      <c r="ED288" s="100"/>
      <c r="EE288" s="100"/>
      <c r="EF288" s="100"/>
      <c r="EG288" s="100"/>
      <c r="EH288" s="100"/>
      <c r="EI288" s="100"/>
      <c r="EJ288" s="100"/>
      <c r="EK288" s="100"/>
      <c r="EL288" s="100"/>
      <c r="EM288" s="100"/>
      <c r="EN288" s="100"/>
      <c r="EO288" s="100"/>
      <c r="EP288" s="100"/>
      <c r="EQ288" s="100"/>
      <c r="ER288" s="100"/>
      <c r="ES288" s="100"/>
      <c r="ET288" s="100"/>
      <c r="EU288" s="100"/>
      <c r="EV288" s="100"/>
      <c r="EW288" s="100"/>
      <c r="EX288" s="100"/>
      <c r="EY288" s="100"/>
      <c r="EZ288" s="100"/>
      <c r="FA288" s="100"/>
      <c r="FB288" s="100"/>
      <c r="FC288" s="100"/>
      <c r="FD288" s="100"/>
      <c r="FE288" s="100"/>
      <c r="FF288" s="100"/>
      <c r="FG288" s="100"/>
      <c r="FH288" s="100"/>
      <c r="FI288" s="100"/>
      <c r="FJ288" s="100"/>
      <c r="FK288" s="100"/>
      <c r="FL288" s="100"/>
      <c r="FM288" s="100"/>
      <c r="FN288" s="100"/>
      <c r="FO288" s="100"/>
      <c r="FP288" s="100"/>
      <c r="FQ288" s="100"/>
      <c r="FR288" s="100"/>
      <c r="FS288" s="100"/>
      <c r="FT288" s="100"/>
      <c r="FU288" s="100"/>
      <c r="FV288" s="100"/>
      <c r="FW288" s="100"/>
      <c r="FX288" s="100"/>
      <c r="FY288" s="100"/>
      <c r="FZ288" s="100"/>
      <c r="GA288" s="100"/>
      <c r="GB288" s="100"/>
      <c r="GC288" s="100"/>
      <c r="GD288" s="100"/>
      <c r="GE288" s="100"/>
      <c r="GF288" s="100"/>
      <c r="GG288" s="100"/>
      <c r="GH288" s="100"/>
      <c r="GI288" s="100"/>
      <c r="GJ288" s="100"/>
      <c r="GK288" s="100"/>
      <c r="GL288" s="100"/>
      <c r="GM288" s="100"/>
      <c r="GN288" s="100"/>
      <c r="GO288" s="100"/>
      <c r="GP288" s="100"/>
      <c r="GQ288" s="100"/>
      <c r="GR288" s="100"/>
      <c r="GS288" s="100"/>
      <c r="GT288" s="100"/>
      <c r="GU288" s="100"/>
      <c r="GV288" s="100"/>
      <c r="GW288" s="100"/>
      <c r="GX288" s="100"/>
      <c r="GY288" s="100"/>
      <c r="GZ288" s="100"/>
      <c r="HA288" s="100"/>
      <c r="HB288" s="100"/>
      <c r="HC288" s="100"/>
      <c r="HD288" s="100"/>
      <c r="HE288" s="100"/>
      <c r="HF288" s="100"/>
      <c r="HG288" s="100"/>
      <c r="HH288" s="100"/>
      <c r="HI288" s="100"/>
      <c r="HJ288" s="100"/>
      <c r="HK288" s="100"/>
      <c r="HL288" s="100"/>
      <c r="HM288" s="100"/>
      <c r="HN288" s="100"/>
      <c r="HO288" s="100"/>
      <c r="HP288" s="100"/>
      <c r="HQ288" s="100"/>
      <c r="HR288" s="100"/>
      <c r="HS288" s="100"/>
      <c r="HT288" s="100"/>
      <c r="HU288" s="100"/>
      <c r="HV288" s="100"/>
      <c r="HW288" s="100"/>
      <c r="HX288" s="100"/>
      <c r="HY288" s="100"/>
      <c r="HZ288" s="100"/>
    </row>
  </sheetData>
  <mergeCells count="93">
    <mergeCell ref="CQ1:CW1"/>
    <mergeCell ref="HF1:HL1"/>
    <mergeCell ref="U2:AB2"/>
    <mergeCell ref="AC2:AI2"/>
    <mergeCell ref="AM2:AS2"/>
    <mergeCell ref="AT2:AZ2"/>
    <mergeCell ref="BA2:BG2"/>
    <mergeCell ref="BH2:BN2"/>
    <mergeCell ref="BO2:BU2"/>
    <mergeCell ref="BV2:CB2"/>
    <mergeCell ref="CC2:CI2"/>
    <mergeCell ref="CJ2:CP2"/>
    <mergeCell ref="CQ2:CW2"/>
    <mergeCell ref="CX2:DD2"/>
    <mergeCell ref="DE2:DK2"/>
    <mergeCell ref="DL2:DR2"/>
    <mergeCell ref="DS2:DY2"/>
    <mergeCell ref="DZ2:EF2"/>
    <mergeCell ref="EG2:EM2"/>
    <mergeCell ref="EN2:ET2"/>
    <mergeCell ref="EU2:FA2"/>
    <mergeCell ref="FB2:FH2"/>
    <mergeCell ref="FI2:FO2"/>
    <mergeCell ref="FP2:FV2"/>
    <mergeCell ref="FW2:GC2"/>
    <mergeCell ref="GD2:GJ2"/>
    <mergeCell ref="GK2:GQ2"/>
    <mergeCell ref="GR2:GX2"/>
    <mergeCell ref="GY2:HE2"/>
    <mergeCell ref="HF2:HL2"/>
    <mergeCell ref="HM2:HS2"/>
    <mergeCell ref="HT2:HZ2"/>
    <mergeCell ref="O3:Q3"/>
    <mergeCell ref="R3:T3"/>
    <mergeCell ref="V3:Y3"/>
    <mergeCell ref="AF3:AH3"/>
    <mergeCell ref="AJ3:AL3"/>
    <mergeCell ref="AM3:AN3"/>
    <mergeCell ref="AO3:AS3"/>
    <mergeCell ref="AT3:AU3"/>
    <mergeCell ref="AV3:AZ3"/>
    <mergeCell ref="BA3:BB3"/>
    <mergeCell ref="BC3:BG3"/>
    <mergeCell ref="BH3:BI3"/>
    <mergeCell ref="BJ3:BN3"/>
    <mergeCell ref="BO3:BP3"/>
    <mergeCell ref="BQ3:BU3"/>
    <mergeCell ref="BV3:BW3"/>
    <mergeCell ref="BX3:CB3"/>
    <mergeCell ref="CC3:CD3"/>
    <mergeCell ref="CE3:CI3"/>
    <mergeCell ref="CJ3:CK3"/>
    <mergeCell ref="CL3:CP3"/>
    <mergeCell ref="CQ3:CR3"/>
    <mergeCell ref="CS3:CW3"/>
    <mergeCell ref="CX3:CY3"/>
    <mergeCell ref="CZ3:DD3"/>
    <mergeCell ref="DE3:DF3"/>
    <mergeCell ref="DG3:DK3"/>
    <mergeCell ref="DL3:DM3"/>
    <mergeCell ref="DN3:DR3"/>
    <mergeCell ref="DS3:DT3"/>
    <mergeCell ref="DU3:DY3"/>
    <mergeCell ref="DZ3:EA3"/>
    <mergeCell ref="EB3:EF3"/>
    <mergeCell ref="EG3:EH3"/>
    <mergeCell ref="EI3:EM3"/>
    <mergeCell ref="EN3:EO3"/>
    <mergeCell ref="EP3:ET3"/>
    <mergeCell ref="EU3:EV3"/>
    <mergeCell ref="EW3:FA3"/>
    <mergeCell ref="FB3:FC3"/>
    <mergeCell ref="FD3:FH3"/>
    <mergeCell ref="FI3:FJ3"/>
    <mergeCell ref="FK3:FO3"/>
    <mergeCell ref="FP3:FQ3"/>
    <mergeCell ref="FR3:FV3"/>
    <mergeCell ref="FW3:FX3"/>
    <mergeCell ref="FY3:GC3"/>
    <mergeCell ref="GD3:GE3"/>
    <mergeCell ref="GF3:GJ3"/>
    <mergeCell ref="GK3:GL3"/>
    <mergeCell ref="GM3:GQ3"/>
    <mergeCell ref="GR3:GS3"/>
    <mergeCell ref="GT3:GX3"/>
    <mergeCell ref="GY3:GZ3"/>
    <mergeCell ref="HA3:HE3"/>
    <mergeCell ref="HF3:HG3"/>
    <mergeCell ref="HH3:HL3"/>
    <mergeCell ref="HM3:HN3"/>
    <mergeCell ref="HO3:HS3"/>
    <mergeCell ref="HT3:HU3"/>
    <mergeCell ref="HV3:HZ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V2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3" topLeftCell="I4" activePane="bottomRight" state="frozen"/>
      <selection pane="topLeft" activeCell="A1" activeCellId="0" sqref="A1"/>
      <selection pane="topRight" activeCell="I1" activeCellId="0" sqref="I1"/>
      <selection pane="bottomLeft" activeCell="A4" activeCellId="0" sqref="A4"/>
      <selection pane="bottomRight" activeCell="A1" activeCellId="0" sqref="A1"/>
    </sheetView>
  </sheetViews>
  <sheetFormatPr defaultColWidth="10.73046875" defaultRowHeight="12.8" zeroHeight="false" outlineLevelRow="0" outlineLevelCol="0"/>
  <cols>
    <col collapsed="false" customWidth="true" hidden="false" outlineLevel="0" max="2" min="1" style="0" width="13.86"/>
    <col collapsed="false" customWidth="true" hidden="false" outlineLevel="0" max="3" min="3" style="0" width="21.43"/>
    <col collapsed="false" customWidth="true" hidden="false" outlineLevel="0" max="4" min="4" style="0" width="23.95"/>
    <col collapsed="false" customWidth="true" hidden="false" outlineLevel="0" max="5" min="5" style="0" width="12.6"/>
    <col collapsed="false" customWidth="true" hidden="false" outlineLevel="0" max="6" min="6" style="0" width="15.12"/>
    <col collapsed="false" customWidth="true" hidden="false" outlineLevel="0" max="7" min="7" style="0" width="21.43"/>
    <col collapsed="false" customWidth="true" hidden="false" outlineLevel="0" max="8" min="8" style="0" width="27.73"/>
    <col collapsed="false" customWidth="true" hidden="false" outlineLevel="0" max="9" min="9" style="0" width="12.6"/>
    <col collapsed="false" customWidth="true" hidden="false" outlineLevel="0" max="10" min="10" style="0" width="21.43"/>
    <col collapsed="false" customWidth="true" hidden="false" outlineLevel="0" max="11" min="11" style="0" width="12.6"/>
    <col collapsed="false" customWidth="true" hidden="false" outlineLevel="0" max="12" min="12" style="0" width="15.12"/>
    <col collapsed="false" customWidth="true" hidden="false" outlineLevel="0" max="13" min="13" style="0" width="17.64"/>
    <col collapsed="false" customWidth="true" hidden="false" outlineLevel="0" max="15" min="14" style="0" width="15.12"/>
    <col collapsed="false" customWidth="true" hidden="false" outlineLevel="0" max="16" min="16" style="0" width="12.6"/>
    <col collapsed="false" customWidth="true" hidden="false" outlineLevel="0" max="18" min="17" style="0" width="15.12"/>
    <col collapsed="false" customWidth="true" hidden="false" outlineLevel="0" max="19" min="19" style="0" width="10.08"/>
    <col collapsed="false" customWidth="true" hidden="false" outlineLevel="0" max="20" min="20" style="0" width="17.64"/>
    <col collapsed="false" customWidth="true" hidden="false" outlineLevel="0" max="31" min="21" style="0" width="10.08"/>
    <col collapsed="false" customWidth="true" hidden="false" outlineLevel="0" max="32" min="32" style="0" width="15.12"/>
    <col collapsed="false" customWidth="true" hidden="false" outlineLevel="0" max="33" min="33" style="0" width="12.6"/>
    <col collapsed="false" customWidth="true" hidden="false" outlineLevel="0" max="35" min="34" style="0" width="10.08"/>
    <col collapsed="false" customWidth="true" hidden="false" outlineLevel="0" max="36" min="36" style="0" width="12.6"/>
    <col collapsed="false" customWidth="true" hidden="false" outlineLevel="0" max="38" min="37" style="0" width="15.12"/>
    <col collapsed="false" customWidth="true" hidden="false" outlineLevel="0" max="40" min="39" style="0" width="10.08"/>
    <col collapsed="false" customWidth="true" hidden="false" outlineLevel="0" max="41" min="41" style="0" width="15.12"/>
    <col collapsed="false" customWidth="true" hidden="false" outlineLevel="0" max="42" min="42" style="0" width="12.6"/>
    <col collapsed="false" customWidth="true" hidden="false" outlineLevel="0" max="43" min="43" style="0" width="15.12"/>
    <col collapsed="false" customWidth="true" hidden="false" outlineLevel="0" max="45" min="44" style="0" width="10.08"/>
    <col collapsed="false" customWidth="true" hidden="false" outlineLevel="0" max="46" min="46" style="0" width="22.69"/>
    <col collapsed="false" customWidth="true" hidden="false" outlineLevel="0" max="47" min="47" style="0" width="12.6"/>
    <col collapsed="false" customWidth="true" hidden="false" outlineLevel="0" max="48" min="48" style="0" width="10.08"/>
  </cols>
  <sheetData>
    <row r="1" customFormat="false" ht="12.8" hidden="false" customHeight="false" outlineLevel="0" collapsed="false">
      <c r="A1" s="120"/>
      <c r="B1" s="120"/>
      <c r="C1" s="120"/>
      <c r="D1" s="120"/>
      <c r="E1" s="120"/>
      <c r="F1" s="120"/>
      <c r="G1" s="164"/>
      <c r="H1" s="164"/>
      <c r="I1" s="4"/>
      <c r="J1" s="164"/>
      <c r="K1" s="4"/>
      <c r="L1" s="4"/>
      <c r="M1" s="10" t="s">
        <v>816</v>
      </c>
      <c r="N1" s="10"/>
      <c r="O1" s="10"/>
      <c r="P1" s="10"/>
      <c r="Q1" s="10"/>
      <c r="R1" s="10"/>
      <c r="S1" s="10"/>
      <c r="T1" s="10"/>
      <c r="U1" s="165" t="s">
        <v>817</v>
      </c>
      <c r="V1" s="165"/>
      <c r="W1" s="165"/>
      <c r="X1" s="165"/>
      <c r="Y1" s="165"/>
      <c r="Z1" s="165"/>
      <c r="AA1" s="165"/>
      <c r="AB1" s="165"/>
      <c r="AC1" s="165"/>
      <c r="AD1" s="165"/>
      <c r="AE1" s="10" t="s">
        <v>10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1" t="s">
        <v>818</v>
      </c>
      <c r="AS1" s="11"/>
      <c r="AT1" s="11"/>
      <c r="AU1" s="11"/>
      <c r="AV1" s="11"/>
    </row>
    <row r="2" customFormat="false" ht="12.8" hidden="false" customHeight="false" outlineLevel="0" collapsed="false">
      <c r="A2" s="120"/>
      <c r="B2" s="120"/>
      <c r="C2" s="120"/>
      <c r="D2" s="120"/>
      <c r="E2" s="120"/>
      <c r="F2" s="120"/>
      <c r="G2" s="164"/>
      <c r="H2" s="164"/>
      <c r="I2" s="4"/>
      <c r="J2" s="164"/>
      <c r="K2" s="4"/>
      <c r="L2" s="4"/>
      <c r="M2" s="10"/>
      <c r="N2" s="10" t="s">
        <v>538</v>
      </c>
      <c r="O2" s="10"/>
      <c r="P2" s="10"/>
      <c r="Q2" s="10"/>
      <c r="R2" s="52"/>
      <c r="S2" s="52"/>
      <c r="T2" s="10" t="s">
        <v>539</v>
      </c>
      <c r="U2" s="166" t="s">
        <v>819</v>
      </c>
      <c r="V2" s="166"/>
      <c r="W2" s="9" t="s">
        <v>820</v>
      </c>
      <c r="X2" s="9"/>
      <c r="Y2" s="10" t="s">
        <v>821</v>
      </c>
      <c r="Z2" s="10"/>
      <c r="AA2" s="10"/>
      <c r="AB2" s="10"/>
      <c r="AC2" s="10"/>
      <c r="AD2" s="167" t="s">
        <v>822</v>
      </c>
      <c r="AE2" s="52"/>
      <c r="AF2" s="52"/>
      <c r="AG2" s="10" t="s">
        <v>823</v>
      </c>
      <c r="AH2" s="10"/>
      <c r="AI2" s="10"/>
      <c r="AJ2" s="52"/>
      <c r="AK2" s="52"/>
      <c r="AL2" s="52"/>
      <c r="AM2" s="10" t="s">
        <v>353</v>
      </c>
      <c r="AN2" s="10"/>
      <c r="AO2" s="168" t="s">
        <v>5</v>
      </c>
      <c r="AP2" s="168"/>
      <c r="AQ2" s="168"/>
      <c r="AR2" s="169" t="s">
        <v>355</v>
      </c>
      <c r="AS2" s="169"/>
      <c r="AT2" s="13" t="s">
        <v>824</v>
      </c>
      <c r="AU2" s="13"/>
      <c r="AV2" s="13"/>
    </row>
    <row r="3" customFormat="false" ht="12.8" hidden="false" customHeight="false" outlineLevel="0" collapsed="false">
      <c r="A3" s="16" t="s">
        <v>12</v>
      </c>
      <c r="B3" s="16" t="s">
        <v>13</v>
      </c>
      <c r="C3" s="16" t="s">
        <v>14</v>
      </c>
      <c r="D3" s="16" t="s">
        <v>15</v>
      </c>
      <c r="E3" s="16" t="s">
        <v>16</v>
      </c>
      <c r="F3" s="16" t="s">
        <v>17</v>
      </c>
      <c r="G3" s="170" t="s">
        <v>825</v>
      </c>
      <c r="H3" s="170" t="s">
        <v>15</v>
      </c>
      <c r="I3" s="170" t="s">
        <v>49</v>
      </c>
      <c r="J3" s="170" t="s">
        <v>826</v>
      </c>
      <c r="K3" s="171" t="s">
        <v>540</v>
      </c>
      <c r="L3" s="21" t="s">
        <v>433</v>
      </c>
      <c r="M3" s="148" t="s">
        <v>544</v>
      </c>
      <c r="N3" s="148" t="s">
        <v>545</v>
      </c>
      <c r="O3" s="148" t="s">
        <v>546</v>
      </c>
      <c r="P3" s="148" t="s">
        <v>547</v>
      </c>
      <c r="Q3" s="148" t="s">
        <v>548</v>
      </c>
      <c r="R3" s="148" t="s">
        <v>549</v>
      </c>
      <c r="S3" s="148" t="s">
        <v>550</v>
      </c>
      <c r="T3" s="148" t="s">
        <v>551</v>
      </c>
      <c r="U3" s="172" t="s">
        <v>827</v>
      </c>
      <c r="V3" s="173" t="s">
        <v>50</v>
      </c>
      <c r="W3" s="173" t="s">
        <v>828</v>
      </c>
      <c r="X3" s="174" t="s">
        <v>829</v>
      </c>
      <c r="Y3" s="148" t="s">
        <v>830</v>
      </c>
      <c r="Z3" s="148" t="s">
        <v>831</v>
      </c>
      <c r="AA3" s="148" t="s">
        <v>23</v>
      </c>
      <c r="AB3" s="148" t="s">
        <v>832</v>
      </c>
      <c r="AC3" s="148" t="s">
        <v>833</v>
      </c>
      <c r="AD3" s="167" t="s">
        <v>834</v>
      </c>
      <c r="AE3" s="148" t="s">
        <v>12</v>
      </c>
      <c r="AF3" s="148" t="s">
        <v>835</v>
      </c>
      <c r="AG3" s="168" t="s">
        <v>20</v>
      </c>
      <c r="AH3" s="168" t="s">
        <v>21</v>
      </c>
      <c r="AI3" s="168" t="s">
        <v>22</v>
      </c>
      <c r="AJ3" s="148" t="s">
        <v>836</v>
      </c>
      <c r="AK3" s="148" t="s">
        <v>837</v>
      </c>
      <c r="AL3" s="148" t="s">
        <v>838</v>
      </c>
      <c r="AM3" s="148" t="s">
        <v>365</v>
      </c>
      <c r="AN3" s="148" t="s">
        <v>366</v>
      </c>
      <c r="AO3" s="168" t="s">
        <v>20</v>
      </c>
      <c r="AP3" s="168" t="s">
        <v>21</v>
      </c>
      <c r="AQ3" s="168" t="s">
        <v>22</v>
      </c>
      <c r="AR3" s="175" t="s">
        <v>12</v>
      </c>
      <c r="AS3" s="148" t="s">
        <v>839</v>
      </c>
      <c r="AT3" s="148" t="s">
        <v>840</v>
      </c>
      <c r="AU3" s="148" t="s">
        <v>841</v>
      </c>
      <c r="AV3" s="148" t="s">
        <v>370</v>
      </c>
    </row>
    <row r="4" customFormat="false" ht="12.8" hidden="true" customHeight="false" outlineLevel="0" collapsed="false">
      <c r="A4" s="17" t="s">
        <v>52</v>
      </c>
      <c r="B4" s="17" t="s">
        <v>93</v>
      </c>
      <c r="C4" s="140" t="s">
        <v>195</v>
      </c>
      <c r="D4" s="16" t="s">
        <v>196</v>
      </c>
      <c r="E4" s="140" t="s">
        <v>89</v>
      </c>
      <c r="F4" s="176" t="s">
        <v>197</v>
      </c>
      <c r="G4" s="177" t="s">
        <v>842</v>
      </c>
      <c r="H4" s="147" t="s">
        <v>843</v>
      </c>
      <c r="I4" s="148" t="s">
        <v>92</v>
      </c>
      <c r="J4" s="154" t="s">
        <v>648</v>
      </c>
      <c r="K4" s="150"/>
      <c r="L4" s="173"/>
      <c r="M4" s="173"/>
      <c r="N4" s="173"/>
      <c r="O4" s="173"/>
      <c r="P4" s="173"/>
      <c r="Q4" s="17" t="s">
        <v>92</v>
      </c>
      <c r="R4" s="173"/>
      <c r="S4" s="173"/>
      <c r="T4" s="172"/>
      <c r="U4" s="16" t="n">
        <v>1</v>
      </c>
      <c r="V4" s="16" t="n">
        <v>2</v>
      </c>
      <c r="W4" s="16" t="n">
        <v>3</v>
      </c>
      <c r="X4" s="16" t="n">
        <v>4</v>
      </c>
      <c r="Y4" s="178"/>
      <c r="Z4" s="178"/>
      <c r="AA4" s="178"/>
      <c r="AB4" s="178"/>
      <c r="AC4" s="178"/>
      <c r="AD4" s="16"/>
      <c r="AE4" s="172" t="s">
        <v>44</v>
      </c>
      <c r="AF4" s="173" t="s">
        <v>844</v>
      </c>
      <c r="AG4" s="179" t="n">
        <v>15</v>
      </c>
      <c r="AH4" s="179" t="n">
        <f aca="false">AP4/60*(AM4+AN4)/AJ4/AK4/AL4</f>
        <v>0</v>
      </c>
      <c r="AI4" s="179" t="n">
        <f aca="false">AQ4/60*(AM4+AN4)/AJ4/AK4/AL4</f>
        <v>0</v>
      </c>
      <c r="AJ4" s="180" t="n">
        <v>2</v>
      </c>
      <c r="AK4" s="180" t="n">
        <v>1</v>
      </c>
      <c r="AL4" s="180" t="n">
        <v>1</v>
      </c>
      <c r="AM4" s="180" t="n">
        <v>0</v>
      </c>
      <c r="AN4" s="180" t="n">
        <v>4</v>
      </c>
      <c r="AO4" s="179" t="n">
        <f aca="false">AG4*AJ4*AK4*AL4/(AM4+AN4)*60</f>
        <v>0</v>
      </c>
      <c r="AP4" s="179" t="n">
        <v>207</v>
      </c>
      <c r="AQ4" s="179" t="n">
        <v>18</v>
      </c>
      <c r="AR4" s="148" t="s">
        <v>20</v>
      </c>
      <c r="AS4" s="51" t="n">
        <v>0.06</v>
      </c>
      <c r="AT4" s="148" t="s">
        <v>845</v>
      </c>
      <c r="AU4" s="150" t="s">
        <v>846</v>
      </c>
      <c r="AV4" s="16" t="n">
        <v>1</v>
      </c>
    </row>
    <row r="5" customFormat="false" ht="12.8" hidden="true" customHeight="false" outlineLevel="0" collapsed="false">
      <c r="A5" s="17" t="s">
        <v>53</v>
      </c>
      <c r="B5" s="17" t="s">
        <v>93</v>
      </c>
      <c r="C5" s="140" t="s">
        <v>256</v>
      </c>
      <c r="D5" s="16" t="s">
        <v>257</v>
      </c>
      <c r="E5" s="140" t="s">
        <v>89</v>
      </c>
      <c r="F5" s="176" t="s">
        <v>197</v>
      </c>
      <c r="G5" s="177" t="s">
        <v>847</v>
      </c>
      <c r="H5" s="147" t="s">
        <v>843</v>
      </c>
      <c r="I5" s="148" t="s">
        <v>92</v>
      </c>
      <c r="J5" s="154" t="s">
        <v>648</v>
      </c>
      <c r="K5" s="150"/>
      <c r="L5" s="150"/>
      <c r="M5" s="150"/>
      <c r="N5" s="150"/>
      <c r="O5" s="150"/>
      <c r="P5" s="150"/>
      <c r="Q5" s="17" t="s">
        <v>92</v>
      </c>
      <c r="R5" s="150"/>
      <c r="S5" s="150"/>
      <c r="T5" s="175"/>
      <c r="U5" s="16" t="n">
        <v>1</v>
      </c>
      <c r="V5" s="16" t="n">
        <v>2</v>
      </c>
      <c r="W5" s="16" t="n">
        <v>3</v>
      </c>
      <c r="X5" s="16" t="n">
        <v>4</v>
      </c>
      <c r="Y5" s="16"/>
      <c r="Z5" s="16"/>
      <c r="AA5" s="16"/>
      <c r="AB5" s="16"/>
      <c r="AC5" s="16"/>
      <c r="AD5" s="16"/>
      <c r="AE5" s="175" t="s">
        <v>44</v>
      </c>
      <c r="AF5" s="148" t="s">
        <v>844</v>
      </c>
      <c r="AG5" s="181" t="n">
        <v>50</v>
      </c>
      <c r="AH5" s="179" t="n">
        <f aca="false">AP5/60*(AM5+AN5)/AJ5/AK5/AL5</f>
        <v>0</v>
      </c>
      <c r="AI5" s="179" t="n">
        <f aca="false">AQ5/60*(AM5+AN5)/AJ5/AK5/AL5</f>
        <v>0</v>
      </c>
      <c r="AJ5" s="141" t="n">
        <v>2</v>
      </c>
      <c r="AK5" s="141" t="n">
        <v>1</v>
      </c>
      <c r="AL5" s="141" t="n">
        <v>1</v>
      </c>
      <c r="AM5" s="141" t="n">
        <v>0</v>
      </c>
      <c r="AN5" s="141" t="n">
        <v>4</v>
      </c>
      <c r="AO5" s="179" t="n">
        <f aca="false">AG5*AJ5*AK5*AL5/(AM5+AN5)*60</f>
        <v>0</v>
      </c>
      <c r="AP5" s="181" t="n">
        <v>300</v>
      </c>
      <c r="AQ5" s="181" t="n">
        <v>45</v>
      </c>
      <c r="AR5" s="148" t="s">
        <v>20</v>
      </c>
      <c r="AS5" s="51" t="n">
        <v>0.04</v>
      </c>
      <c r="AT5" s="148" t="s">
        <v>845</v>
      </c>
      <c r="AU5" s="150" t="s">
        <v>846</v>
      </c>
      <c r="AV5" s="16" t="n">
        <v>3</v>
      </c>
    </row>
    <row r="6" customFormat="false" ht="12.8" hidden="false" customHeight="false" outlineLevel="0" collapsed="false">
      <c r="A6" s="17" t="s">
        <v>258</v>
      </c>
      <c r="B6" s="17" t="s">
        <v>93</v>
      </c>
      <c r="C6" s="140" t="s">
        <v>306</v>
      </c>
      <c r="D6" s="16" t="s">
        <v>307</v>
      </c>
      <c r="E6" s="140" t="s">
        <v>89</v>
      </c>
      <c r="F6" s="176" t="s">
        <v>197</v>
      </c>
      <c r="G6" s="177" t="s">
        <v>848</v>
      </c>
      <c r="H6" s="147" t="s">
        <v>843</v>
      </c>
      <c r="I6" s="148" t="s">
        <v>92</v>
      </c>
      <c r="J6" s="154" t="s">
        <v>648</v>
      </c>
      <c r="K6" s="150"/>
      <c r="L6" s="150"/>
      <c r="M6" s="150"/>
      <c r="N6" s="150"/>
      <c r="O6" s="150"/>
      <c r="P6" s="150"/>
      <c r="Q6" s="150"/>
      <c r="R6" s="150"/>
      <c r="S6" s="150"/>
      <c r="T6" s="175"/>
      <c r="U6" s="16"/>
      <c r="V6" s="16"/>
      <c r="W6" s="16" t="n">
        <v>1</v>
      </c>
      <c r="X6" s="16" t="n">
        <v>2</v>
      </c>
      <c r="Y6" s="16"/>
      <c r="Z6" s="16"/>
      <c r="AA6" s="16"/>
      <c r="AB6" s="16"/>
      <c r="AC6" s="16"/>
      <c r="AD6" s="16"/>
      <c r="AE6" s="175" t="s">
        <v>44</v>
      </c>
      <c r="AF6" s="148" t="s">
        <v>844</v>
      </c>
      <c r="AG6" s="181" t="n">
        <v>90</v>
      </c>
      <c r="AH6" s="179" t="n">
        <f aca="false">AP6/60*(AM6+AN6)/AJ6/AK6/AL6</f>
        <v>0</v>
      </c>
      <c r="AI6" s="179" t="n">
        <f aca="false">AQ6/60*(AM6+AN6)/AJ6/AK6/AL6</f>
        <v>0</v>
      </c>
      <c r="AJ6" s="141" t="n">
        <v>2</v>
      </c>
      <c r="AK6" s="141" t="n">
        <v>1</v>
      </c>
      <c r="AL6" s="141" t="n">
        <v>1</v>
      </c>
      <c r="AM6" s="141" t="n">
        <v>0</v>
      </c>
      <c r="AN6" s="141" t="n">
        <v>6</v>
      </c>
      <c r="AO6" s="179" t="n">
        <f aca="false">AG6*AJ6*AK6*AL6/(AM6+AN6)*60</f>
        <v>0</v>
      </c>
      <c r="AP6" s="181" t="n">
        <v>0</v>
      </c>
      <c r="AQ6" s="181" t="n">
        <v>53</v>
      </c>
      <c r="AR6" s="148" t="s">
        <v>20</v>
      </c>
      <c r="AS6" s="51" t="n">
        <v>0.04</v>
      </c>
      <c r="AT6" s="148" t="s">
        <v>845</v>
      </c>
      <c r="AU6" s="150" t="s">
        <v>846</v>
      </c>
      <c r="AV6" s="16" t="n">
        <v>1</v>
      </c>
    </row>
    <row r="7" customFormat="false" ht="12.8" hidden="true" customHeight="false" outlineLevel="0" collapsed="false">
      <c r="A7" s="17" t="s">
        <v>328</v>
      </c>
      <c r="B7" s="17" t="s">
        <v>158</v>
      </c>
      <c r="C7" s="17" t="s">
        <v>333</v>
      </c>
      <c r="D7" s="17" t="s">
        <v>334</v>
      </c>
      <c r="E7" s="130" t="s">
        <v>89</v>
      </c>
      <c r="F7" s="176" t="s">
        <v>116</v>
      </c>
      <c r="G7" s="157" t="s">
        <v>849</v>
      </c>
      <c r="H7" s="154" t="s">
        <v>850</v>
      </c>
      <c r="I7" s="17" t="s">
        <v>92</v>
      </c>
      <c r="J7" s="154" t="s">
        <v>803</v>
      </c>
      <c r="K7" s="17" t="s">
        <v>92</v>
      </c>
      <c r="L7" s="130"/>
      <c r="M7" s="17" t="s">
        <v>92</v>
      </c>
      <c r="N7" s="16"/>
      <c r="O7" s="16"/>
      <c r="P7" s="16"/>
      <c r="Q7" s="16"/>
      <c r="R7" s="16"/>
      <c r="S7" s="16"/>
      <c r="T7" s="182"/>
      <c r="U7" s="16"/>
      <c r="V7" s="16"/>
      <c r="W7" s="16" t="n">
        <v>1</v>
      </c>
      <c r="X7" s="16" t="n">
        <v>2</v>
      </c>
      <c r="Y7" s="16"/>
      <c r="Z7" s="16"/>
      <c r="AA7" s="16"/>
      <c r="AB7" s="16"/>
      <c r="AC7" s="16"/>
      <c r="AD7" s="16"/>
      <c r="AE7" s="127" t="s">
        <v>45</v>
      </c>
      <c r="AF7" s="17" t="s">
        <v>844</v>
      </c>
      <c r="AG7" s="181" t="n">
        <v>75</v>
      </c>
      <c r="AH7" s="179" t="n">
        <f aca="false">AP7/60*(AM7+AN7)/AJ7/AK7/AL7</f>
        <v>0</v>
      </c>
      <c r="AI7" s="179" t="n">
        <f aca="false">AQ7/60*(AM7+AN7)/AJ7/AK7/AL7</f>
        <v>0</v>
      </c>
      <c r="AJ7" s="141" t="n">
        <v>1</v>
      </c>
      <c r="AK7" s="141" t="n">
        <v>1</v>
      </c>
      <c r="AL7" s="141" t="n">
        <v>4</v>
      </c>
      <c r="AM7" s="141" t="n">
        <v>20</v>
      </c>
      <c r="AN7" s="141" t="n">
        <v>15</v>
      </c>
      <c r="AO7" s="179" t="n">
        <f aca="false">AG7*AJ7*AK7*AL7/(AM7+AN7)*60</f>
        <v>0</v>
      </c>
      <c r="AP7" s="181" t="n">
        <v>0</v>
      </c>
      <c r="AQ7" s="181" t="n">
        <v>82</v>
      </c>
      <c r="AR7" s="16"/>
      <c r="AS7" s="51"/>
      <c r="AT7" s="16"/>
      <c r="AU7" s="16"/>
      <c r="AV7" s="16"/>
    </row>
    <row r="8" customFormat="false" ht="12.8" hidden="true" customHeight="false" outlineLevel="0" collapsed="false">
      <c r="A8" s="17" t="s">
        <v>328</v>
      </c>
      <c r="B8" s="17" t="s">
        <v>158</v>
      </c>
      <c r="C8" s="17" t="s">
        <v>333</v>
      </c>
      <c r="D8" s="17" t="s">
        <v>334</v>
      </c>
      <c r="E8" s="130" t="s">
        <v>89</v>
      </c>
      <c r="F8" s="176" t="s">
        <v>116</v>
      </c>
      <c r="G8" s="154" t="s">
        <v>851</v>
      </c>
      <c r="H8" s="154" t="s">
        <v>852</v>
      </c>
      <c r="I8" s="130"/>
      <c r="J8" s="154" t="s">
        <v>803</v>
      </c>
      <c r="K8" s="17" t="s">
        <v>92</v>
      </c>
      <c r="L8" s="130"/>
      <c r="M8" s="130"/>
      <c r="N8" s="130"/>
      <c r="O8" s="130"/>
      <c r="P8" s="130"/>
      <c r="Q8" s="17" t="s">
        <v>92</v>
      </c>
      <c r="R8" s="130"/>
      <c r="S8" s="130"/>
      <c r="T8" s="127"/>
      <c r="U8" s="16"/>
      <c r="V8" s="16" t="n">
        <v>1</v>
      </c>
      <c r="W8" s="16" t="n">
        <v>2</v>
      </c>
      <c r="X8" s="16" t="n">
        <v>3</v>
      </c>
      <c r="Y8" s="16"/>
      <c r="Z8" s="16"/>
      <c r="AA8" s="16"/>
      <c r="AB8" s="16"/>
      <c r="AC8" s="16"/>
      <c r="AD8" s="16"/>
      <c r="AE8" s="175" t="s">
        <v>44</v>
      </c>
      <c r="AF8" s="17" t="s">
        <v>844</v>
      </c>
      <c r="AG8" s="181" t="n">
        <v>15</v>
      </c>
      <c r="AH8" s="179" t="n">
        <f aca="false">AP8/60*(AM8+AN8)/AJ8/AK8/AL8</f>
        <v>0</v>
      </c>
      <c r="AI8" s="179" t="n">
        <f aca="false">AQ8/60*(AM8+AN8)/AJ8/AK8/AL8</f>
        <v>0</v>
      </c>
      <c r="AJ8" s="141" t="n">
        <v>2</v>
      </c>
      <c r="AK8" s="37" t="n">
        <v>3</v>
      </c>
      <c r="AL8" s="141" t="n">
        <v>4</v>
      </c>
      <c r="AM8" s="141" t="n">
        <v>16</v>
      </c>
      <c r="AN8" s="141" t="n">
        <v>10</v>
      </c>
      <c r="AO8" s="183" t="n">
        <f aca="false">AG8*AJ8*AK8*AL8/(AM8+AN8)*60</f>
        <v>0</v>
      </c>
      <c r="AP8" s="181" t="n">
        <v>664</v>
      </c>
      <c r="AQ8" s="181" t="n">
        <v>0</v>
      </c>
      <c r="AR8" s="16"/>
      <c r="AS8" s="51"/>
      <c r="AT8" s="16"/>
      <c r="AU8" s="16"/>
      <c r="AV8" s="16"/>
    </row>
    <row r="9" customFormat="false" ht="12.8" hidden="true" customHeight="false" outlineLevel="0" collapsed="false">
      <c r="A9" s="17" t="s">
        <v>337</v>
      </c>
      <c r="B9" s="17" t="s">
        <v>158</v>
      </c>
      <c r="C9" s="17" t="s">
        <v>340</v>
      </c>
      <c r="D9" s="17" t="s">
        <v>341</v>
      </c>
      <c r="E9" s="130" t="s">
        <v>89</v>
      </c>
      <c r="F9" s="176" t="s">
        <v>145</v>
      </c>
      <c r="G9" s="154" t="s">
        <v>853</v>
      </c>
      <c r="H9" s="154" t="s">
        <v>854</v>
      </c>
      <c r="I9" s="17" t="s">
        <v>92</v>
      </c>
      <c r="J9" s="154" t="s">
        <v>811</v>
      </c>
      <c r="K9" s="148" t="s">
        <v>92</v>
      </c>
      <c r="L9" s="150"/>
      <c r="M9" s="17" t="s">
        <v>92</v>
      </c>
      <c r="N9" s="16"/>
      <c r="O9" s="16"/>
      <c r="P9" s="16"/>
      <c r="Q9" s="16"/>
      <c r="R9" s="16"/>
      <c r="S9" s="16"/>
      <c r="T9" s="182"/>
      <c r="U9" s="16"/>
      <c r="V9" s="16"/>
      <c r="W9" s="16"/>
      <c r="X9" s="16"/>
      <c r="Y9" s="16"/>
      <c r="Z9" s="16"/>
      <c r="AA9" s="16"/>
      <c r="AB9" s="16" t="n">
        <v>1</v>
      </c>
      <c r="AC9" s="16" t="n">
        <v>2</v>
      </c>
      <c r="AD9" s="16"/>
      <c r="AE9" s="127" t="s">
        <v>46</v>
      </c>
      <c r="AF9" s="17" t="s">
        <v>844</v>
      </c>
      <c r="AG9" s="181" t="n">
        <v>400</v>
      </c>
      <c r="AH9" s="179" t="n">
        <f aca="false">AP9/60*(AM9+AN9)/AJ9/AK9/AL9</f>
        <v>0</v>
      </c>
      <c r="AI9" s="179" t="n">
        <f aca="false">AQ9/60*(AM9+AN9)/AJ9/AK9/AL9</f>
        <v>0</v>
      </c>
      <c r="AJ9" s="141" t="n">
        <v>1</v>
      </c>
      <c r="AK9" s="141" t="n">
        <v>1</v>
      </c>
      <c r="AL9" s="141" t="n">
        <v>2</v>
      </c>
      <c r="AM9" s="141" t="n">
        <v>10</v>
      </c>
      <c r="AN9" s="141" t="n">
        <v>20</v>
      </c>
      <c r="AO9" s="179" t="n">
        <f aca="false">AG9*AJ9*AK9*AL9/(AM9+AN9)*60</f>
        <v>0</v>
      </c>
      <c r="AP9" s="181" t="n">
        <v>0</v>
      </c>
      <c r="AQ9" s="181" t="n">
        <v>496</v>
      </c>
      <c r="AR9" s="16"/>
      <c r="AS9" s="51"/>
      <c r="AT9" s="16"/>
      <c r="AU9" s="16"/>
      <c r="AV9" s="16"/>
    </row>
    <row r="10" customFormat="false" ht="12.8" hidden="true" customHeight="false" outlineLevel="0" collapsed="false">
      <c r="A10" s="17" t="s">
        <v>199</v>
      </c>
      <c r="B10" s="17" t="s">
        <v>158</v>
      </c>
      <c r="C10" s="17" t="s">
        <v>206</v>
      </c>
      <c r="D10" s="17" t="s">
        <v>207</v>
      </c>
      <c r="E10" s="130" t="s">
        <v>89</v>
      </c>
      <c r="F10" s="176" t="s">
        <v>130</v>
      </c>
      <c r="G10" s="154" t="s">
        <v>851</v>
      </c>
      <c r="H10" s="154" t="s">
        <v>852</v>
      </c>
      <c r="I10" s="17" t="s">
        <v>92</v>
      </c>
      <c r="J10" s="154" t="s">
        <v>690</v>
      </c>
      <c r="K10" s="148" t="s">
        <v>92</v>
      </c>
      <c r="L10" s="150"/>
      <c r="M10" s="17" t="s">
        <v>92</v>
      </c>
      <c r="N10" s="130"/>
      <c r="O10" s="17" t="s">
        <v>92</v>
      </c>
      <c r="P10" s="130"/>
      <c r="Q10" s="130"/>
      <c r="R10" s="130"/>
      <c r="S10" s="130"/>
      <c r="T10" s="127"/>
      <c r="U10" s="16"/>
      <c r="V10" s="16" t="n">
        <v>1</v>
      </c>
      <c r="W10" s="16" t="n">
        <v>2</v>
      </c>
      <c r="X10" s="16" t="n">
        <v>3</v>
      </c>
      <c r="Y10" s="16"/>
      <c r="Z10" s="16"/>
      <c r="AA10" s="16"/>
      <c r="AB10" s="16"/>
      <c r="AC10" s="16"/>
      <c r="AD10" s="16"/>
      <c r="AE10" s="175" t="s">
        <v>44</v>
      </c>
      <c r="AF10" s="17" t="s">
        <v>844</v>
      </c>
      <c r="AG10" s="181" t="n">
        <v>15</v>
      </c>
      <c r="AH10" s="179" t="n">
        <f aca="false">AP10/60*(AM10+AN10)/AJ10/AK10/AL10</f>
        <v>0</v>
      </c>
      <c r="AI10" s="179" t="n">
        <f aca="false">AQ10/60*(AM10+AN10)/AJ10/AK10/AL10</f>
        <v>0</v>
      </c>
      <c r="AJ10" s="141" t="n">
        <v>2</v>
      </c>
      <c r="AK10" s="37" t="n">
        <v>3</v>
      </c>
      <c r="AL10" s="141" t="n">
        <v>4</v>
      </c>
      <c r="AM10" s="141" t="n">
        <v>16</v>
      </c>
      <c r="AN10" s="141" t="n">
        <v>10</v>
      </c>
      <c r="AO10" s="183" t="n">
        <f aca="false">AG10*AJ10*AK10*AL10/(AM10+AN10)*60</f>
        <v>0</v>
      </c>
      <c r="AP10" s="181" t="n">
        <v>664</v>
      </c>
      <c r="AQ10" s="181" t="n">
        <v>0</v>
      </c>
      <c r="AR10" s="16"/>
      <c r="AS10" s="51"/>
      <c r="AT10" s="16"/>
      <c r="AU10" s="16"/>
      <c r="AV10" s="16"/>
    </row>
    <row r="11" customFormat="false" ht="12.8" hidden="true" customHeight="false" outlineLevel="0" collapsed="false">
      <c r="A11" s="17" t="s">
        <v>328</v>
      </c>
      <c r="B11" s="17" t="s">
        <v>158</v>
      </c>
      <c r="C11" s="130" t="s">
        <v>332</v>
      </c>
      <c r="D11" s="17" t="s">
        <v>330</v>
      </c>
      <c r="E11" s="130" t="s">
        <v>89</v>
      </c>
      <c r="F11" s="176" t="s">
        <v>101</v>
      </c>
      <c r="G11" s="157" t="s">
        <v>855</v>
      </c>
      <c r="H11" s="154" t="s">
        <v>856</v>
      </c>
      <c r="I11" s="17" t="s">
        <v>92</v>
      </c>
      <c r="J11" s="154" t="s">
        <v>802</v>
      </c>
      <c r="K11" s="148" t="s">
        <v>92</v>
      </c>
      <c r="L11" s="150"/>
      <c r="M11" s="17" t="s">
        <v>92</v>
      </c>
      <c r="N11" s="16"/>
      <c r="O11" s="16"/>
      <c r="P11" s="16"/>
      <c r="Q11" s="16"/>
      <c r="R11" s="16"/>
      <c r="S11" s="16"/>
      <c r="T11" s="182"/>
      <c r="U11" s="16"/>
      <c r="V11" s="16"/>
      <c r="W11" s="16" t="n">
        <v>1</v>
      </c>
      <c r="X11" s="16" t="n">
        <v>2</v>
      </c>
      <c r="Y11" s="16"/>
      <c r="Z11" s="16"/>
      <c r="AA11" s="16"/>
      <c r="AB11" s="16"/>
      <c r="AC11" s="16" t="n">
        <v>3</v>
      </c>
      <c r="AD11" s="16"/>
      <c r="AE11" s="127" t="s">
        <v>44</v>
      </c>
      <c r="AF11" s="17" t="s">
        <v>844</v>
      </c>
      <c r="AG11" s="181" t="n">
        <v>35</v>
      </c>
      <c r="AH11" s="179" t="n">
        <f aca="false">AP11/60*(AM11+AN11)/AJ11/AK11/AL11</f>
        <v>0</v>
      </c>
      <c r="AI11" s="179" t="n">
        <f aca="false">AQ11/60*(AM11+AN11)/AJ11/AK11/AL11</f>
        <v>0</v>
      </c>
      <c r="AJ11" s="141" t="n">
        <v>1</v>
      </c>
      <c r="AK11" s="141" t="n">
        <v>2</v>
      </c>
      <c r="AL11" s="141" t="n">
        <v>5</v>
      </c>
      <c r="AM11" s="141" t="n">
        <v>20</v>
      </c>
      <c r="AN11" s="141" t="n">
        <v>15</v>
      </c>
      <c r="AO11" s="179" t="n">
        <f aca="false">AG11*AJ11*AK11*AL11/(AM11+AN11)*60</f>
        <v>0</v>
      </c>
      <c r="AP11" s="181" t="n">
        <v>0</v>
      </c>
      <c r="AQ11" s="181" t="n">
        <v>90</v>
      </c>
      <c r="AR11" s="16"/>
      <c r="AS11" s="51"/>
      <c r="AT11" s="16"/>
      <c r="AU11" s="16"/>
      <c r="AV11" s="16"/>
    </row>
    <row r="12" customFormat="false" ht="12.8" hidden="true" customHeight="false" outlineLevel="0" collapsed="false">
      <c r="A12" s="17" t="s">
        <v>328</v>
      </c>
      <c r="B12" s="17" t="s">
        <v>158</v>
      </c>
      <c r="C12" s="130" t="s">
        <v>332</v>
      </c>
      <c r="D12" s="17" t="s">
        <v>330</v>
      </c>
      <c r="E12" s="130" t="s">
        <v>89</v>
      </c>
      <c r="F12" s="176" t="s">
        <v>101</v>
      </c>
      <c r="G12" s="157" t="s">
        <v>857</v>
      </c>
      <c r="H12" s="154" t="s">
        <v>858</v>
      </c>
      <c r="I12" s="17" t="s">
        <v>92</v>
      </c>
      <c r="J12" s="154" t="s">
        <v>768</v>
      </c>
      <c r="K12" s="150"/>
      <c r="L12" s="150"/>
      <c r="M12" s="130"/>
      <c r="N12" s="16"/>
      <c r="O12" s="16"/>
      <c r="P12" s="16"/>
      <c r="Q12" s="17" t="s">
        <v>92</v>
      </c>
      <c r="R12" s="16"/>
      <c r="S12" s="16"/>
      <c r="T12" s="182"/>
      <c r="U12" s="16" t="n">
        <v>1</v>
      </c>
      <c r="V12" s="16" t="n">
        <v>2</v>
      </c>
      <c r="W12" s="16"/>
      <c r="X12" s="16"/>
      <c r="Y12" s="16"/>
      <c r="Z12" s="16"/>
      <c r="AA12" s="16"/>
      <c r="AB12" s="16"/>
      <c r="AC12" s="16"/>
      <c r="AD12" s="16"/>
      <c r="AE12" s="127" t="s">
        <v>45</v>
      </c>
      <c r="AF12" s="17" t="s">
        <v>844</v>
      </c>
      <c r="AG12" s="184" t="n">
        <v>0</v>
      </c>
      <c r="AH12" s="179" t="n">
        <f aca="false">AP12/60*(AM12+AN12)/AJ12/AK12/AL12</f>
        <v>0</v>
      </c>
      <c r="AI12" s="179" t="n">
        <f aca="false">AQ12/60*(AM12+AN12)/AJ12/AK12/AL12</f>
        <v>0</v>
      </c>
      <c r="AJ12" s="141" t="n">
        <v>1</v>
      </c>
      <c r="AK12" s="141" t="n">
        <v>1</v>
      </c>
      <c r="AL12" s="141" t="n">
        <v>1</v>
      </c>
      <c r="AM12" s="141" t="n">
        <v>0</v>
      </c>
      <c r="AN12" s="141" t="n">
        <v>6</v>
      </c>
      <c r="AO12" s="179" t="n">
        <f aca="false">AG12*AJ12*AK12*AL12/(AM12+AN12)*60</f>
        <v>0</v>
      </c>
      <c r="AP12" s="181" t="n">
        <v>600</v>
      </c>
      <c r="AQ12" s="181" t="n">
        <v>0</v>
      </c>
      <c r="AR12" s="16"/>
      <c r="AS12" s="51"/>
      <c r="AT12" s="16"/>
      <c r="AU12" s="16"/>
      <c r="AV12" s="16"/>
    </row>
    <row r="13" customFormat="false" ht="12.8" hidden="true" customHeight="false" outlineLevel="0" collapsed="false">
      <c r="A13" s="17" t="s">
        <v>337</v>
      </c>
      <c r="B13" s="17" t="s">
        <v>98</v>
      </c>
      <c r="C13" s="17" t="s">
        <v>387</v>
      </c>
      <c r="D13" s="17" t="s">
        <v>339</v>
      </c>
      <c r="E13" s="130" t="s">
        <v>89</v>
      </c>
      <c r="F13" s="176" t="s">
        <v>116</v>
      </c>
      <c r="G13" s="157" t="s">
        <v>859</v>
      </c>
      <c r="H13" s="154" t="s">
        <v>860</v>
      </c>
      <c r="I13" s="17" t="s">
        <v>92</v>
      </c>
      <c r="J13" s="154" t="s">
        <v>807</v>
      </c>
      <c r="K13" s="148" t="s">
        <v>92</v>
      </c>
      <c r="L13" s="150"/>
      <c r="M13" s="16"/>
      <c r="N13" s="16"/>
      <c r="O13" s="16"/>
      <c r="P13" s="16"/>
      <c r="Q13" s="16"/>
      <c r="R13" s="16"/>
      <c r="S13" s="16"/>
      <c r="T13" s="182"/>
      <c r="U13" s="16"/>
      <c r="V13" s="16"/>
      <c r="W13" s="16"/>
      <c r="X13" s="16"/>
      <c r="Y13" s="16"/>
      <c r="Z13" s="16" t="n">
        <v>1</v>
      </c>
      <c r="AA13" s="16" t="n">
        <v>2</v>
      </c>
      <c r="AB13" s="16" t="n">
        <v>3</v>
      </c>
      <c r="AC13" s="16"/>
      <c r="AD13" s="16"/>
      <c r="AE13" s="127" t="s">
        <v>808</v>
      </c>
      <c r="AF13" s="17" t="s">
        <v>54</v>
      </c>
      <c r="AG13" s="181" t="n">
        <v>650</v>
      </c>
      <c r="AH13" s="179" t="n">
        <f aca="false">AP13/60*(AM13+AN13)/AJ13/AK13/AL13</f>
        <v>0</v>
      </c>
      <c r="AI13" s="179" t="n">
        <f aca="false">AQ13/60*(AM13+AN13)/AJ13/AK13/AL13</f>
        <v>0</v>
      </c>
      <c r="AJ13" s="141" t="n">
        <v>2</v>
      </c>
      <c r="AK13" s="141" t="n">
        <v>1</v>
      </c>
      <c r="AL13" s="141" t="n">
        <v>1</v>
      </c>
      <c r="AM13" s="141" t="n">
        <v>10</v>
      </c>
      <c r="AN13" s="141" t="n">
        <v>24</v>
      </c>
      <c r="AO13" s="179" t="n">
        <f aca="false">AG13*AJ13*AK13*AL13/(AM13+AN13)*60</f>
        <v>0</v>
      </c>
      <c r="AP13" s="181" t="n">
        <v>0</v>
      </c>
      <c r="AQ13" s="181" t="n">
        <v>848</v>
      </c>
      <c r="AR13" s="16"/>
      <c r="AS13" s="51"/>
      <c r="AT13" s="16"/>
      <c r="AU13" s="16"/>
      <c r="AV13" s="16"/>
    </row>
    <row r="14" customFormat="false" ht="12.8" hidden="true" customHeight="false" outlineLevel="0" collapsed="false">
      <c r="A14" s="17" t="s">
        <v>328</v>
      </c>
      <c r="B14" s="17" t="s">
        <v>98</v>
      </c>
      <c r="C14" s="17" t="s">
        <v>329</v>
      </c>
      <c r="D14" s="17" t="s">
        <v>330</v>
      </c>
      <c r="E14" s="130" t="s">
        <v>89</v>
      </c>
      <c r="F14" s="176" t="s">
        <v>116</v>
      </c>
      <c r="G14" s="154" t="s">
        <v>861</v>
      </c>
      <c r="H14" s="154" t="s">
        <v>862</v>
      </c>
      <c r="I14" s="17" t="s">
        <v>92</v>
      </c>
      <c r="J14" s="154" t="s">
        <v>797</v>
      </c>
      <c r="K14" s="148" t="s">
        <v>92</v>
      </c>
      <c r="L14" s="150"/>
      <c r="M14" s="17" t="s">
        <v>92</v>
      </c>
      <c r="N14" s="16"/>
      <c r="O14" s="16"/>
      <c r="P14" s="16"/>
      <c r="Q14" s="16"/>
      <c r="R14" s="16"/>
      <c r="S14" s="16"/>
      <c r="T14" s="182"/>
      <c r="U14" s="16"/>
      <c r="V14" s="16"/>
      <c r="W14" s="16" t="n">
        <v>6</v>
      </c>
      <c r="X14" s="16" t="n">
        <v>7</v>
      </c>
      <c r="Y14" s="16" t="n">
        <v>1</v>
      </c>
      <c r="Z14" s="16" t="n">
        <v>2</v>
      </c>
      <c r="AA14" s="16" t="n">
        <v>3</v>
      </c>
      <c r="AB14" s="16" t="n">
        <v>4</v>
      </c>
      <c r="AC14" s="16" t="n">
        <v>5</v>
      </c>
      <c r="AD14" s="16"/>
      <c r="AE14" s="127" t="s">
        <v>45</v>
      </c>
      <c r="AF14" s="17" t="s">
        <v>844</v>
      </c>
      <c r="AG14" s="181" t="n">
        <v>65</v>
      </c>
      <c r="AH14" s="179" t="n">
        <f aca="false">AP14/60*(AM14+AN14)/AJ14/AK14/AL14</f>
        <v>0</v>
      </c>
      <c r="AI14" s="179" t="n">
        <f aca="false">AQ14/60*(AM14+AN14)/AJ14/AK14/AL14</f>
        <v>0</v>
      </c>
      <c r="AJ14" s="141" t="n">
        <v>2</v>
      </c>
      <c r="AK14" s="141" t="n">
        <v>1</v>
      </c>
      <c r="AL14" s="141" t="n">
        <v>4</v>
      </c>
      <c r="AM14" s="141" t="n">
        <v>16</v>
      </c>
      <c r="AN14" s="141" t="n">
        <v>15</v>
      </c>
      <c r="AO14" s="179" t="n">
        <f aca="false">AG14*AJ14*AK14*AL14/(AM14+AN14)*60</f>
        <v>0</v>
      </c>
      <c r="AP14" s="181" t="n">
        <v>0</v>
      </c>
      <c r="AQ14" s="181" t="n">
        <v>181</v>
      </c>
      <c r="AR14" s="16"/>
      <c r="AS14" s="51"/>
      <c r="AT14" s="16"/>
      <c r="AU14" s="16"/>
      <c r="AV14" s="16"/>
    </row>
    <row r="15" customFormat="false" ht="12.8" hidden="true" customHeight="false" outlineLevel="0" collapsed="false">
      <c r="A15" s="17" t="s">
        <v>328</v>
      </c>
      <c r="B15" s="17" t="s">
        <v>98</v>
      </c>
      <c r="C15" s="17" t="s">
        <v>329</v>
      </c>
      <c r="D15" s="17" t="s">
        <v>330</v>
      </c>
      <c r="E15" s="130" t="s">
        <v>89</v>
      </c>
      <c r="F15" s="176" t="s">
        <v>116</v>
      </c>
      <c r="G15" s="157" t="s">
        <v>863</v>
      </c>
      <c r="H15" s="154" t="s">
        <v>864</v>
      </c>
      <c r="I15" s="17" t="s">
        <v>92</v>
      </c>
      <c r="J15" s="154" t="s">
        <v>800</v>
      </c>
      <c r="K15" s="16"/>
      <c r="L15" s="16"/>
      <c r="M15" s="16"/>
      <c r="N15" s="16"/>
      <c r="O15" s="16"/>
      <c r="P15" s="16"/>
      <c r="Q15" s="17" t="s">
        <v>92</v>
      </c>
      <c r="R15" s="16"/>
      <c r="S15" s="16"/>
      <c r="T15" s="182"/>
      <c r="U15" s="16"/>
      <c r="V15" s="16" t="n">
        <v>1</v>
      </c>
      <c r="W15" s="16" t="n">
        <v>2</v>
      </c>
      <c r="X15" s="16" t="n">
        <v>3</v>
      </c>
      <c r="Y15" s="16"/>
      <c r="Z15" s="16"/>
      <c r="AA15" s="16"/>
      <c r="AB15" s="16"/>
      <c r="AC15" s="16"/>
      <c r="AD15" s="16"/>
      <c r="AE15" s="127" t="s">
        <v>44</v>
      </c>
      <c r="AF15" s="17" t="s">
        <v>844</v>
      </c>
      <c r="AG15" s="184" t="n">
        <v>10</v>
      </c>
      <c r="AH15" s="179" t="n">
        <f aca="false">AP15/60*(AM15+AN15)/AJ15/AK15/AL15</f>
        <v>0</v>
      </c>
      <c r="AI15" s="179" t="n">
        <f aca="false">AQ15/60*(AM15+AN15)/AJ15/AK15/AL15</f>
        <v>0</v>
      </c>
      <c r="AJ15" s="141" t="n">
        <v>1</v>
      </c>
      <c r="AK15" s="141" t="n">
        <v>1</v>
      </c>
      <c r="AL15" s="141" t="n">
        <v>1</v>
      </c>
      <c r="AM15" s="141" t="n">
        <v>0</v>
      </c>
      <c r="AN15" s="141" t="n">
        <v>3</v>
      </c>
      <c r="AO15" s="179" t="n">
        <f aca="false">AG15*AJ15*AK15*AL15/(AM15+AN15)*60</f>
        <v>0</v>
      </c>
      <c r="AP15" s="181" t="n">
        <v>300</v>
      </c>
      <c r="AQ15" s="181" t="n">
        <v>0</v>
      </c>
      <c r="AR15" s="16"/>
      <c r="AS15" s="51"/>
      <c r="AT15" s="16"/>
      <c r="AU15" s="16"/>
      <c r="AV15" s="16"/>
    </row>
    <row r="16" customFormat="false" ht="12.8" hidden="true" customHeight="false" outlineLevel="0" collapsed="false">
      <c r="A16" s="17" t="s">
        <v>199</v>
      </c>
      <c r="B16" s="17" t="s">
        <v>98</v>
      </c>
      <c r="C16" s="17" t="s">
        <v>203</v>
      </c>
      <c r="D16" s="17" t="s">
        <v>204</v>
      </c>
      <c r="E16" s="130" t="s">
        <v>89</v>
      </c>
      <c r="F16" s="176" t="s">
        <v>205</v>
      </c>
      <c r="G16" s="154" t="s">
        <v>865</v>
      </c>
      <c r="H16" s="154" t="s">
        <v>864</v>
      </c>
      <c r="I16" s="17" t="s">
        <v>92</v>
      </c>
      <c r="J16" s="154" t="s">
        <v>689</v>
      </c>
      <c r="K16" s="16"/>
      <c r="L16" s="16"/>
      <c r="M16" s="16"/>
      <c r="N16" s="16"/>
      <c r="O16" s="16"/>
      <c r="P16" s="16"/>
      <c r="Q16" s="17" t="s">
        <v>92</v>
      </c>
      <c r="R16" s="16"/>
      <c r="S16" s="16"/>
      <c r="T16" s="182"/>
      <c r="U16" s="16"/>
      <c r="V16" s="16" t="n">
        <v>1</v>
      </c>
      <c r="W16" s="16" t="n">
        <v>2</v>
      </c>
      <c r="X16" s="16" t="n">
        <v>3</v>
      </c>
      <c r="Y16" s="16"/>
      <c r="Z16" s="16"/>
      <c r="AA16" s="16"/>
      <c r="AB16" s="16"/>
      <c r="AC16" s="16"/>
      <c r="AD16" s="16"/>
      <c r="AE16" s="127" t="s">
        <v>44</v>
      </c>
      <c r="AF16" s="17" t="s">
        <v>844</v>
      </c>
      <c r="AG16" s="184" t="n">
        <v>12</v>
      </c>
      <c r="AH16" s="179" t="n">
        <f aca="false">AP16/60*(AM16+AN16)/AJ16/AK16/AL16</f>
        <v>0</v>
      </c>
      <c r="AI16" s="179" t="n">
        <f aca="false">AQ16/60*(AM16+AN16)/AJ16/AK16/AL16</f>
        <v>0</v>
      </c>
      <c r="AJ16" s="141" t="n">
        <v>2</v>
      </c>
      <c r="AK16" s="141" t="n">
        <v>1</v>
      </c>
      <c r="AL16" s="141" t="n">
        <v>1</v>
      </c>
      <c r="AM16" s="141" t="n">
        <v>0</v>
      </c>
      <c r="AN16" s="37" t="n">
        <v>4</v>
      </c>
      <c r="AO16" s="183" t="n">
        <f aca="false">AG16*AJ16*AK16*AL16/(AM16+AN16)*60</f>
        <v>0</v>
      </c>
      <c r="AP16" s="181" t="n">
        <v>288</v>
      </c>
      <c r="AQ16" s="181" t="n">
        <v>0</v>
      </c>
      <c r="AR16" s="16"/>
      <c r="AS16" s="51"/>
      <c r="AT16" s="16"/>
      <c r="AU16" s="16"/>
      <c r="AV16" s="16"/>
    </row>
    <row r="17" customFormat="false" ht="12.8" hidden="true" customHeight="false" outlineLevel="0" collapsed="false">
      <c r="A17" s="17" t="s">
        <v>328</v>
      </c>
      <c r="B17" s="17" t="s">
        <v>81</v>
      </c>
      <c r="C17" s="17" t="s">
        <v>335</v>
      </c>
      <c r="D17" s="17" t="s">
        <v>336</v>
      </c>
      <c r="E17" s="130" t="s">
        <v>89</v>
      </c>
      <c r="F17" s="176" t="s">
        <v>116</v>
      </c>
      <c r="G17" s="154" t="s">
        <v>866</v>
      </c>
      <c r="H17" s="154" t="s">
        <v>867</v>
      </c>
      <c r="I17" s="17" t="s">
        <v>92</v>
      </c>
      <c r="J17" s="154" t="s">
        <v>805</v>
      </c>
      <c r="K17" s="148" t="s">
        <v>92</v>
      </c>
      <c r="L17" s="150"/>
      <c r="M17" s="16"/>
      <c r="N17" s="130"/>
      <c r="O17" s="17" t="s">
        <v>92</v>
      </c>
      <c r="P17" s="130"/>
      <c r="Q17" s="130"/>
      <c r="R17" s="130"/>
      <c r="S17" s="130"/>
      <c r="T17" s="127"/>
      <c r="U17" s="16" t="n">
        <v>1</v>
      </c>
      <c r="V17" s="16" t="n">
        <v>2</v>
      </c>
      <c r="W17" s="16" t="n">
        <v>3</v>
      </c>
      <c r="X17" s="16" t="n">
        <v>4</v>
      </c>
      <c r="Y17" s="16"/>
      <c r="Z17" s="16"/>
      <c r="AA17" s="16"/>
      <c r="AB17" s="16"/>
      <c r="AC17" s="16"/>
      <c r="AD17" s="16"/>
      <c r="AE17" s="127" t="s">
        <v>602</v>
      </c>
      <c r="AF17" s="17" t="s">
        <v>54</v>
      </c>
      <c r="AG17" s="181" t="n">
        <v>130</v>
      </c>
      <c r="AH17" s="179" t="n">
        <f aca="false">AP17/60*(AM17+AN17)/AJ17/AK17/AL17</f>
        <v>0</v>
      </c>
      <c r="AI17" s="179" t="n">
        <f aca="false">AQ17/60*(AM17+AN17)/AJ17/AK17/AL17</f>
        <v>0</v>
      </c>
      <c r="AJ17" s="141" t="n">
        <v>1</v>
      </c>
      <c r="AK17" s="141" t="n">
        <v>1</v>
      </c>
      <c r="AL17" s="141" t="n">
        <v>4</v>
      </c>
      <c r="AM17" s="141" t="n">
        <v>32</v>
      </c>
      <c r="AN17" s="141" t="n">
        <v>15</v>
      </c>
      <c r="AO17" s="179" t="n">
        <f aca="false">AG17*AJ17*AK17*AL17/(AM17+AN17)*60</f>
        <v>0</v>
      </c>
      <c r="AP17" s="181" t="n">
        <v>763</v>
      </c>
      <c r="AQ17" s="181" t="n">
        <v>132</v>
      </c>
      <c r="AR17" s="16"/>
      <c r="AS17" s="51"/>
      <c r="AT17" s="16"/>
      <c r="AU17" s="16"/>
      <c r="AV17" s="16"/>
    </row>
    <row r="18" customFormat="false" ht="12.8" hidden="true" customHeight="false" outlineLevel="0" collapsed="false">
      <c r="A18" s="17" t="s">
        <v>337</v>
      </c>
      <c r="B18" s="17" t="s">
        <v>81</v>
      </c>
      <c r="C18" s="17" t="s">
        <v>342</v>
      </c>
      <c r="D18" s="17" t="s">
        <v>343</v>
      </c>
      <c r="E18" s="130" t="s">
        <v>89</v>
      </c>
      <c r="F18" s="176" t="s">
        <v>153</v>
      </c>
      <c r="G18" s="157" t="s">
        <v>868</v>
      </c>
      <c r="H18" s="154" t="s">
        <v>869</v>
      </c>
      <c r="I18" s="17" t="s">
        <v>92</v>
      </c>
      <c r="J18" s="154" t="s">
        <v>811</v>
      </c>
      <c r="K18" s="17" t="s">
        <v>92</v>
      </c>
      <c r="L18" s="130"/>
      <c r="M18" s="16"/>
      <c r="N18" s="16"/>
      <c r="O18" s="16"/>
      <c r="P18" s="16"/>
      <c r="Q18" s="16"/>
      <c r="R18" s="16"/>
      <c r="S18" s="17" t="s">
        <v>92</v>
      </c>
      <c r="T18" s="127"/>
      <c r="U18" s="16"/>
      <c r="V18" s="16"/>
      <c r="W18" s="16"/>
      <c r="X18" s="16"/>
      <c r="Y18" s="16" t="n">
        <v>1</v>
      </c>
      <c r="Z18" s="16" t="n">
        <v>2</v>
      </c>
      <c r="AA18" s="16" t="n">
        <v>3</v>
      </c>
      <c r="AB18" s="16" t="n">
        <v>4</v>
      </c>
      <c r="AC18" s="16"/>
      <c r="AD18" s="16" t="n">
        <v>5</v>
      </c>
      <c r="AE18" s="127" t="s">
        <v>46</v>
      </c>
      <c r="AF18" s="17" t="s">
        <v>844</v>
      </c>
      <c r="AG18" s="184" t="n">
        <v>250</v>
      </c>
      <c r="AH18" s="179" t="n">
        <f aca="false">AP18/60*(AM18+AN18)/AJ18/AK18/AL18</f>
        <v>0</v>
      </c>
      <c r="AI18" s="179" t="n">
        <f aca="false">AQ18/60*(AM18+AN18)/AJ18/AK18/AL18</f>
        <v>0</v>
      </c>
      <c r="AJ18" s="141" t="n">
        <v>1</v>
      </c>
      <c r="AK18" s="141" t="n">
        <v>1</v>
      </c>
      <c r="AL18" s="141" t="n">
        <v>2</v>
      </c>
      <c r="AM18" s="141" t="n">
        <v>15</v>
      </c>
      <c r="AN18" s="141" t="n">
        <v>15</v>
      </c>
      <c r="AO18" s="179" t="n">
        <f aca="false">AG18*AJ18*AK18*AL18/(AM18+AN18)*60</f>
        <v>0</v>
      </c>
      <c r="AP18" s="181" t="n">
        <v>0</v>
      </c>
      <c r="AQ18" s="181" t="n">
        <v>440</v>
      </c>
      <c r="AR18" s="16"/>
      <c r="AS18" s="51"/>
      <c r="AT18" s="16"/>
      <c r="AU18" s="16"/>
      <c r="AV18" s="16"/>
    </row>
    <row r="19" customFormat="false" ht="12.8" hidden="true" customHeight="false" outlineLevel="0" collapsed="false">
      <c r="A19" s="17" t="s">
        <v>199</v>
      </c>
      <c r="B19" s="17" t="s">
        <v>81</v>
      </c>
      <c r="C19" s="17" t="s">
        <v>208</v>
      </c>
      <c r="D19" s="17" t="s">
        <v>209</v>
      </c>
      <c r="E19" s="130" t="s">
        <v>89</v>
      </c>
      <c r="F19" s="176" t="s">
        <v>210</v>
      </c>
      <c r="G19" s="157" t="s">
        <v>870</v>
      </c>
      <c r="H19" s="154" t="s">
        <v>852</v>
      </c>
      <c r="I19" s="17" t="s">
        <v>92</v>
      </c>
      <c r="J19" s="154" t="s">
        <v>691</v>
      </c>
      <c r="K19" s="17" t="s">
        <v>92</v>
      </c>
      <c r="L19" s="130"/>
      <c r="M19" s="16"/>
      <c r="N19" s="17" t="s">
        <v>92</v>
      </c>
      <c r="O19" s="130"/>
      <c r="P19" s="130"/>
      <c r="Q19" s="130"/>
      <c r="R19" s="130"/>
      <c r="S19" s="16"/>
      <c r="T19" s="182"/>
      <c r="U19" s="16"/>
      <c r="V19" s="16" t="n">
        <v>1</v>
      </c>
      <c r="W19" s="16" t="n">
        <v>2</v>
      </c>
      <c r="X19" s="16" t="n">
        <v>3</v>
      </c>
      <c r="Y19" s="16"/>
      <c r="Z19" s="16"/>
      <c r="AA19" s="16"/>
      <c r="AB19" s="16"/>
      <c r="AC19" s="16"/>
      <c r="AD19" s="16"/>
      <c r="AE19" s="127" t="s">
        <v>44</v>
      </c>
      <c r="AF19" s="17" t="s">
        <v>844</v>
      </c>
      <c r="AG19" s="184" t="n">
        <v>15</v>
      </c>
      <c r="AH19" s="179" t="n">
        <f aca="false">AP19/60*(AM19+AN19)/AJ19/AK19/AL19</f>
        <v>0</v>
      </c>
      <c r="AI19" s="179" t="n">
        <f aca="false">AQ19/60*(AM19+AN19)/AJ19/AK19/AL19</f>
        <v>0</v>
      </c>
      <c r="AJ19" s="141" t="n">
        <v>2</v>
      </c>
      <c r="AK19" s="141" t="n">
        <v>1</v>
      </c>
      <c r="AL19" s="141" t="n">
        <v>8</v>
      </c>
      <c r="AM19" s="141" t="n">
        <v>24</v>
      </c>
      <c r="AN19" s="141" t="n">
        <v>15</v>
      </c>
      <c r="AO19" s="183" t="n">
        <f aca="false">AG19*AJ19*AK19*AL19/(AM19+AN19)*60</f>
        <v>0</v>
      </c>
      <c r="AP19" s="181" t="n">
        <v>295</v>
      </c>
      <c r="AQ19" s="181" t="n">
        <v>0</v>
      </c>
      <c r="AR19" s="16"/>
      <c r="AS19" s="51"/>
      <c r="AT19" s="16"/>
      <c r="AU19" s="16"/>
      <c r="AV19" s="16"/>
    </row>
    <row r="20" customFormat="false" ht="12.8" hidden="true" customHeight="false" outlineLevel="0" collapsed="false">
      <c r="A20" s="17" t="s">
        <v>199</v>
      </c>
      <c r="B20" s="17" t="s">
        <v>81</v>
      </c>
      <c r="C20" s="17" t="s">
        <v>208</v>
      </c>
      <c r="D20" s="17" t="s">
        <v>209</v>
      </c>
      <c r="E20" s="130" t="s">
        <v>89</v>
      </c>
      <c r="F20" s="176" t="s">
        <v>210</v>
      </c>
      <c r="G20" s="157" t="s">
        <v>871</v>
      </c>
      <c r="H20" s="154" t="s">
        <v>872</v>
      </c>
      <c r="I20" s="16"/>
      <c r="J20" s="154" t="s">
        <v>691</v>
      </c>
      <c r="K20" s="17" t="s">
        <v>92</v>
      </c>
      <c r="L20" s="130"/>
      <c r="M20" s="16"/>
      <c r="N20" s="16"/>
      <c r="O20" s="16"/>
      <c r="P20" s="16"/>
      <c r="Q20" s="17" t="s">
        <v>92</v>
      </c>
      <c r="R20" s="16"/>
      <c r="S20" s="16"/>
      <c r="T20" s="182"/>
      <c r="U20" s="16" t="n">
        <v>1</v>
      </c>
      <c r="V20" s="16" t="n">
        <v>2</v>
      </c>
      <c r="W20" s="16"/>
      <c r="X20" s="16"/>
      <c r="Y20" s="16"/>
      <c r="Z20" s="16"/>
      <c r="AA20" s="16"/>
      <c r="AB20" s="16"/>
      <c r="AC20" s="16"/>
      <c r="AD20" s="16"/>
      <c r="AE20" s="127" t="s">
        <v>45</v>
      </c>
      <c r="AF20" s="17" t="s">
        <v>844</v>
      </c>
      <c r="AG20" s="184" t="n">
        <v>0</v>
      </c>
      <c r="AH20" s="179" t="n">
        <f aca="false">AP20/60*(AM20+AN20)/AJ20/AK20/AL20</f>
        <v>0</v>
      </c>
      <c r="AI20" s="179" t="n">
        <f aca="false">AQ20/60*(AM20+AN20)/AJ20/AK20/AL20</f>
        <v>0</v>
      </c>
      <c r="AJ20" s="141" t="n">
        <v>1</v>
      </c>
      <c r="AK20" s="141" t="n">
        <v>1</v>
      </c>
      <c r="AL20" s="141" t="n">
        <v>1</v>
      </c>
      <c r="AM20" s="141" t="n">
        <v>0</v>
      </c>
      <c r="AN20" s="141" t="n">
        <v>4</v>
      </c>
      <c r="AO20" s="179" t="n">
        <f aca="false">AG20*AJ20*AK20*AL20/(AM20+AN20)*60</f>
        <v>0</v>
      </c>
      <c r="AP20" s="181" t="n">
        <v>600</v>
      </c>
      <c r="AQ20" s="181" t="n">
        <v>0</v>
      </c>
      <c r="AR20" s="16"/>
      <c r="AS20" s="51"/>
      <c r="AT20" s="16"/>
      <c r="AU20" s="16"/>
      <c r="AV20" s="16"/>
    </row>
    <row r="21" customFormat="false" ht="12.8" hidden="true" customHeight="false" outlineLevel="0" collapsed="false">
      <c r="A21" s="17" t="s">
        <v>199</v>
      </c>
      <c r="B21" s="17" t="s">
        <v>93</v>
      </c>
      <c r="C21" s="130" t="s">
        <v>211</v>
      </c>
      <c r="D21" s="17" t="s">
        <v>212</v>
      </c>
      <c r="E21" s="130" t="s">
        <v>89</v>
      </c>
      <c r="F21" s="176" t="s">
        <v>148</v>
      </c>
      <c r="G21" s="157" t="s">
        <v>873</v>
      </c>
      <c r="H21" s="154" t="s">
        <v>864</v>
      </c>
      <c r="I21" s="17" t="s">
        <v>92</v>
      </c>
      <c r="J21" s="154" t="s">
        <v>689</v>
      </c>
      <c r="K21" s="16"/>
      <c r="L21" s="16"/>
      <c r="M21" s="16"/>
      <c r="N21" s="16"/>
      <c r="O21" s="16"/>
      <c r="P21" s="16"/>
      <c r="Q21" s="17" t="s">
        <v>92</v>
      </c>
      <c r="R21" s="16"/>
      <c r="S21" s="16"/>
      <c r="T21" s="182"/>
      <c r="U21" s="16"/>
      <c r="V21" s="16" t="n">
        <v>1</v>
      </c>
      <c r="W21" s="16" t="n">
        <v>2</v>
      </c>
      <c r="X21" s="16" t="n">
        <v>3</v>
      </c>
      <c r="Y21" s="16"/>
      <c r="Z21" s="16"/>
      <c r="AA21" s="16"/>
      <c r="AB21" s="16"/>
      <c r="AC21" s="16"/>
      <c r="AD21" s="16"/>
      <c r="AE21" s="127" t="s">
        <v>44</v>
      </c>
      <c r="AF21" s="17" t="s">
        <v>844</v>
      </c>
      <c r="AG21" s="181" t="n">
        <v>25</v>
      </c>
      <c r="AH21" s="179" t="n">
        <f aca="false">AP21/60*(AM21+AN21)/AJ21/AK21/AL21</f>
        <v>0</v>
      </c>
      <c r="AI21" s="179" t="n">
        <f aca="false">AQ21/60*(AM21+AN21)/AJ21/AK21/AL21</f>
        <v>0</v>
      </c>
      <c r="AJ21" s="141" t="n">
        <v>1</v>
      </c>
      <c r="AK21" s="141" t="n">
        <v>1</v>
      </c>
      <c r="AL21" s="141" t="n">
        <v>5</v>
      </c>
      <c r="AM21" s="141" t="n">
        <v>20</v>
      </c>
      <c r="AN21" s="141" t="n">
        <v>12</v>
      </c>
      <c r="AO21" s="179" t="n">
        <f aca="false">AG21*AJ21*AK21*AL21/(AM21+AN21)*60</f>
        <v>0</v>
      </c>
      <c r="AP21" s="181" t="n">
        <v>234</v>
      </c>
      <c r="AQ21" s="181" t="n">
        <v>0</v>
      </c>
      <c r="AR21" s="148" t="s">
        <v>21</v>
      </c>
      <c r="AS21" s="51" t="n">
        <v>0.06</v>
      </c>
      <c r="AT21" s="17" t="s">
        <v>874</v>
      </c>
      <c r="AU21" s="150" t="s">
        <v>846</v>
      </c>
      <c r="AV21" s="16" t="n">
        <v>1</v>
      </c>
    </row>
    <row r="22" customFormat="false" ht="12.8" hidden="true" customHeight="false" outlineLevel="0" collapsed="false">
      <c r="A22" s="17" t="s">
        <v>328</v>
      </c>
      <c r="B22" s="17" t="s">
        <v>113</v>
      </c>
      <c r="C22" s="17" t="s">
        <v>331</v>
      </c>
      <c r="D22" s="17" t="s">
        <v>201</v>
      </c>
      <c r="E22" s="130" t="s">
        <v>89</v>
      </c>
      <c r="F22" s="176" t="s">
        <v>148</v>
      </c>
      <c r="G22" s="157" t="s">
        <v>875</v>
      </c>
      <c r="H22" s="154" t="s">
        <v>856</v>
      </c>
      <c r="I22" s="17" t="s">
        <v>92</v>
      </c>
      <c r="J22" s="154" t="s">
        <v>592</v>
      </c>
      <c r="K22" s="17" t="s">
        <v>92</v>
      </c>
      <c r="L22" s="130"/>
      <c r="M22" s="17" t="s">
        <v>92</v>
      </c>
      <c r="N22" s="16"/>
      <c r="O22" s="16"/>
      <c r="P22" s="16"/>
      <c r="Q22" s="16"/>
      <c r="R22" s="16"/>
      <c r="S22" s="16"/>
      <c r="T22" s="182"/>
      <c r="U22" s="16"/>
      <c r="V22" s="16"/>
      <c r="W22" s="16" t="n">
        <v>1</v>
      </c>
      <c r="X22" s="16" t="n">
        <v>2</v>
      </c>
      <c r="Y22" s="16"/>
      <c r="Z22" s="16"/>
      <c r="AA22" s="16"/>
      <c r="AB22" s="16"/>
      <c r="AC22" s="16" t="n">
        <v>3</v>
      </c>
      <c r="AD22" s="16"/>
      <c r="AE22" s="127" t="s">
        <v>44</v>
      </c>
      <c r="AF22" s="17" t="s">
        <v>844</v>
      </c>
      <c r="AG22" s="181" t="n">
        <v>100</v>
      </c>
      <c r="AH22" s="179" t="n">
        <f aca="false">AP22/60*(AM22+AN22)/AJ22/AK22/AL22</f>
        <v>0</v>
      </c>
      <c r="AI22" s="179" t="n">
        <f aca="false">AQ22/60*(AM22+AN22)/AJ22/AK22/AL22</f>
        <v>0</v>
      </c>
      <c r="AJ22" s="141" t="n">
        <v>1</v>
      </c>
      <c r="AK22" s="141" t="n">
        <v>1</v>
      </c>
      <c r="AL22" s="141" t="n">
        <v>5</v>
      </c>
      <c r="AM22" s="141" t="n">
        <v>25</v>
      </c>
      <c r="AN22" s="141" t="n">
        <v>15</v>
      </c>
      <c r="AO22" s="179" t="n">
        <f aca="false">AG22*AJ22*AK22*AL22/(AM22+AN22)*60</f>
        <v>0</v>
      </c>
      <c r="AP22" s="181" t="n">
        <v>0</v>
      </c>
      <c r="AQ22" s="181" t="n">
        <v>60</v>
      </c>
      <c r="AR22" s="17" t="s">
        <v>20</v>
      </c>
      <c r="AS22" s="51"/>
      <c r="AT22" s="16"/>
      <c r="AU22" s="16"/>
      <c r="AV22" s="16"/>
    </row>
    <row r="23" customFormat="false" ht="12.8" hidden="true" customHeight="false" outlineLevel="0" collapsed="false">
      <c r="A23" s="17" t="s">
        <v>328</v>
      </c>
      <c r="B23" s="17" t="s">
        <v>113</v>
      </c>
      <c r="C23" s="17" t="s">
        <v>331</v>
      </c>
      <c r="D23" s="17" t="s">
        <v>201</v>
      </c>
      <c r="E23" s="130" t="s">
        <v>89</v>
      </c>
      <c r="F23" s="176" t="s">
        <v>148</v>
      </c>
      <c r="G23" s="157" t="s">
        <v>876</v>
      </c>
      <c r="H23" s="154" t="s">
        <v>877</v>
      </c>
      <c r="I23" s="130"/>
      <c r="J23" s="154" t="s">
        <v>592</v>
      </c>
      <c r="K23" s="17" t="s">
        <v>92</v>
      </c>
      <c r="L23" s="130"/>
      <c r="M23" s="16"/>
      <c r="N23" s="16"/>
      <c r="O23" s="16"/>
      <c r="P23" s="16"/>
      <c r="Q23" s="16"/>
      <c r="R23" s="16"/>
      <c r="S23" s="16"/>
      <c r="T23" s="182"/>
      <c r="U23" s="16"/>
      <c r="V23" s="16" t="n">
        <v>1</v>
      </c>
      <c r="W23" s="16" t="n">
        <v>2</v>
      </c>
      <c r="X23" s="16" t="n">
        <v>3</v>
      </c>
      <c r="Y23" s="16"/>
      <c r="Z23" s="16"/>
      <c r="AA23" s="16"/>
      <c r="AB23" s="16"/>
      <c r="AC23" s="16"/>
      <c r="AD23" s="16"/>
      <c r="AE23" s="127" t="s">
        <v>44</v>
      </c>
      <c r="AF23" s="17" t="s">
        <v>844</v>
      </c>
      <c r="AG23" s="181" t="n">
        <v>10</v>
      </c>
      <c r="AH23" s="179" t="n">
        <f aca="false">AP23/60*(AM23+AN23)/AJ23/AK23/AL23</f>
        <v>0</v>
      </c>
      <c r="AI23" s="179" t="n">
        <f aca="false">AQ23/60*(AM23+AN23)/AJ23/AK23/AL23</f>
        <v>0</v>
      </c>
      <c r="AJ23" s="141" t="n">
        <v>2</v>
      </c>
      <c r="AK23" s="141" t="n">
        <v>2</v>
      </c>
      <c r="AL23" s="141" t="n">
        <v>1</v>
      </c>
      <c r="AM23" s="141" t="n">
        <v>0</v>
      </c>
      <c r="AN23" s="141" t="n">
        <v>5</v>
      </c>
      <c r="AO23" s="179" t="n">
        <f aca="false">AG23*AJ23*AK23*AL23/(AM23+AN23)*60</f>
        <v>0</v>
      </c>
      <c r="AP23" s="181" t="n">
        <v>384</v>
      </c>
      <c r="AQ23" s="181" t="n">
        <v>0</v>
      </c>
      <c r="AR23" s="148" t="s">
        <v>21</v>
      </c>
      <c r="AS23" s="51"/>
      <c r="AT23" s="16"/>
      <c r="AU23" s="16"/>
      <c r="AV23" s="16"/>
    </row>
    <row r="24" customFormat="false" ht="12.8" hidden="true" customHeight="false" outlineLevel="0" collapsed="false">
      <c r="A24" s="35" t="s">
        <v>199</v>
      </c>
      <c r="B24" s="35" t="s">
        <v>98</v>
      </c>
      <c r="C24" s="35" t="s">
        <v>200</v>
      </c>
      <c r="D24" s="35" t="s">
        <v>201</v>
      </c>
      <c r="E24" s="34" t="s">
        <v>89</v>
      </c>
      <c r="F24" s="35" t="s">
        <v>130</v>
      </c>
      <c r="G24" s="154" t="s">
        <v>878</v>
      </c>
      <c r="H24" s="154" t="s">
        <v>852</v>
      </c>
      <c r="I24" s="17" t="s">
        <v>92</v>
      </c>
      <c r="J24" s="154" t="s">
        <v>592</v>
      </c>
      <c r="K24" s="17" t="s">
        <v>92</v>
      </c>
      <c r="L24" s="130"/>
      <c r="M24" s="17" t="s">
        <v>92</v>
      </c>
      <c r="N24" s="17" t="s">
        <v>92</v>
      </c>
      <c r="O24" s="16"/>
      <c r="P24" s="16"/>
      <c r="Q24" s="16"/>
      <c r="R24" s="16"/>
      <c r="S24" s="16"/>
      <c r="T24" s="182"/>
      <c r="U24" s="16"/>
      <c r="V24" s="16" t="n">
        <v>1</v>
      </c>
      <c r="W24" s="16" t="n">
        <v>2</v>
      </c>
      <c r="X24" s="16" t="n">
        <v>3</v>
      </c>
      <c r="Y24" s="16"/>
      <c r="Z24" s="16"/>
      <c r="AA24" s="16"/>
      <c r="AB24" s="16"/>
      <c r="AC24" s="16"/>
      <c r="AD24" s="16"/>
      <c r="AE24" s="127" t="s">
        <v>44</v>
      </c>
      <c r="AF24" s="17" t="s">
        <v>844</v>
      </c>
      <c r="AG24" s="181" t="n">
        <v>20</v>
      </c>
      <c r="AH24" s="179" t="n">
        <f aca="false">AP24/60*(AM24+AN24)/AJ24/AK24/AL24</f>
        <v>0</v>
      </c>
      <c r="AI24" s="179" t="n">
        <f aca="false">AQ24/60*(AM24+AN24)/AJ24/AK24/AL24</f>
        <v>0</v>
      </c>
      <c r="AJ24" s="141" t="n">
        <v>2</v>
      </c>
      <c r="AK24" s="141" t="n">
        <v>3</v>
      </c>
      <c r="AL24" s="141" t="n">
        <v>4</v>
      </c>
      <c r="AM24" s="141" t="n">
        <v>16</v>
      </c>
      <c r="AN24" s="141" t="n">
        <v>10</v>
      </c>
      <c r="AO24" s="183" t="n">
        <f aca="false">AG24*AJ24*AK24*AL24/(AM24+AN24)*60</f>
        <v>0</v>
      </c>
      <c r="AP24" s="181" t="n">
        <v>885</v>
      </c>
      <c r="AQ24" s="181" t="n">
        <v>0</v>
      </c>
      <c r="AR24" s="150"/>
      <c r="AS24" s="51"/>
      <c r="AT24" s="16"/>
      <c r="AU24" s="16"/>
      <c r="AV24" s="16"/>
    </row>
    <row r="25" customFormat="false" ht="12.8" hidden="true" customHeight="false" outlineLevel="0" collapsed="false">
      <c r="A25" s="17" t="s">
        <v>51</v>
      </c>
      <c r="B25" s="17" t="s">
        <v>93</v>
      </c>
      <c r="C25" s="130" t="s">
        <v>124</v>
      </c>
      <c r="D25" s="17" t="s">
        <v>125</v>
      </c>
      <c r="E25" s="130" t="s">
        <v>89</v>
      </c>
      <c r="F25" s="176" t="s">
        <v>126</v>
      </c>
      <c r="G25" s="154" t="s">
        <v>879</v>
      </c>
      <c r="H25" s="154" t="s">
        <v>880</v>
      </c>
      <c r="I25" s="17" t="s">
        <v>92</v>
      </c>
      <c r="J25" s="154" t="s">
        <v>623</v>
      </c>
      <c r="K25" s="17" t="s">
        <v>92</v>
      </c>
      <c r="L25" s="130"/>
      <c r="M25" s="16"/>
      <c r="N25" s="16"/>
      <c r="O25" s="16"/>
      <c r="P25" s="16"/>
      <c r="Q25" s="16"/>
      <c r="R25" s="16"/>
      <c r="S25" s="16"/>
      <c r="T25" s="182"/>
      <c r="U25" s="16"/>
      <c r="V25" s="16"/>
      <c r="W25" s="16" t="n">
        <v>1</v>
      </c>
      <c r="X25" s="16" t="n">
        <v>2</v>
      </c>
      <c r="Y25" s="16"/>
      <c r="Z25" s="16"/>
      <c r="AA25" s="16"/>
      <c r="AB25" s="16"/>
      <c r="AC25" s="16"/>
      <c r="AD25" s="16"/>
      <c r="AE25" s="127" t="s">
        <v>45</v>
      </c>
      <c r="AF25" s="17" t="s">
        <v>844</v>
      </c>
      <c r="AG25" s="181" t="n">
        <v>80</v>
      </c>
      <c r="AH25" s="179" t="n">
        <f aca="false">AP25/60*(AM25+AN25)/AJ25/AK25/AL25</f>
        <v>0</v>
      </c>
      <c r="AI25" s="179" t="n">
        <f aca="false">AQ25/60*(AM25+AN25)/AJ25/AK25/AL25</f>
        <v>0</v>
      </c>
      <c r="AJ25" s="141" t="n">
        <v>2</v>
      </c>
      <c r="AK25" s="141" t="n">
        <v>1</v>
      </c>
      <c r="AL25" s="141" t="n">
        <v>6</v>
      </c>
      <c r="AM25" s="141" t="n">
        <v>12</v>
      </c>
      <c r="AN25" s="141" t="n">
        <v>12</v>
      </c>
      <c r="AO25" s="179" t="n">
        <f aca="false">AG25*AJ25*AK25*AL25/(AM25+AN25)*60</f>
        <v>0</v>
      </c>
      <c r="AP25" s="181" t="n">
        <v>0</v>
      </c>
      <c r="AQ25" s="181" t="n">
        <v>240</v>
      </c>
      <c r="AR25" s="17" t="s">
        <v>20</v>
      </c>
      <c r="AS25" s="51" t="n">
        <v>0.04</v>
      </c>
      <c r="AT25" s="17" t="s">
        <v>874</v>
      </c>
      <c r="AU25" s="150" t="s">
        <v>846</v>
      </c>
      <c r="AV25" s="16" t="n">
        <v>2</v>
      </c>
    </row>
    <row r="26" customFormat="false" ht="12.8" hidden="true" customHeight="false" outlineLevel="0" collapsed="false">
      <c r="A26" s="17" t="s">
        <v>51</v>
      </c>
      <c r="B26" s="17" t="s">
        <v>93</v>
      </c>
      <c r="C26" s="130" t="s">
        <v>124</v>
      </c>
      <c r="D26" s="17" t="s">
        <v>125</v>
      </c>
      <c r="E26" s="130" t="s">
        <v>89</v>
      </c>
      <c r="F26" s="176" t="s">
        <v>126</v>
      </c>
      <c r="G26" s="154" t="s">
        <v>881</v>
      </c>
      <c r="H26" s="147" t="s">
        <v>843</v>
      </c>
      <c r="I26" s="17" t="s">
        <v>92</v>
      </c>
      <c r="J26" s="154" t="s">
        <v>624</v>
      </c>
      <c r="K26" s="16"/>
      <c r="L26" s="16"/>
      <c r="M26" s="16"/>
      <c r="N26" s="16"/>
      <c r="O26" s="16"/>
      <c r="P26" s="16"/>
      <c r="Q26" s="17" t="s">
        <v>92</v>
      </c>
      <c r="R26" s="16"/>
      <c r="S26" s="16"/>
      <c r="T26" s="182"/>
      <c r="U26" s="16" t="n">
        <v>1</v>
      </c>
      <c r="V26" s="16" t="n">
        <v>2</v>
      </c>
      <c r="W26" s="16" t="n">
        <v>3</v>
      </c>
      <c r="X26" s="16" t="n">
        <v>4</v>
      </c>
      <c r="Y26" s="16"/>
      <c r="Z26" s="16"/>
      <c r="AA26" s="16"/>
      <c r="AB26" s="16"/>
      <c r="AC26" s="16"/>
      <c r="AD26" s="16"/>
      <c r="AE26" s="127" t="s">
        <v>44</v>
      </c>
      <c r="AF26" s="17" t="s">
        <v>844</v>
      </c>
      <c r="AG26" s="181" t="n">
        <v>10</v>
      </c>
      <c r="AH26" s="179" t="n">
        <f aca="false">AP26/60*(AM26+AN26)/AJ26/AK26/AL26</f>
        <v>0</v>
      </c>
      <c r="AI26" s="179" t="n">
        <f aca="false">AQ26/60*(AM26+AN26)/AJ26/AK26/AL26</f>
        <v>0</v>
      </c>
      <c r="AJ26" s="141" t="n">
        <v>2</v>
      </c>
      <c r="AK26" s="141" t="n">
        <v>2</v>
      </c>
      <c r="AL26" s="141" t="n">
        <v>1</v>
      </c>
      <c r="AM26" s="141" t="n">
        <v>0</v>
      </c>
      <c r="AN26" s="141" t="n">
        <v>3</v>
      </c>
      <c r="AO26" s="179" t="n">
        <f aca="false">AG26*AJ26*AK26*AL26/(AM26+AN26)*60</f>
        <v>0</v>
      </c>
      <c r="AP26" s="181" t="n">
        <v>1600</v>
      </c>
      <c r="AQ26" s="181" t="n">
        <v>0</v>
      </c>
      <c r="AR26" s="148" t="s">
        <v>21</v>
      </c>
      <c r="AS26" s="51" t="n">
        <v>0.06</v>
      </c>
      <c r="AT26" s="17" t="s">
        <v>874</v>
      </c>
      <c r="AU26" s="150" t="s">
        <v>846</v>
      </c>
      <c r="AV26" s="16" t="n">
        <v>1</v>
      </c>
    </row>
    <row r="27" customFormat="false" ht="12.8" hidden="true" customHeight="false" outlineLevel="0" collapsed="false">
      <c r="A27" s="17" t="s">
        <v>51</v>
      </c>
      <c r="B27" s="17" t="s">
        <v>93</v>
      </c>
      <c r="C27" s="130" t="s">
        <v>124</v>
      </c>
      <c r="D27" s="17" t="s">
        <v>127</v>
      </c>
      <c r="E27" s="130" t="s">
        <v>87</v>
      </c>
      <c r="F27" s="176" t="s">
        <v>128</v>
      </c>
      <c r="G27" s="154" t="s">
        <v>882</v>
      </c>
      <c r="H27" s="154" t="s">
        <v>883</v>
      </c>
      <c r="I27" s="17" t="s">
        <v>92</v>
      </c>
      <c r="J27" s="154" t="s">
        <v>626</v>
      </c>
      <c r="K27" s="17" t="s">
        <v>92</v>
      </c>
      <c r="L27" s="130"/>
      <c r="M27" s="16"/>
      <c r="N27" s="16"/>
      <c r="O27" s="16"/>
      <c r="P27" s="16"/>
      <c r="Q27" s="16"/>
      <c r="R27" s="16"/>
      <c r="S27" s="16"/>
      <c r="T27" s="182"/>
      <c r="U27" s="16"/>
      <c r="V27" s="16"/>
      <c r="W27" s="16" t="n">
        <v>1</v>
      </c>
      <c r="X27" s="16" t="n">
        <v>2</v>
      </c>
      <c r="Y27" s="16"/>
      <c r="Z27" s="16"/>
      <c r="AA27" s="16"/>
      <c r="AB27" s="16"/>
      <c r="AC27" s="16" t="n">
        <v>3</v>
      </c>
      <c r="AD27" s="16"/>
      <c r="AE27" s="185" t="s">
        <v>44</v>
      </c>
      <c r="AF27" s="17" t="s">
        <v>844</v>
      </c>
      <c r="AG27" s="181" t="n">
        <v>75</v>
      </c>
      <c r="AH27" s="179" t="n">
        <f aca="false">AP27/60*(AM27+AN27)/AJ27/AK27/AL27</f>
        <v>0</v>
      </c>
      <c r="AI27" s="179" t="n">
        <f aca="false">AQ27/60*(AM27+AN27)/AJ27/AK27/AL27</f>
        <v>0</v>
      </c>
      <c r="AJ27" s="141" t="n">
        <v>1</v>
      </c>
      <c r="AK27" s="141" t="n">
        <v>1</v>
      </c>
      <c r="AL27" s="141" t="n">
        <v>1</v>
      </c>
      <c r="AM27" s="141" t="n">
        <v>0</v>
      </c>
      <c r="AN27" s="141" t="n">
        <v>2</v>
      </c>
      <c r="AO27" s="179" t="n">
        <f aca="false">AG27*AJ27*AK27*AL27/(AM27+AN27)*60</f>
        <v>0</v>
      </c>
      <c r="AP27" s="181" t="n">
        <v>0</v>
      </c>
      <c r="AQ27" s="181" t="n">
        <v>247</v>
      </c>
      <c r="AR27" s="17" t="s">
        <v>20</v>
      </c>
      <c r="AS27" s="51" t="n">
        <v>0.04</v>
      </c>
      <c r="AT27" s="17" t="s">
        <v>874</v>
      </c>
      <c r="AU27" s="150" t="s">
        <v>846</v>
      </c>
      <c r="AV27" s="16" t="n">
        <v>2</v>
      </c>
    </row>
    <row r="28" customFormat="false" ht="12.8" hidden="true" customHeight="false" outlineLevel="0" collapsed="false">
      <c r="A28" s="17" t="s">
        <v>51</v>
      </c>
      <c r="B28" s="17" t="s">
        <v>93</v>
      </c>
      <c r="C28" s="130" t="s">
        <v>124</v>
      </c>
      <c r="D28" s="17" t="s">
        <v>127</v>
      </c>
      <c r="E28" s="130" t="s">
        <v>87</v>
      </c>
      <c r="F28" s="176" t="s">
        <v>128</v>
      </c>
      <c r="G28" s="154" t="s">
        <v>881</v>
      </c>
      <c r="H28" s="147" t="s">
        <v>843</v>
      </c>
      <c r="I28" s="17" t="s">
        <v>92</v>
      </c>
      <c r="J28" s="154" t="s">
        <v>624</v>
      </c>
      <c r="K28" s="16"/>
      <c r="L28" s="16"/>
      <c r="M28" s="16"/>
      <c r="N28" s="16"/>
      <c r="O28" s="16"/>
      <c r="P28" s="16"/>
      <c r="Q28" s="17" t="s">
        <v>92</v>
      </c>
      <c r="R28" s="16"/>
      <c r="S28" s="16"/>
      <c r="T28" s="185"/>
      <c r="U28" s="16" t="n">
        <v>1</v>
      </c>
      <c r="V28" s="16" t="n">
        <v>2</v>
      </c>
      <c r="W28" s="16" t="n">
        <v>3</v>
      </c>
      <c r="X28" s="16" t="n">
        <v>4</v>
      </c>
      <c r="Y28" s="16"/>
      <c r="Z28" s="16"/>
      <c r="AA28" s="16"/>
      <c r="AB28" s="16"/>
      <c r="AC28" s="16"/>
      <c r="AD28" s="16"/>
      <c r="AE28" s="127" t="s">
        <v>44</v>
      </c>
      <c r="AF28" s="17" t="s">
        <v>844</v>
      </c>
      <c r="AG28" s="181" t="n">
        <v>10</v>
      </c>
      <c r="AH28" s="179" t="n">
        <f aca="false">AP28/60*(AM28+AN28)/AJ28/AK28/AL28</f>
        <v>0</v>
      </c>
      <c r="AI28" s="179" t="n">
        <f aca="false">AQ28/60*(AM28+AN28)/AJ28/AK28/AL28</f>
        <v>0</v>
      </c>
      <c r="AJ28" s="141" t="n">
        <v>2</v>
      </c>
      <c r="AK28" s="141" t="n">
        <v>2</v>
      </c>
      <c r="AL28" s="141" t="n">
        <v>1</v>
      </c>
      <c r="AM28" s="141" t="n">
        <v>0</v>
      </c>
      <c r="AN28" s="141" t="n">
        <v>3</v>
      </c>
      <c r="AO28" s="179" t="n">
        <f aca="false">AG28*AJ28*AK28*AL28/(AM28+AN28)*60</f>
        <v>0</v>
      </c>
      <c r="AP28" s="181" t="n">
        <v>1600</v>
      </c>
      <c r="AQ28" s="181" t="n">
        <v>0</v>
      </c>
      <c r="AR28" s="148" t="s">
        <v>21</v>
      </c>
      <c r="AS28" s="51" t="n">
        <v>0.06</v>
      </c>
      <c r="AT28" s="17" t="s">
        <v>874</v>
      </c>
      <c r="AU28" s="150" t="s">
        <v>846</v>
      </c>
      <c r="AV28" s="16" t="n">
        <v>1</v>
      </c>
    </row>
    <row r="29" customFormat="false" ht="12.8" hidden="true" customHeight="false" outlineLevel="0" collapsed="false">
      <c r="A29" s="17" t="s">
        <v>51</v>
      </c>
      <c r="B29" s="17" t="s">
        <v>98</v>
      </c>
      <c r="C29" s="17" t="s">
        <v>110</v>
      </c>
      <c r="D29" s="17" t="s">
        <v>111</v>
      </c>
      <c r="E29" s="130" t="s">
        <v>89</v>
      </c>
      <c r="F29" s="176" t="s">
        <v>112</v>
      </c>
      <c r="G29" s="154" t="s">
        <v>884</v>
      </c>
      <c r="H29" s="154" t="s">
        <v>880</v>
      </c>
      <c r="I29" s="17" t="s">
        <v>92</v>
      </c>
      <c r="J29" s="154" t="s">
        <v>603</v>
      </c>
      <c r="K29" s="17" t="s">
        <v>92</v>
      </c>
      <c r="L29" s="130"/>
      <c r="M29" s="16"/>
      <c r="N29" s="16"/>
      <c r="O29" s="16"/>
      <c r="P29" s="16"/>
      <c r="Q29" s="16"/>
      <c r="R29" s="16"/>
      <c r="S29" s="16"/>
      <c r="T29" s="185"/>
      <c r="U29" s="16"/>
      <c r="V29" s="16"/>
      <c r="W29" s="16" t="n">
        <v>1</v>
      </c>
      <c r="X29" s="16" t="n">
        <v>2</v>
      </c>
      <c r="Y29" s="16"/>
      <c r="Z29" s="16"/>
      <c r="AA29" s="16"/>
      <c r="AB29" s="16"/>
      <c r="AC29" s="16"/>
      <c r="AD29" s="16"/>
      <c r="AE29" s="127" t="s">
        <v>45</v>
      </c>
      <c r="AF29" s="17" t="s">
        <v>844</v>
      </c>
      <c r="AG29" s="181" t="n">
        <v>120</v>
      </c>
      <c r="AH29" s="179" t="n">
        <f aca="false">AP29/60*(AM29+AN29)/AJ29/AK29/AL29</f>
        <v>0</v>
      </c>
      <c r="AI29" s="179" t="n">
        <f aca="false">AQ29/60*(AM29+AN29)/AJ29/AK29/AL29</f>
        <v>0</v>
      </c>
      <c r="AJ29" s="141" t="n">
        <v>2</v>
      </c>
      <c r="AK29" s="141" t="n">
        <v>1</v>
      </c>
      <c r="AL29" s="141" t="n">
        <v>2</v>
      </c>
      <c r="AM29" s="141" t="n">
        <v>4</v>
      </c>
      <c r="AN29" s="141" t="n">
        <v>5</v>
      </c>
      <c r="AO29" s="179" t="n">
        <f aca="false">AG29*AJ29*AK29*AL29/(AM29+AN29)*60</f>
        <v>0</v>
      </c>
      <c r="AP29" s="181" t="n">
        <v>0</v>
      </c>
      <c r="AQ29" s="181" t="n">
        <v>128</v>
      </c>
      <c r="AR29" s="16"/>
      <c r="AS29" s="51"/>
      <c r="AT29" s="16"/>
      <c r="AU29" s="16"/>
      <c r="AV29" s="16"/>
    </row>
    <row r="30" customFormat="false" ht="12.8" hidden="true" customHeight="false" outlineLevel="0" collapsed="false">
      <c r="A30" s="17" t="s">
        <v>51</v>
      </c>
      <c r="B30" s="17" t="s">
        <v>98</v>
      </c>
      <c r="C30" s="17" t="s">
        <v>110</v>
      </c>
      <c r="D30" s="17" t="s">
        <v>111</v>
      </c>
      <c r="E30" s="130" t="s">
        <v>89</v>
      </c>
      <c r="F30" s="176" t="s">
        <v>112</v>
      </c>
      <c r="G30" s="157" t="s">
        <v>885</v>
      </c>
      <c r="H30" s="154" t="s">
        <v>886</v>
      </c>
      <c r="I30" s="17" t="s">
        <v>92</v>
      </c>
      <c r="J30" s="154" t="s">
        <v>587</v>
      </c>
      <c r="K30" s="16"/>
      <c r="L30" s="16"/>
      <c r="M30" s="16"/>
      <c r="N30" s="16"/>
      <c r="O30" s="16"/>
      <c r="P30" s="16"/>
      <c r="Q30" s="17" t="s">
        <v>92</v>
      </c>
      <c r="R30" s="16"/>
      <c r="S30" s="16"/>
      <c r="T30" s="185"/>
      <c r="U30" s="16"/>
      <c r="V30" s="16"/>
      <c r="W30" s="16" t="n">
        <v>1</v>
      </c>
      <c r="X30" s="16" t="n">
        <v>2</v>
      </c>
      <c r="Y30" s="16"/>
      <c r="Z30" s="16"/>
      <c r="AA30" s="16"/>
      <c r="AB30" s="16"/>
      <c r="AC30" s="16" t="n">
        <v>3</v>
      </c>
      <c r="AD30" s="16"/>
      <c r="AE30" s="127" t="s">
        <v>44</v>
      </c>
      <c r="AF30" s="17" t="s">
        <v>844</v>
      </c>
      <c r="AG30" s="181" t="n">
        <v>65</v>
      </c>
      <c r="AH30" s="179" t="n">
        <f aca="false">AP30/60*(AM30+AN30)/AJ30/AK30/AL30</f>
        <v>0</v>
      </c>
      <c r="AI30" s="179" t="n">
        <f aca="false">AQ30/60*(AM30+AN30)/AJ30/AK30/AL30</f>
        <v>0</v>
      </c>
      <c r="AJ30" s="141" t="n">
        <v>1</v>
      </c>
      <c r="AK30" s="141" t="n">
        <v>1</v>
      </c>
      <c r="AL30" s="141" t="n">
        <v>1</v>
      </c>
      <c r="AM30" s="141" t="n">
        <v>0</v>
      </c>
      <c r="AN30" s="141" t="n">
        <v>5</v>
      </c>
      <c r="AO30" s="179" t="n">
        <f aca="false">AG30*AJ30*AK30*AL30/(AM30+AN30)*60</f>
        <v>0</v>
      </c>
      <c r="AP30" s="181" t="n">
        <v>655</v>
      </c>
      <c r="AQ30" s="181" t="n">
        <v>187</v>
      </c>
      <c r="AR30" s="16"/>
      <c r="AS30" s="51"/>
      <c r="AT30" s="16"/>
      <c r="AU30" s="16"/>
      <c r="AV30" s="16"/>
    </row>
    <row r="31" customFormat="false" ht="12.8" hidden="true" customHeight="false" outlineLevel="0" collapsed="false">
      <c r="A31" s="17" t="s">
        <v>51</v>
      </c>
      <c r="B31" s="17" t="s">
        <v>98</v>
      </c>
      <c r="C31" s="17" t="s">
        <v>104</v>
      </c>
      <c r="D31" s="17" t="s">
        <v>105</v>
      </c>
      <c r="E31" s="130" t="s">
        <v>89</v>
      </c>
      <c r="F31" s="176" t="s">
        <v>106</v>
      </c>
      <c r="G31" s="157" t="s">
        <v>887</v>
      </c>
      <c r="H31" s="154" t="s">
        <v>888</v>
      </c>
      <c r="I31" s="16" t="s">
        <v>92</v>
      </c>
      <c r="J31" s="154" t="s">
        <v>592</v>
      </c>
      <c r="K31" s="17" t="s">
        <v>92</v>
      </c>
      <c r="L31" s="130"/>
      <c r="M31" s="16"/>
      <c r="N31" s="16"/>
      <c r="O31" s="16"/>
      <c r="P31" s="16"/>
      <c r="Q31" s="17" t="s">
        <v>92</v>
      </c>
      <c r="R31" s="16"/>
      <c r="S31" s="16"/>
      <c r="T31" s="185"/>
      <c r="U31" s="16"/>
      <c r="V31" s="16"/>
      <c r="W31" s="16" t="n">
        <v>1</v>
      </c>
      <c r="X31" s="16" t="n">
        <v>2</v>
      </c>
      <c r="Y31" s="16"/>
      <c r="Z31" s="16"/>
      <c r="AA31" s="16"/>
      <c r="AB31" s="16"/>
      <c r="AC31" s="16" t="n">
        <v>3</v>
      </c>
      <c r="AD31" s="16"/>
      <c r="AE31" s="127" t="s">
        <v>44</v>
      </c>
      <c r="AF31" s="17" t="s">
        <v>844</v>
      </c>
      <c r="AG31" s="181" t="n">
        <v>50</v>
      </c>
      <c r="AH31" s="179" t="n">
        <f aca="false">AP31/60*(AM31+AN31)/AJ31/AK31/AL31</f>
        <v>0</v>
      </c>
      <c r="AI31" s="179" t="n">
        <f aca="false">AQ31/60*(AM31+AN31)/AJ31/AK31/AL31</f>
        <v>0</v>
      </c>
      <c r="AJ31" s="141" t="n">
        <v>2</v>
      </c>
      <c r="AK31" s="141" t="n">
        <v>2</v>
      </c>
      <c r="AL31" s="141" t="n">
        <v>1</v>
      </c>
      <c r="AM31" s="141" t="n">
        <v>0</v>
      </c>
      <c r="AN31" s="141" t="n">
        <v>5</v>
      </c>
      <c r="AO31" s="179" t="n">
        <f aca="false">AG31*AJ31*AK31*AL31/(AM31+AN31)*60</f>
        <v>0</v>
      </c>
      <c r="AP31" s="181" t="n">
        <v>192</v>
      </c>
      <c r="AQ31" s="181" t="n">
        <v>336</v>
      </c>
      <c r="AR31" s="17" t="s">
        <v>20</v>
      </c>
      <c r="AS31" s="51" t="n">
        <v>0.04</v>
      </c>
      <c r="AT31" s="17" t="s">
        <v>874</v>
      </c>
      <c r="AU31" s="130" t="s">
        <v>846</v>
      </c>
      <c r="AV31" s="16" t="n">
        <v>2</v>
      </c>
    </row>
    <row r="32" customFormat="false" ht="12.8" hidden="true" customHeight="false" outlineLevel="0" collapsed="false">
      <c r="A32" s="17" t="s">
        <v>51</v>
      </c>
      <c r="B32" s="17" t="s">
        <v>98</v>
      </c>
      <c r="C32" s="17" t="s">
        <v>104</v>
      </c>
      <c r="D32" s="17" t="s">
        <v>105</v>
      </c>
      <c r="E32" s="130" t="s">
        <v>89</v>
      </c>
      <c r="F32" s="176" t="s">
        <v>106</v>
      </c>
      <c r="G32" s="157" t="s">
        <v>889</v>
      </c>
      <c r="H32" s="154" t="s">
        <v>890</v>
      </c>
      <c r="I32" s="17" t="s">
        <v>92</v>
      </c>
      <c r="J32" s="154" t="s">
        <v>600</v>
      </c>
      <c r="K32" s="16"/>
      <c r="L32" s="16"/>
      <c r="M32" s="16"/>
      <c r="N32" s="16"/>
      <c r="O32" s="16"/>
      <c r="P32" s="16"/>
      <c r="Q32" s="17" t="s">
        <v>92</v>
      </c>
      <c r="R32" s="16"/>
      <c r="S32" s="16"/>
      <c r="T32" s="185"/>
      <c r="U32" s="16"/>
      <c r="V32" s="16"/>
      <c r="W32" s="16" t="n">
        <v>1</v>
      </c>
      <c r="X32" s="16" t="n">
        <v>2</v>
      </c>
      <c r="Y32" s="16"/>
      <c r="Z32" s="16"/>
      <c r="AA32" s="16"/>
      <c r="AB32" s="16"/>
      <c r="AC32" s="16"/>
      <c r="AD32" s="16"/>
      <c r="AE32" s="127" t="s">
        <v>45</v>
      </c>
      <c r="AF32" s="17" t="s">
        <v>844</v>
      </c>
      <c r="AG32" s="181" t="n">
        <v>30</v>
      </c>
      <c r="AH32" s="179" t="n">
        <f aca="false">AP32/60*(AM32+AN32)/AJ32/AK32/AL32</f>
        <v>0</v>
      </c>
      <c r="AI32" s="179" t="n">
        <f aca="false">AQ32/60*(AM32+AN32)/AJ32/AK32/AL32</f>
        <v>0</v>
      </c>
      <c r="AJ32" s="141" t="n">
        <v>1</v>
      </c>
      <c r="AK32" s="141" t="n">
        <v>1</v>
      </c>
      <c r="AL32" s="141" t="n">
        <v>4</v>
      </c>
      <c r="AM32" s="141" t="n">
        <v>4</v>
      </c>
      <c r="AN32" s="141" t="n">
        <v>6</v>
      </c>
      <c r="AO32" s="179" t="n">
        <f aca="false">AG32*AJ32*AK32*AL32/(AM32+AN32)*60</f>
        <v>0</v>
      </c>
      <c r="AP32" s="181" t="n">
        <v>0</v>
      </c>
      <c r="AQ32" s="181" t="n">
        <v>252</v>
      </c>
      <c r="AR32" s="17" t="s">
        <v>20</v>
      </c>
      <c r="AS32" s="51" t="n">
        <v>0.06</v>
      </c>
      <c r="AT32" s="17" t="s">
        <v>874</v>
      </c>
      <c r="AU32" s="130" t="s">
        <v>846</v>
      </c>
      <c r="AV32" s="16" t="n">
        <v>1</v>
      </c>
    </row>
    <row r="33" customFormat="false" ht="12.8" hidden="true" customHeight="false" outlineLevel="0" collapsed="false">
      <c r="A33" s="17" t="s">
        <v>51</v>
      </c>
      <c r="B33" s="17" t="s">
        <v>98</v>
      </c>
      <c r="C33" s="17" t="s">
        <v>104</v>
      </c>
      <c r="D33" s="17" t="s">
        <v>108</v>
      </c>
      <c r="E33" s="130" t="s">
        <v>87</v>
      </c>
      <c r="F33" s="176" t="s">
        <v>109</v>
      </c>
      <c r="G33" s="186"/>
      <c r="H33" s="186"/>
      <c r="I33" s="17" t="s">
        <v>92</v>
      </c>
      <c r="J33" s="154" t="s">
        <v>592</v>
      </c>
      <c r="K33" s="17" t="s">
        <v>92</v>
      </c>
      <c r="L33" s="130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7" t="s">
        <v>602</v>
      </c>
      <c r="AF33" s="17" t="s">
        <v>54</v>
      </c>
      <c r="AG33" s="181"/>
      <c r="AH33" s="179" t="n">
        <f aca="false">AP33/60*(AM33+AN33)/AJ33/AK33/AL33</f>
        <v>0</v>
      </c>
      <c r="AI33" s="179" t="n">
        <f aca="false">AQ33/60*(AM33+AN33)/AJ33/AK33/AL33</f>
        <v>0</v>
      </c>
      <c r="AJ33" s="141" t="n">
        <v>1</v>
      </c>
      <c r="AK33" s="141" t="n">
        <v>1</v>
      </c>
      <c r="AL33" s="141" t="n">
        <v>1</v>
      </c>
      <c r="AM33" s="141" t="n">
        <v>0</v>
      </c>
      <c r="AN33" s="141" t="n">
        <v>1</v>
      </c>
      <c r="AO33" s="179" t="n">
        <f aca="false">AG33*AJ33*AK33*AL33/(AM33+AN33)*60</f>
        <v>0</v>
      </c>
      <c r="AP33" s="181" t="n">
        <v>0</v>
      </c>
      <c r="AQ33" s="181" t="n">
        <v>0</v>
      </c>
      <c r="AR33" s="16"/>
      <c r="AS33" s="51"/>
      <c r="AT33" s="16"/>
      <c r="AU33" s="16"/>
      <c r="AV33" s="16"/>
    </row>
    <row r="34" customFormat="false" ht="12.8" hidden="true" customHeight="false" outlineLevel="0" collapsed="false">
      <c r="A34" s="17" t="s">
        <v>51</v>
      </c>
      <c r="B34" s="17" t="s">
        <v>98</v>
      </c>
      <c r="C34" s="17" t="s">
        <v>99</v>
      </c>
      <c r="D34" s="17" t="s">
        <v>100</v>
      </c>
      <c r="E34" s="130" t="s">
        <v>89</v>
      </c>
      <c r="F34" s="17" t="s">
        <v>101</v>
      </c>
      <c r="G34" s="187" t="s">
        <v>891</v>
      </c>
      <c r="H34" s="187" t="s">
        <v>646</v>
      </c>
      <c r="I34" s="187" t="s">
        <v>92</v>
      </c>
      <c r="J34" s="187" t="s">
        <v>577</v>
      </c>
      <c r="K34" s="187" t="s">
        <v>92</v>
      </c>
      <c r="L34" s="187"/>
      <c r="M34" s="178"/>
      <c r="N34" s="178"/>
      <c r="O34" s="178"/>
      <c r="P34" s="178"/>
      <c r="Q34" s="178"/>
      <c r="R34" s="178"/>
      <c r="S34" s="178"/>
      <c r="T34" s="178"/>
      <c r="U34" s="16"/>
      <c r="V34" s="16"/>
      <c r="W34" s="16"/>
      <c r="X34" s="16"/>
      <c r="Y34" s="16"/>
      <c r="Z34" s="16"/>
      <c r="AA34" s="16"/>
      <c r="AB34" s="16" t="n">
        <v>1</v>
      </c>
      <c r="AC34" s="16" t="n">
        <v>2</v>
      </c>
      <c r="AD34" s="16"/>
      <c r="AE34" s="17" t="s">
        <v>46</v>
      </c>
      <c r="AF34" s="17" t="s">
        <v>844</v>
      </c>
      <c r="AG34" s="181" t="n">
        <v>350</v>
      </c>
      <c r="AH34" s="179" t="n">
        <f aca="false">AP34/60*(AM34+AN34)/AJ34/AK34/AL34</f>
        <v>0</v>
      </c>
      <c r="AI34" s="179" t="n">
        <f aca="false">AQ34/60*(AM34+AN34)/AJ34/AK34/AL34</f>
        <v>0</v>
      </c>
      <c r="AJ34" s="141" t="n">
        <v>1</v>
      </c>
      <c r="AK34" s="141" t="n">
        <v>1</v>
      </c>
      <c r="AL34" s="141" t="n">
        <v>4</v>
      </c>
      <c r="AM34" s="141" t="n">
        <v>4</v>
      </c>
      <c r="AN34" s="141" t="n">
        <v>16</v>
      </c>
      <c r="AO34" s="179" t="n">
        <f aca="false">AG34*AJ34*AK34*AL34/(AM34+AN34)*60</f>
        <v>0</v>
      </c>
      <c r="AP34" s="181" t="n">
        <v>0</v>
      </c>
      <c r="AQ34" s="181" t="n">
        <v>1469</v>
      </c>
      <c r="AR34" s="16"/>
      <c r="AS34" s="51"/>
      <c r="AT34" s="16"/>
      <c r="AU34" s="16"/>
      <c r="AV34" s="16"/>
    </row>
    <row r="35" customFormat="false" ht="12.8" hidden="true" customHeight="false" outlineLevel="0" collapsed="false">
      <c r="A35" s="17" t="s">
        <v>51</v>
      </c>
      <c r="B35" s="17" t="s">
        <v>98</v>
      </c>
      <c r="C35" s="17" t="s">
        <v>99</v>
      </c>
      <c r="D35" s="17" t="s">
        <v>100</v>
      </c>
      <c r="E35" s="130" t="s">
        <v>89</v>
      </c>
      <c r="F35" s="17" t="s">
        <v>101</v>
      </c>
      <c r="G35" s="188" t="s">
        <v>885</v>
      </c>
      <c r="H35" s="187" t="s">
        <v>886</v>
      </c>
      <c r="I35" s="187" t="s">
        <v>92</v>
      </c>
      <c r="J35" s="187" t="s">
        <v>587</v>
      </c>
      <c r="K35" s="178"/>
      <c r="L35" s="178"/>
      <c r="M35" s="178"/>
      <c r="N35" s="178"/>
      <c r="O35" s="178"/>
      <c r="P35" s="178"/>
      <c r="Q35" s="17" t="s">
        <v>92</v>
      </c>
      <c r="R35" s="178"/>
      <c r="S35" s="178"/>
      <c r="T35" s="189"/>
      <c r="U35" s="16"/>
      <c r="V35" s="16"/>
      <c r="W35" s="16" t="n">
        <v>1</v>
      </c>
      <c r="X35" s="16" t="n">
        <v>2</v>
      </c>
      <c r="Y35" s="16"/>
      <c r="Z35" s="16"/>
      <c r="AA35" s="16"/>
      <c r="AB35" s="16"/>
      <c r="AC35" s="16" t="n">
        <v>3</v>
      </c>
      <c r="AD35" s="16"/>
      <c r="AE35" s="127" t="s">
        <v>44</v>
      </c>
      <c r="AF35" s="17" t="s">
        <v>844</v>
      </c>
      <c r="AG35" s="181" t="n">
        <v>65</v>
      </c>
      <c r="AH35" s="190" t="n">
        <f aca="false">AP35/60*(AM35+AN35)/AJ35/AK35/AL35</f>
        <v>0</v>
      </c>
      <c r="AI35" s="179" t="n">
        <f aca="false">AQ35/60*(AM35+AN35)/AJ35/AK35/AL35</f>
        <v>0</v>
      </c>
      <c r="AJ35" s="141" t="n">
        <v>1</v>
      </c>
      <c r="AK35" s="141" t="n">
        <v>1</v>
      </c>
      <c r="AL35" s="141" t="n">
        <v>1</v>
      </c>
      <c r="AM35" s="141" t="n">
        <v>0</v>
      </c>
      <c r="AN35" s="141" t="n">
        <v>5</v>
      </c>
      <c r="AO35" s="179" t="n">
        <f aca="false">AG35*AJ35*AK35*AL35/(AM35+AN35)*60</f>
        <v>0</v>
      </c>
      <c r="AP35" s="184" t="n">
        <v>0</v>
      </c>
      <c r="AQ35" s="181" t="n">
        <v>187</v>
      </c>
      <c r="AR35" s="16"/>
      <c r="AS35" s="51"/>
      <c r="AT35" s="16"/>
      <c r="AU35" s="16"/>
      <c r="AV35" s="16"/>
    </row>
    <row r="36" customFormat="false" ht="12.8" hidden="true" customHeight="false" outlineLevel="0" collapsed="false">
      <c r="A36" s="17" t="s">
        <v>51</v>
      </c>
      <c r="B36" s="17" t="s">
        <v>98</v>
      </c>
      <c r="C36" s="17" t="s">
        <v>99</v>
      </c>
      <c r="D36" s="17" t="s">
        <v>100</v>
      </c>
      <c r="E36" s="130" t="s">
        <v>89</v>
      </c>
      <c r="F36" s="17" t="s">
        <v>101</v>
      </c>
      <c r="G36" s="154" t="s">
        <v>892</v>
      </c>
      <c r="H36" s="154" t="s">
        <v>893</v>
      </c>
      <c r="I36" s="178"/>
      <c r="J36" s="187" t="s">
        <v>587</v>
      </c>
      <c r="K36" s="178"/>
      <c r="L36" s="178"/>
      <c r="M36" s="178"/>
      <c r="N36" s="178"/>
      <c r="O36" s="178"/>
      <c r="P36" s="178"/>
      <c r="Q36" s="17" t="s">
        <v>92</v>
      </c>
      <c r="R36" s="178"/>
      <c r="S36" s="178"/>
      <c r="T36" s="189"/>
      <c r="U36" s="16" t="n">
        <v>1</v>
      </c>
      <c r="V36" s="16" t="n">
        <v>2</v>
      </c>
      <c r="W36" s="16"/>
      <c r="X36" s="16"/>
      <c r="Y36" s="16"/>
      <c r="Z36" s="16"/>
      <c r="AA36" s="16"/>
      <c r="AB36" s="16"/>
      <c r="AC36" s="16"/>
      <c r="AD36" s="16"/>
      <c r="AE36" s="127" t="s">
        <v>44</v>
      </c>
      <c r="AF36" s="17" t="s">
        <v>844</v>
      </c>
      <c r="AG36" s="184" t="n">
        <v>0</v>
      </c>
      <c r="AH36" s="190" t="n">
        <f aca="false">AP36/60*(AM36+AN36)/AJ36/AK36/AL36</f>
        <v>0</v>
      </c>
      <c r="AI36" s="179" t="n">
        <f aca="false">AQ36/60*(AM36+AN36)/AJ36/AK36/AL36</f>
        <v>0</v>
      </c>
      <c r="AJ36" s="141" t="n">
        <v>2</v>
      </c>
      <c r="AK36" s="141" t="n">
        <v>1</v>
      </c>
      <c r="AL36" s="141" t="n">
        <v>6</v>
      </c>
      <c r="AM36" s="141" t="n">
        <v>6</v>
      </c>
      <c r="AN36" s="141" t="n">
        <v>4</v>
      </c>
      <c r="AO36" s="179" t="n">
        <f aca="false">AG36*AJ36*AK36*AL36/(AM36+AN36)*60</f>
        <v>0</v>
      </c>
      <c r="AP36" s="191" t="n">
        <v>1368</v>
      </c>
      <c r="AQ36" s="181" t="n">
        <v>0</v>
      </c>
      <c r="AR36" s="16"/>
      <c r="AS36" s="51"/>
      <c r="AT36" s="16"/>
      <c r="AU36" s="16"/>
      <c r="AV36" s="16"/>
    </row>
    <row r="37" customFormat="false" ht="12.8" hidden="true" customHeight="false" outlineLevel="0" collapsed="false">
      <c r="A37" s="17" t="s">
        <v>51</v>
      </c>
      <c r="B37" s="17" t="s">
        <v>81</v>
      </c>
      <c r="C37" s="130" t="s">
        <v>117</v>
      </c>
      <c r="D37" s="17" t="s">
        <v>118</v>
      </c>
      <c r="E37" s="130" t="s">
        <v>89</v>
      </c>
      <c r="F37" s="17" t="s">
        <v>112</v>
      </c>
      <c r="G37" s="157" t="s">
        <v>894</v>
      </c>
      <c r="H37" s="154" t="s">
        <v>895</v>
      </c>
      <c r="I37" s="17" t="s">
        <v>92</v>
      </c>
      <c r="J37" s="154" t="s">
        <v>600</v>
      </c>
      <c r="K37" s="17" t="s">
        <v>92</v>
      </c>
      <c r="L37" s="130"/>
      <c r="M37" s="16"/>
      <c r="N37" s="16"/>
      <c r="O37" s="16"/>
      <c r="P37" s="16"/>
      <c r="Q37" s="17" t="s">
        <v>92</v>
      </c>
      <c r="R37" s="16"/>
      <c r="S37" s="16"/>
      <c r="T37" s="16"/>
      <c r="U37" s="16"/>
      <c r="V37" s="16"/>
      <c r="W37" s="16" t="n">
        <v>1</v>
      </c>
      <c r="X37" s="16" t="n">
        <v>2</v>
      </c>
      <c r="Y37" s="16"/>
      <c r="Z37" s="16"/>
      <c r="AA37" s="16"/>
      <c r="AB37" s="16"/>
      <c r="AC37" s="16"/>
      <c r="AD37" s="16"/>
      <c r="AE37" s="17" t="s">
        <v>45</v>
      </c>
      <c r="AF37" s="17" t="s">
        <v>844</v>
      </c>
      <c r="AG37" s="181" t="n">
        <v>220</v>
      </c>
      <c r="AH37" s="179" t="n">
        <f aca="false">AP37/60*(AM37+AN37)/AJ37/AK37/AL37</f>
        <v>0</v>
      </c>
      <c r="AI37" s="179" t="n">
        <f aca="false">AQ37/60*(AM37+AN37)/AJ37/AK37/AL37</f>
        <v>0</v>
      </c>
      <c r="AJ37" s="141" t="n">
        <v>1</v>
      </c>
      <c r="AK37" s="141" t="n">
        <v>1</v>
      </c>
      <c r="AL37" s="141" t="n">
        <v>4</v>
      </c>
      <c r="AM37" s="141" t="n">
        <v>8</v>
      </c>
      <c r="AN37" s="141" t="n">
        <v>12</v>
      </c>
      <c r="AO37" s="179" t="n">
        <f aca="false">AG37*AJ37*AK37*AL37/(AM37+AN37)*60</f>
        <v>0</v>
      </c>
      <c r="AP37" s="191" t="n">
        <v>0</v>
      </c>
      <c r="AQ37" s="181" t="n">
        <v>184</v>
      </c>
      <c r="AR37" s="16"/>
      <c r="AS37" s="51"/>
      <c r="AT37" s="16"/>
      <c r="AU37" s="16"/>
      <c r="AV37" s="16"/>
    </row>
    <row r="38" customFormat="false" ht="12.8" hidden="true" customHeight="false" outlineLevel="0" collapsed="false">
      <c r="A38" s="17" t="s">
        <v>51</v>
      </c>
      <c r="B38" s="17" t="s">
        <v>93</v>
      </c>
      <c r="C38" s="34" t="s">
        <v>122</v>
      </c>
      <c r="D38" s="17" t="s">
        <v>123</v>
      </c>
      <c r="E38" s="130" t="s">
        <v>89</v>
      </c>
      <c r="F38" s="17" t="s">
        <v>101</v>
      </c>
      <c r="G38" s="154" t="s">
        <v>896</v>
      </c>
      <c r="H38" s="154" t="s">
        <v>897</v>
      </c>
      <c r="I38" s="17" t="s">
        <v>92</v>
      </c>
      <c r="J38" s="187" t="s">
        <v>587</v>
      </c>
      <c r="K38" s="17" t="s">
        <v>92</v>
      </c>
      <c r="L38" s="130"/>
      <c r="M38" s="16"/>
      <c r="N38" s="16"/>
      <c r="O38" s="16"/>
      <c r="P38" s="16"/>
      <c r="Q38" s="17" t="s">
        <v>92</v>
      </c>
      <c r="R38" s="16"/>
      <c r="S38" s="16"/>
      <c r="T38" s="185"/>
      <c r="U38" s="16"/>
      <c r="V38" s="16"/>
      <c r="W38" s="16" t="n">
        <v>1</v>
      </c>
      <c r="X38" s="16" t="n">
        <v>2</v>
      </c>
      <c r="Y38" s="16"/>
      <c r="Z38" s="16"/>
      <c r="AA38" s="16"/>
      <c r="AB38" s="16"/>
      <c r="AC38" s="16" t="n">
        <v>3</v>
      </c>
      <c r="AD38" s="16"/>
      <c r="AE38" s="127" t="s">
        <v>44</v>
      </c>
      <c r="AF38" s="17" t="s">
        <v>844</v>
      </c>
      <c r="AG38" s="181" t="n">
        <v>55</v>
      </c>
      <c r="AH38" s="179" t="n">
        <f aca="false">AP38/60*(AM38+AN38)/AJ38/AK38/AL38</f>
        <v>0</v>
      </c>
      <c r="AI38" s="179" t="n">
        <f aca="false">AQ38/60*(AM38+AN38)/AJ38/AK38/AL38</f>
        <v>0</v>
      </c>
      <c r="AJ38" s="141" t="n">
        <v>1</v>
      </c>
      <c r="AK38" s="141" t="n">
        <v>2</v>
      </c>
      <c r="AL38" s="141" t="n">
        <v>2</v>
      </c>
      <c r="AM38" s="141" t="n">
        <v>4</v>
      </c>
      <c r="AN38" s="141" t="n">
        <v>6</v>
      </c>
      <c r="AO38" s="179" t="n">
        <f aca="false">AG38*AJ38*AK38*AL38/(AM38+AN38)*60</f>
        <v>0</v>
      </c>
      <c r="AP38" s="191" t="n">
        <v>0</v>
      </c>
      <c r="AQ38" s="181" t="n">
        <v>250</v>
      </c>
      <c r="AR38" s="17" t="s">
        <v>20</v>
      </c>
      <c r="AS38" s="51" t="n">
        <v>0.04</v>
      </c>
      <c r="AT38" s="17" t="s">
        <v>874</v>
      </c>
      <c r="AU38" s="150" t="s">
        <v>846</v>
      </c>
      <c r="AV38" s="16" t="n">
        <v>1</v>
      </c>
    </row>
    <row r="39" customFormat="false" ht="12.8" hidden="true" customHeight="false" outlineLevel="0" collapsed="false">
      <c r="A39" s="17" t="s">
        <v>51</v>
      </c>
      <c r="B39" s="17" t="s">
        <v>93</v>
      </c>
      <c r="C39" s="34" t="s">
        <v>122</v>
      </c>
      <c r="D39" s="17" t="s">
        <v>123</v>
      </c>
      <c r="E39" s="130" t="s">
        <v>89</v>
      </c>
      <c r="F39" s="17" t="s">
        <v>101</v>
      </c>
      <c r="G39" s="177" t="s">
        <v>898</v>
      </c>
      <c r="H39" s="154" t="s">
        <v>899</v>
      </c>
      <c r="I39" s="16"/>
      <c r="J39" s="187" t="s">
        <v>587</v>
      </c>
      <c r="K39" s="17" t="s">
        <v>92</v>
      </c>
      <c r="L39" s="130"/>
      <c r="M39" s="16"/>
      <c r="N39" s="16"/>
      <c r="O39" s="16"/>
      <c r="P39" s="16"/>
      <c r="Q39" s="16"/>
      <c r="R39" s="16"/>
      <c r="S39" s="16"/>
      <c r="T39" s="185"/>
      <c r="U39" s="16"/>
      <c r="V39" s="16"/>
      <c r="W39" s="16" t="n">
        <v>1</v>
      </c>
      <c r="X39" s="16" t="n">
        <v>2</v>
      </c>
      <c r="Y39" s="16"/>
      <c r="Z39" s="16"/>
      <c r="AA39" s="16"/>
      <c r="AB39" s="16"/>
      <c r="AC39" s="16" t="n">
        <v>3</v>
      </c>
      <c r="AD39" s="16"/>
      <c r="AE39" s="127" t="s">
        <v>44</v>
      </c>
      <c r="AF39" s="17" t="s">
        <v>844</v>
      </c>
      <c r="AG39" s="181" t="n">
        <v>30</v>
      </c>
      <c r="AH39" s="179" t="n">
        <f aca="false">AP39/60*(AM39+AN39)/AJ39/AK39/AL39</f>
        <v>0</v>
      </c>
      <c r="AI39" s="179" t="n">
        <f aca="false">AQ39/60*(AM39+AN39)/AJ39/AK39/AL39</f>
        <v>0</v>
      </c>
      <c r="AJ39" s="141" t="n">
        <v>2</v>
      </c>
      <c r="AK39" s="141" t="n">
        <v>1</v>
      </c>
      <c r="AL39" s="141" t="n">
        <v>3</v>
      </c>
      <c r="AM39" s="141" t="n">
        <v>3</v>
      </c>
      <c r="AN39" s="141" t="n">
        <v>6</v>
      </c>
      <c r="AO39" s="179" t="n">
        <f aca="false">AG39*AJ39*AK39*AL39/(AM39+AN39)*60</f>
        <v>0</v>
      </c>
      <c r="AP39" s="191" t="n">
        <v>0</v>
      </c>
      <c r="AQ39" s="181" t="n">
        <v>168</v>
      </c>
      <c r="AR39" s="17" t="s">
        <v>20</v>
      </c>
      <c r="AS39" s="51" t="n">
        <v>0.04</v>
      </c>
      <c r="AT39" s="17" t="s">
        <v>874</v>
      </c>
      <c r="AU39" s="150" t="s">
        <v>846</v>
      </c>
      <c r="AV39" s="16" t="n">
        <v>1</v>
      </c>
    </row>
    <row r="40" customFormat="false" ht="12.8" hidden="true" customHeight="false" outlineLevel="0" collapsed="false">
      <c r="A40" s="17" t="s">
        <v>51</v>
      </c>
      <c r="B40" s="17" t="s">
        <v>81</v>
      </c>
      <c r="C40" s="17" t="s">
        <v>119</v>
      </c>
      <c r="D40" s="17" t="s">
        <v>120</v>
      </c>
      <c r="E40" s="130" t="s">
        <v>89</v>
      </c>
      <c r="F40" s="17" t="s">
        <v>121</v>
      </c>
      <c r="G40" s="154" t="s">
        <v>900</v>
      </c>
      <c r="H40" s="154" t="s">
        <v>901</v>
      </c>
      <c r="I40" s="17" t="s">
        <v>92</v>
      </c>
      <c r="J40" s="187" t="s">
        <v>587</v>
      </c>
      <c r="K40" s="17" t="s">
        <v>92</v>
      </c>
      <c r="L40" s="130"/>
      <c r="M40" s="16"/>
      <c r="N40" s="16"/>
      <c r="O40" s="16"/>
      <c r="P40" s="16"/>
      <c r="Q40" s="16"/>
      <c r="R40" s="16"/>
      <c r="S40" s="16"/>
      <c r="T40" s="185"/>
      <c r="U40" s="16"/>
      <c r="V40" s="16"/>
      <c r="W40" s="16" t="n">
        <v>1</v>
      </c>
      <c r="X40" s="16" t="n">
        <v>2</v>
      </c>
      <c r="Y40" s="16"/>
      <c r="Z40" s="16"/>
      <c r="AA40" s="16"/>
      <c r="AB40" s="16"/>
      <c r="AC40" s="16" t="n">
        <v>3</v>
      </c>
      <c r="AD40" s="16"/>
      <c r="AE40" s="127" t="s">
        <v>44</v>
      </c>
      <c r="AF40" s="17" t="s">
        <v>844</v>
      </c>
      <c r="AG40" s="181" t="n">
        <v>50</v>
      </c>
      <c r="AH40" s="179" t="n">
        <f aca="false">AP40/60*(AM40+AN40)/AJ40/AK40/AL40</f>
        <v>0</v>
      </c>
      <c r="AI40" s="179" t="n">
        <f aca="false">AQ40/60*(AM40+AN40)/AJ40/AK40/AL40</f>
        <v>0</v>
      </c>
      <c r="AJ40" s="141" t="n">
        <v>3</v>
      </c>
      <c r="AK40" s="141" t="n">
        <v>1</v>
      </c>
      <c r="AL40" s="141" t="n">
        <v>2</v>
      </c>
      <c r="AM40" s="141" t="n">
        <v>4</v>
      </c>
      <c r="AN40" s="141" t="n">
        <v>4</v>
      </c>
      <c r="AO40" s="179" t="n">
        <f aca="false">AG40*AJ40*AK40*AL40/(AM40+AN40)*60</f>
        <v>0</v>
      </c>
      <c r="AP40" s="181" t="n">
        <v>0</v>
      </c>
      <c r="AQ40" s="181" t="n">
        <v>630</v>
      </c>
      <c r="AR40" s="17" t="s">
        <v>20</v>
      </c>
      <c r="AS40" s="51" t="n">
        <v>0.04</v>
      </c>
      <c r="AT40" s="17" t="s">
        <v>874</v>
      </c>
      <c r="AU40" s="150" t="s">
        <v>846</v>
      </c>
      <c r="AV40" s="16" t="n">
        <v>2</v>
      </c>
    </row>
    <row r="41" customFormat="false" ht="12.8" hidden="true" customHeight="false" outlineLevel="0" collapsed="false">
      <c r="A41" s="17" t="s">
        <v>51</v>
      </c>
      <c r="B41" s="17" t="s">
        <v>113</v>
      </c>
      <c r="C41" s="17" t="s">
        <v>114</v>
      </c>
      <c r="D41" s="17" t="s">
        <v>115</v>
      </c>
      <c r="E41" s="130" t="s">
        <v>89</v>
      </c>
      <c r="F41" s="17" t="s">
        <v>116</v>
      </c>
      <c r="G41" s="157" t="s">
        <v>902</v>
      </c>
      <c r="H41" s="154" t="s">
        <v>903</v>
      </c>
      <c r="I41" s="17" t="s">
        <v>92</v>
      </c>
      <c r="J41" s="154" t="s">
        <v>604</v>
      </c>
      <c r="K41" s="17" t="s">
        <v>92</v>
      </c>
      <c r="L41" s="130"/>
      <c r="M41" s="16"/>
      <c r="N41" s="16"/>
      <c r="O41" s="16"/>
      <c r="P41" s="16"/>
      <c r="Q41" s="16"/>
      <c r="R41" s="16"/>
      <c r="S41" s="17" t="s">
        <v>92</v>
      </c>
      <c r="T41" s="16"/>
      <c r="U41" s="16"/>
      <c r="V41" s="16"/>
      <c r="W41" s="16"/>
      <c r="X41" s="16"/>
      <c r="Y41" s="16"/>
      <c r="Z41" s="16"/>
      <c r="AA41" s="16"/>
      <c r="AB41" s="16" t="n">
        <v>1</v>
      </c>
      <c r="AC41" s="16" t="n">
        <v>2</v>
      </c>
      <c r="AD41" s="16"/>
      <c r="AE41" s="17" t="s">
        <v>46</v>
      </c>
      <c r="AF41" s="17" t="s">
        <v>844</v>
      </c>
      <c r="AG41" s="181" t="n">
        <v>240</v>
      </c>
      <c r="AH41" s="179" t="n">
        <f aca="false">AP41/60*(AM41+AN41)/AJ41/AK41/AL41</f>
        <v>0</v>
      </c>
      <c r="AI41" s="179" t="n">
        <f aca="false">AQ41/60*(AM41+AN41)/AJ41/AK41/AL41</f>
        <v>0</v>
      </c>
      <c r="AJ41" s="141" t="n">
        <v>2</v>
      </c>
      <c r="AK41" s="141" t="n">
        <v>1</v>
      </c>
      <c r="AL41" s="141" t="n">
        <v>2</v>
      </c>
      <c r="AM41" s="141" t="n">
        <v>16</v>
      </c>
      <c r="AN41" s="141" t="n">
        <v>15</v>
      </c>
      <c r="AO41" s="179" t="n">
        <f aca="false">AG41*AJ41*AK41*AL41/(AM41+AN41)*60</f>
        <v>0</v>
      </c>
      <c r="AP41" s="181" t="n">
        <v>0</v>
      </c>
      <c r="AQ41" s="181" t="n">
        <v>483</v>
      </c>
      <c r="AR41" s="17" t="s">
        <v>20</v>
      </c>
      <c r="AS41" s="51"/>
      <c r="AT41" s="16"/>
      <c r="AU41" s="16"/>
      <c r="AV41" s="16"/>
    </row>
    <row r="42" customFormat="false" ht="12.8" hidden="true" customHeight="false" outlineLevel="0" collapsed="false">
      <c r="A42" s="136" t="s">
        <v>51</v>
      </c>
      <c r="B42" s="137" t="s">
        <v>93</v>
      </c>
      <c r="C42" s="138" t="s">
        <v>129</v>
      </c>
      <c r="D42" s="137" t="s">
        <v>108</v>
      </c>
      <c r="E42" s="139" t="s">
        <v>89</v>
      </c>
      <c r="F42" s="137" t="s">
        <v>130</v>
      </c>
      <c r="G42" s="154" t="s">
        <v>904</v>
      </c>
      <c r="H42" s="154" t="s">
        <v>905</v>
      </c>
      <c r="I42" s="17" t="s">
        <v>92</v>
      </c>
      <c r="J42" s="154" t="s">
        <v>592</v>
      </c>
      <c r="K42" s="17" t="s">
        <v>92</v>
      </c>
      <c r="L42" s="130"/>
      <c r="M42" s="16"/>
      <c r="N42" s="17" t="s">
        <v>92</v>
      </c>
      <c r="O42" s="16"/>
      <c r="P42" s="16"/>
      <c r="Q42" s="16"/>
      <c r="R42" s="16"/>
      <c r="S42" s="16"/>
      <c r="T42" s="16"/>
      <c r="U42" s="16" t="n">
        <v>1</v>
      </c>
      <c r="V42" s="16" t="n">
        <v>2</v>
      </c>
      <c r="W42" s="16" t="n">
        <v>3</v>
      </c>
      <c r="X42" s="16" t="n">
        <v>4</v>
      </c>
      <c r="Y42" s="16"/>
      <c r="Z42" s="16"/>
      <c r="AA42" s="16"/>
      <c r="AB42" s="16"/>
      <c r="AC42" s="16"/>
      <c r="AD42" s="16"/>
      <c r="AE42" s="17" t="s">
        <v>602</v>
      </c>
      <c r="AF42" s="17" t="s">
        <v>54</v>
      </c>
      <c r="AG42" s="181" t="n">
        <v>120</v>
      </c>
      <c r="AH42" s="179" t="n">
        <f aca="false">AP42/60*(AM42+AN42)/AJ42/AK42/AL42</f>
        <v>0</v>
      </c>
      <c r="AI42" s="179" t="n">
        <f aca="false">AQ42/60*(AM42+AN42)/AJ42/AK42/AL42</f>
        <v>0</v>
      </c>
      <c r="AJ42" s="141" t="n">
        <v>1</v>
      </c>
      <c r="AK42" s="141" t="n">
        <v>1</v>
      </c>
      <c r="AL42" s="141" t="n">
        <v>1</v>
      </c>
      <c r="AM42" s="141" t="n">
        <v>0</v>
      </c>
      <c r="AN42" s="141" t="n">
        <v>3</v>
      </c>
      <c r="AO42" s="179" t="n">
        <f aca="false">AG42*AJ42*AK42*AL42/(AM42+AN42)*60</f>
        <v>0</v>
      </c>
      <c r="AP42" s="181" t="n">
        <v>3192</v>
      </c>
      <c r="AQ42" s="181" t="n">
        <v>48</v>
      </c>
      <c r="AR42" s="16"/>
      <c r="AS42" s="51"/>
      <c r="AT42" s="16"/>
      <c r="AU42" s="16"/>
      <c r="AV42" s="16"/>
    </row>
    <row r="43" customFormat="false" ht="12.8" hidden="true" customHeight="false" outlineLevel="0" collapsed="false">
      <c r="A43" s="16" t="s">
        <v>52</v>
      </c>
      <c r="B43" s="17" t="s">
        <v>81</v>
      </c>
      <c r="C43" s="17" t="s">
        <v>185</v>
      </c>
      <c r="D43" s="16" t="s">
        <v>186</v>
      </c>
      <c r="E43" s="156" t="s">
        <v>89</v>
      </c>
      <c r="F43" s="16" t="s">
        <v>153</v>
      </c>
      <c r="G43" s="154" t="s">
        <v>906</v>
      </c>
      <c r="H43" s="154" t="s">
        <v>843</v>
      </c>
      <c r="I43" s="17" t="s">
        <v>92</v>
      </c>
      <c r="J43" s="154" t="s">
        <v>645</v>
      </c>
      <c r="K43" s="16"/>
      <c r="L43" s="16"/>
      <c r="M43" s="16"/>
      <c r="N43" s="16"/>
      <c r="O43" s="16"/>
      <c r="P43" s="16"/>
      <c r="Q43" s="17" t="s">
        <v>92</v>
      </c>
      <c r="R43" s="16"/>
      <c r="S43" s="16"/>
      <c r="T43" s="185"/>
      <c r="U43" s="16" t="n">
        <v>1</v>
      </c>
      <c r="V43" s="16" t="n">
        <v>2</v>
      </c>
      <c r="W43" s="16" t="n">
        <v>3</v>
      </c>
      <c r="X43" s="16" t="n">
        <v>4</v>
      </c>
      <c r="Y43" s="16"/>
      <c r="Z43" s="16"/>
      <c r="AA43" s="16"/>
      <c r="AB43" s="16"/>
      <c r="AC43" s="16"/>
      <c r="AD43" s="16"/>
      <c r="AE43" s="127" t="s">
        <v>44</v>
      </c>
      <c r="AF43" s="17" t="s">
        <v>844</v>
      </c>
      <c r="AG43" s="181" t="n">
        <v>15</v>
      </c>
      <c r="AH43" s="179" t="n">
        <f aca="false">AP43/60*(AM43+AN43)/AJ43/AK43/AL43</f>
        <v>0</v>
      </c>
      <c r="AI43" s="179" t="n">
        <f aca="false">AQ43/60*(AM43+AN43)/AJ43/AK43/AL43</f>
        <v>0</v>
      </c>
      <c r="AJ43" s="141" t="n">
        <v>2</v>
      </c>
      <c r="AK43" s="141" t="n">
        <v>1</v>
      </c>
      <c r="AL43" s="141" t="n">
        <v>3</v>
      </c>
      <c r="AM43" s="141" t="n">
        <v>3</v>
      </c>
      <c r="AN43" s="141" t="n">
        <v>6</v>
      </c>
      <c r="AO43" s="179" t="n">
        <f aca="false">AG43*AJ43*AK43*AL43/(AM43+AN43)*60</f>
        <v>0</v>
      </c>
      <c r="AP43" s="181" t="n">
        <v>384</v>
      </c>
      <c r="AQ43" s="181" t="n">
        <v>138</v>
      </c>
      <c r="AR43" s="17" t="s">
        <v>20</v>
      </c>
      <c r="AS43" s="51" t="n">
        <v>0.06</v>
      </c>
      <c r="AT43" s="148" t="s">
        <v>845</v>
      </c>
      <c r="AU43" s="150" t="s">
        <v>846</v>
      </c>
      <c r="AV43" s="16" t="n">
        <v>1</v>
      </c>
    </row>
    <row r="44" customFormat="false" ht="12.8" hidden="true" customHeight="false" outlineLevel="0" collapsed="false">
      <c r="A44" s="16" t="s">
        <v>52</v>
      </c>
      <c r="B44" s="17" t="s">
        <v>81</v>
      </c>
      <c r="C44" s="17" t="s">
        <v>185</v>
      </c>
      <c r="D44" s="16" t="s">
        <v>187</v>
      </c>
      <c r="E44" s="156" t="s">
        <v>87</v>
      </c>
      <c r="F44" s="16" t="s">
        <v>188</v>
      </c>
      <c r="G44" s="186"/>
      <c r="H44" s="186"/>
      <c r="I44" s="16"/>
      <c r="J44" s="18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81"/>
      <c r="AH44" s="179" t="n">
        <f aca="false">AP44/60*(AM44+AN44)/AJ44/AK44/AL44</f>
        <v>0</v>
      </c>
      <c r="AI44" s="179" t="n">
        <f aca="false">AQ44/60*(AM44+AN44)/AJ44/AK44/AL44</f>
        <v>0</v>
      </c>
      <c r="AJ44" s="141" t="n">
        <v>1</v>
      </c>
      <c r="AK44" s="141" t="n">
        <v>1</v>
      </c>
      <c r="AL44" s="141" t="n">
        <v>1</v>
      </c>
      <c r="AM44" s="141" t="n">
        <v>0</v>
      </c>
      <c r="AN44" s="141" t="n">
        <v>1</v>
      </c>
      <c r="AO44" s="179" t="n">
        <f aca="false">AG44*AJ44*AK44*AL44/(AM44+AN44)*60</f>
        <v>0</v>
      </c>
      <c r="AP44" s="181" t="n">
        <v>0</v>
      </c>
      <c r="AQ44" s="181" t="n">
        <v>0</v>
      </c>
      <c r="AR44" s="16"/>
      <c r="AS44" s="51"/>
      <c r="AT44" s="16"/>
      <c r="AU44" s="16"/>
      <c r="AV44" s="16"/>
    </row>
    <row r="45" customFormat="false" ht="12.8" hidden="true" customHeight="false" outlineLevel="0" collapsed="false">
      <c r="A45" s="16" t="s">
        <v>52</v>
      </c>
      <c r="B45" s="17" t="s">
        <v>81</v>
      </c>
      <c r="C45" s="17" t="s">
        <v>185</v>
      </c>
      <c r="D45" s="16" t="s">
        <v>162</v>
      </c>
      <c r="E45" s="156" t="s">
        <v>88</v>
      </c>
      <c r="F45" s="16" t="s">
        <v>163</v>
      </c>
      <c r="G45" s="186"/>
      <c r="H45" s="186"/>
      <c r="I45" s="16"/>
      <c r="J45" s="18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81"/>
      <c r="AH45" s="179" t="n">
        <f aca="false">AP45/60*(AM45+AN45)/AJ45/AK45/AL45</f>
        <v>0</v>
      </c>
      <c r="AI45" s="179" t="n">
        <f aca="false">AQ45/60*(AM45+AN45)/AJ45/AK45/AL45</f>
        <v>0</v>
      </c>
      <c r="AJ45" s="141" t="n">
        <v>1</v>
      </c>
      <c r="AK45" s="141" t="n">
        <v>1</v>
      </c>
      <c r="AL45" s="141" t="n">
        <v>1</v>
      </c>
      <c r="AM45" s="141" t="n">
        <v>0</v>
      </c>
      <c r="AN45" s="141" t="n">
        <v>1</v>
      </c>
      <c r="AO45" s="179" t="n">
        <f aca="false">AG45*AJ45*AK45*AL45/(AM45+AN45)*60</f>
        <v>0</v>
      </c>
      <c r="AP45" s="181" t="n">
        <v>0</v>
      </c>
      <c r="AQ45" s="181" t="n">
        <v>0</v>
      </c>
      <c r="AR45" s="16"/>
      <c r="AS45" s="51"/>
      <c r="AT45" s="16"/>
      <c r="AU45" s="16"/>
      <c r="AV45" s="16"/>
    </row>
    <row r="46" customFormat="false" ht="12.8" hidden="true" customHeight="false" outlineLevel="0" collapsed="false">
      <c r="A46" s="16" t="s">
        <v>52</v>
      </c>
      <c r="B46" s="17" t="s">
        <v>81</v>
      </c>
      <c r="C46" s="17" t="s">
        <v>171</v>
      </c>
      <c r="D46" s="16" t="s">
        <v>172</v>
      </c>
      <c r="E46" s="156" t="s">
        <v>89</v>
      </c>
      <c r="F46" s="16" t="s">
        <v>139</v>
      </c>
      <c r="G46" s="154" t="s">
        <v>907</v>
      </c>
      <c r="H46" s="154" t="s">
        <v>843</v>
      </c>
      <c r="I46" s="17" t="s">
        <v>92</v>
      </c>
      <c r="J46" s="154" t="s">
        <v>645</v>
      </c>
      <c r="K46" s="16"/>
      <c r="L46" s="16"/>
      <c r="M46" s="16"/>
      <c r="N46" s="16"/>
      <c r="O46" s="16"/>
      <c r="P46" s="16"/>
      <c r="Q46" s="17" t="s">
        <v>92</v>
      </c>
      <c r="R46" s="16"/>
      <c r="S46" s="16"/>
      <c r="T46" s="185"/>
      <c r="U46" s="16" t="n">
        <v>1</v>
      </c>
      <c r="V46" s="16" t="n">
        <v>2</v>
      </c>
      <c r="W46" s="16" t="n">
        <v>3</v>
      </c>
      <c r="X46" s="16" t="n">
        <v>4</v>
      </c>
      <c r="Y46" s="16"/>
      <c r="Z46" s="16"/>
      <c r="AA46" s="16"/>
      <c r="AB46" s="16"/>
      <c r="AC46" s="16"/>
      <c r="AD46" s="16"/>
      <c r="AE46" s="127" t="s">
        <v>44</v>
      </c>
      <c r="AF46" s="17" t="s">
        <v>844</v>
      </c>
      <c r="AG46" s="181" t="n">
        <v>15</v>
      </c>
      <c r="AH46" s="179" t="n">
        <f aca="false">AP46/60*(AM46+AN46)/AJ46/AK46/AL46</f>
        <v>0</v>
      </c>
      <c r="AI46" s="179" t="n">
        <f aca="false">AQ46/60*(AM46+AN46)/AJ46/AK46/AL46</f>
        <v>0</v>
      </c>
      <c r="AJ46" s="141" t="n">
        <v>2</v>
      </c>
      <c r="AK46" s="141" t="n">
        <v>2</v>
      </c>
      <c r="AL46" s="141" t="n">
        <v>1</v>
      </c>
      <c r="AM46" s="141" t="n">
        <v>0</v>
      </c>
      <c r="AN46" s="141" t="n">
        <v>5</v>
      </c>
      <c r="AO46" s="179" t="n">
        <f aca="false">AG46*AJ46*AK46*AL46/(AM46+AN46)*60</f>
        <v>0</v>
      </c>
      <c r="AP46" s="181" t="n">
        <v>576</v>
      </c>
      <c r="AQ46" s="181" t="n">
        <v>28</v>
      </c>
      <c r="AR46" s="17" t="s">
        <v>20</v>
      </c>
      <c r="AS46" s="51" t="n">
        <v>0.06</v>
      </c>
      <c r="AT46" s="148" t="s">
        <v>845</v>
      </c>
      <c r="AU46" s="150" t="s">
        <v>846</v>
      </c>
      <c r="AV46" s="16" t="n">
        <v>1</v>
      </c>
    </row>
    <row r="47" customFormat="false" ht="12.8" hidden="true" customHeight="false" outlineLevel="0" collapsed="false">
      <c r="A47" s="16" t="s">
        <v>52</v>
      </c>
      <c r="B47" s="17" t="s">
        <v>81</v>
      </c>
      <c r="C47" s="16" t="s">
        <v>171</v>
      </c>
      <c r="D47" s="16" t="s">
        <v>173</v>
      </c>
      <c r="E47" s="156" t="s">
        <v>87</v>
      </c>
      <c r="F47" s="16" t="s">
        <v>163</v>
      </c>
      <c r="G47" s="186"/>
      <c r="H47" s="186"/>
      <c r="I47" s="16"/>
      <c r="J47" s="18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81"/>
      <c r="AH47" s="179" t="n">
        <f aca="false">AP47/60*(AM47+AN47)/AJ47/AK47/AL47</f>
        <v>0</v>
      </c>
      <c r="AI47" s="179" t="n">
        <f aca="false">AQ47/60*(AM47+AN47)/AJ47/AK47/AL47</f>
        <v>0</v>
      </c>
      <c r="AJ47" s="141" t="n">
        <v>1</v>
      </c>
      <c r="AK47" s="141" t="n">
        <v>1</v>
      </c>
      <c r="AL47" s="141" t="n">
        <v>1</v>
      </c>
      <c r="AM47" s="141" t="n">
        <v>0</v>
      </c>
      <c r="AN47" s="141" t="n">
        <v>1</v>
      </c>
      <c r="AO47" s="179" t="n">
        <f aca="false">AG47*AJ47*AK47*AL47/(AM47+AN47)*60</f>
        <v>0</v>
      </c>
      <c r="AP47" s="181" t="n">
        <v>0</v>
      </c>
      <c r="AQ47" s="181" t="n">
        <v>0</v>
      </c>
      <c r="AR47" s="16"/>
      <c r="AS47" s="51"/>
      <c r="AT47" s="16"/>
      <c r="AU47" s="16"/>
      <c r="AV47" s="16"/>
    </row>
    <row r="48" customFormat="false" ht="12.8" hidden="true" customHeight="false" outlineLevel="0" collapsed="false">
      <c r="A48" s="16" t="s">
        <v>52</v>
      </c>
      <c r="B48" s="17" t="s">
        <v>158</v>
      </c>
      <c r="C48" s="16" t="s">
        <v>159</v>
      </c>
      <c r="D48" s="16" t="s">
        <v>160</v>
      </c>
      <c r="E48" s="156" t="s">
        <v>89</v>
      </c>
      <c r="F48" s="16" t="s">
        <v>116</v>
      </c>
      <c r="G48" s="154" t="s">
        <v>908</v>
      </c>
      <c r="H48" s="154" t="s">
        <v>909</v>
      </c>
      <c r="I48" s="17" t="s">
        <v>92</v>
      </c>
      <c r="J48" s="154" t="s">
        <v>653</v>
      </c>
      <c r="K48" s="148" t="s">
        <v>92</v>
      </c>
      <c r="L48" s="150"/>
      <c r="M48" s="17" t="s">
        <v>92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 t="n">
        <v>1</v>
      </c>
      <c r="AA48" s="16"/>
      <c r="AB48" s="16" t="n">
        <v>2</v>
      </c>
      <c r="AC48" s="16" t="n">
        <v>3</v>
      </c>
      <c r="AD48" s="16"/>
      <c r="AE48" s="17" t="s">
        <v>46</v>
      </c>
      <c r="AF48" s="17" t="s">
        <v>844</v>
      </c>
      <c r="AG48" s="181" t="n">
        <v>370</v>
      </c>
      <c r="AH48" s="179" t="n">
        <f aca="false">AP48/60*(AM48+AN48)/AJ48/AK48/AL48</f>
        <v>0</v>
      </c>
      <c r="AI48" s="179" t="n">
        <f aca="false">AQ48/60*(AM48+AN48)/AJ48/AK48/AL48</f>
        <v>0</v>
      </c>
      <c r="AJ48" s="141" t="n">
        <v>1</v>
      </c>
      <c r="AK48" s="141" t="n">
        <v>1</v>
      </c>
      <c r="AL48" s="141" t="n">
        <v>1</v>
      </c>
      <c r="AM48" s="141" t="n">
        <v>0</v>
      </c>
      <c r="AN48" s="141" t="n">
        <v>7</v>
      </c>
      <c r="AO48" s="179" t="n">
        <f aca="false">AG48*AJ48*AK48*AL48/(AM48+AN48)*60</f>
        <v>0</v>
      </c>
      <c r="AP48" s="181" t="n">
        <v>0</v>
      </c>
      <c r="AQ48" s="181" t="n">
        <v>951</v>
      </c>
      <c r="AR48" s="16"/>
      <c r="AS48" s="51"/>
      <c r="AT48" s="16"/>
      <c r="AU48" s="16"/>
      <c r="AV48" s="16"/>
    </row>
    <row r="49" customFormat="false" ht="12.8" hidden="true" customHeight="false" outlineLevel="0" collapsed="false">
      <c r="A49" s="16" t="s">
        <v>52</v>
      </c>
      <c r="B49" s="17" t="s">
        <v>158</v>
      </c>
      <c r="C49" s="16" t="s">
        <v>159</v>
      </c>
      <c r="D49" s="16" t="s">
        <v>160</v>
      </c>
      <c r="E49" s="156" t="s">
        <v>89</v>
      </c>
      <c r="F49" s="16" t="s">
        <v>116</v>
      </c>
      <c r="G49" s="154" t="s">
        <v>910</v>
      </c>
      <c r="H49" s="154" t="s">
        <v>893</v>
      </c>
      <c r="I49" s="17" t="s">
        <v>92</v>
      </c>
      <c r="J49" s="154" t="s">
        <v>656</v>
      </c>
      <c r="K49" s="150"/>
      <c r="L49" s="150"/>
      <c r="M49" s="16"/>
      <c r="N49" s="16"/>
      <c r="O49" s="16"/>
      <c r="P49" s="16"/>
      <c r="Q49" s="17" t="s">
        <v>92</v>
      </c>
      <c r="R49" s="16"/>
      <c r="S49" s="16"/>
      <c r="T49" s="185"/>
      <c r="U49" s="16" t="n">
        <v>1</v>
      </c>
      <c r="V49" s="16" t="n">
        <v>2</v>
      </c>
      <c r="W49" s="16" t="n">
        <v>3</v>
      </c>
      <c r="X49" s="16" t="n">
        <v>4</v>
      </c>
      <c r="Y49" s="16"/>
      <c r="Z49" s="16"/>
      <c r="AA49" s="16"/>
      <c r="AB49" s="16"/>
      <c r="AC49" s="16"/>
      <c r="AD49" s="16"/>
      <c r="AE49" s="127" t="s">
        <v>44</v>
      </c>
      <c r="AF49" s="17" t="s">
        <v>844</v>
      </c>
      <c r="AG49" s="184" t="n">
        <v>24</v>
      </c>
      <c r="AH49" s="179" t="n">
        <f aca="false">AP49/60*(AM49+AN49)/AJ49/AK49/AL49</f>
        <v>0</v>
      </c>
      <c r="AI49" s="179" t="n">
        <f aca="false">AQ49/60*(AM49+AN49)/AJ49/AK49/AL49</f>
        <v>0</v>
      </c>
      <c r="AJ49" s="141" t="n">
        <v>2</v>
      </c>
      <c r="AK49" s="141" t="n">
        <v>1</v>
      </c>
      <c r="AL49" s="141" t="n">
        <v>3</v>
      </c>
      <c r="AM49" s="141" t="n">
        <v>3</v>
      </c>
      <c r="AN49" s="141" t="n">
        <v>3</v>
      </c>
      <c r="AO49" s="183" t="n">
        <f aca="false">AG49*AJ49*AK49*AL49/(AM49+AN49)*60</f>
        <v>0</v>
      </c>
      <c r="AP49" s="181" t="n">
        <v>1194</v>
      </c>
      <c r="AQ49" s="181" t="n">
        <v>0</v>
      </c>
      <c r="AR49" s="16"/>
      <c r="AS49" s="51"/>
      <c r="AT49" s="16"/>
      <c r="AU49" s="16"/>
      <c r="AV49" s="16"/>
    </row>
    <row r="50" customFormat="false" ht="12.8" hidden="true" customHeight="false" outlineLevel="0" collapsed="false">
      <c r="A50" s="16" t="s">
        <v>52</v>
      </c>
      <c r="B50" s="16" t="s">
        <v>158</v>
      </c>
      <c r="C50" s="16" t="s">
        <v>159</v>
      </c>
      <c r="D50" s="16" t="s">
        <v>161</v>
      </c>
      <c r="E50" s="156" t="s">
        <v>87</v>
      </c>
      <c r="F50" s="16" t="s">
        <v>126</v>
      </c>
      <c r="G50" s="186"/>
      <c r="H50" s="186"/>
      <c r="I50" s="16"/>
      <c r="J50" s="18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81"/>
      <c r="AH50" s="179" t="n">
        <f aca="false">AP50/60*(AM50+AN50)/AJ50/AK50/AL50</f>
        <v>0</v>
      </c>
      <c r="AI50" s="179" t="n">
        <f aca="false">AQ50/60*(AM50+AN50)/AJ50/AK50/AL50</f>
        <v>0</v>
      </c>
      <c r="AJ50" s="141" t="n">
        <v>1</v>
      </c>
      <c r="AK50" s="141" t="n">
        <v>1</v>
      </c>
      <c r="AL50" s="141" t="n">
        <v>1</v>
      </c>
      <c r="AM50" s="141" t="n">
        <v>0</v>
      </c>
      <c r="AN50" s="141" t="n">
        <v>1</v>
      </c>
      <c r="AO50" s="179" t="n">
        <f aca="false">AG50*AJ50*AK50*AL50/(AM50+AN50)*60</f>
        <v>0</v>
      </c>
      <c r="AP50" s="181" t="n">
        <v>0</v>
      </c>
      <c r="AQ50" s="181" t="n">
        <v>0</v>
      </c>
      <c r="AR50" s="16"/>
      <c r="AS50" s="51"/>
      <c r="AT50" s="16"/>
      <c r="AU50" s="16"/>
      <c r="AV50" s="16"/>
    </row>
    <row r="51" customFormat="false" ht="12.8" hidden="true" customHeight="false" outlineLevel="0" collapsed="false">
      <c r="A51" s="16" t="s">
        <v>52</v>
      </c>
      <c r="B51" s="16" t="s">
        <v>158</v>
      </c>
      <c r="C51" s="16" t="s">
        <v>159</v>
      </c>
      <c r="D51" s="16" t="s">
        <v>162</v>
      </c>
      <c r="E51" s="156" t="s">
        <v>88</v>
      </c>
      <c r="F51" s="16" t="s">
        <v>163</v>
      </c>
      <c r="G51" s="186"/>
      <c r="H51" s="186"/>
      <c r="I51" s="16"/>
      <c r="J51" s="18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81"/>
      <c r="AH51" s="179" t="n">
        <f aca="false">AP51/60*(AM51+AN51)/AJ51/AK51/AL51</f>
        <v>0</v>
      </c>
      <c r="AI51" s="179" t="n">
        <f aca="false">AQ51/60*(AM51+AN51)/AJ51/AK51/AL51</f>
        <v>0</v>
      </c>
      <c r="AJ51" s="141" t="n">
        <v>1</v>
      </c>
      <c r="AK51" s="141" t="n">
        <v>1</v>
      </c>
      <c r="AL51" s="141" t="n">
        <v>1</v>
      </c>
      <c r="AM51" s="141" t="n">
        <v>0</v>
      </c>
      <c r="AN51" s="141" t="n">
        <v>1</v>
      </c>
      <c r="AO51" s="179" t="n">
        <f aca="false">AG51*AJ51*AK51*AL51/(AM51+AN51)*60</f>
        <v>0</v>
      </c>
      <c r="AP51" s="181" t="n">
        <v>0</v>
      </c>
      <c r="AQ51" s="181" t="n">
        <v>0</v>
      </c>
      <c r="AR51" s="16"/>
      <c r="AS51" s="51"/>
      <c r="AT51" s="16"/>
      <c r="AU51" s="16"/>
      <c r="AV51" s="16"/>
    </row>
    <row r="52" customFormat="false" ht="12.8" hidden="true" customHeight="false" outlineLevel="0" collapsed="false">
      <c r="A52" s="16" t="s">
        <v>52</v>
      </c>
      <c r="B52" s="17" t="s">
        <v>81</v>
      </c>
      <c r="C52" s="17" t="s">
        <v>174</v>
      </c>
      <c r="D52" s="16" t="s">
        <v>175</v>
      </c>
      <c r="E52" s="156" t="s">
        <v>89</v>
      </c>
      <c r="F52" s="16" t="s">
        <v>176</v>
      </c>
      <c r="G52" s="154" t="s">
        <v>911</v>
      </c>
      <c r="H52" s="154" t="s">
        <v>652</v>
      </c>
      <c r="I52" s="17" t="s">
        <v>92</v>
      </c>
      <c r="J52" s="154" t="s">
        <v>671</v>
      </c>
      <c r="K52" s="17" t="s">
        <v>92</v>
      </c>
      <c r="L52" s="130"/>
      <c r="M52" s="16"/>
      <c r="N52" s="16"/>
      <c r="O52" s="16"/>
      <c r="P52" s="16"/>
      <c r="Q52" s="16"/>
      <c r="R52" s="16"/>
      <c r="S52" s="16"/>
      <c r="T52" s="17" t="s">
        <v>92</v>
      </c>
      <c r="U52" s="16"/>
      <c r="V52" s="16"/>
      <c r="W52" s="16" t="n">
        <v>1</v>
      </c>
      <c r="X52" s="16" t="n">
        <v>2</v>
      </c>
      <c r="Y52" s="16"/>
      <c r="Z52" s="16" t="n">
        <v>3</v>
      </c>
      <c r="AA52" s="16"/>
      <c r="AB52" s="16" t="n">
        <v>4</v>
      </c>
      <c r="AC52" s="16" t="n">
        <v>5</v>
      </c>
      <c r="AD52" s="16"/>
      <c r="AE52" s="17" t="s">
        <v>652</v>
      </c>
      <c r="AF52" s="17" t="s">
        <v>844</v>
      </c>
      <c r="AG52" s="181" t="n">
        <v>320</v>
      </c>
      <c r="AH52" s="179" t="n">
        <f aca="false">AP52/60*(AM52+AN52)/AJ52/AK52/AL52</f>
        <v>0</v>
      </c>
      <c r="AI52" s="179" t="n">
        <f aca="false">AQ52/60*(AM52+AN52)/AJ52/AK52/AL52</f>
        <v>0</v>
      </c>
      <c r="AJ52" s="141" t="n">
        <v>1</v>
      </c>
      <c r="AK52" s="141" t="n">
        <v>1</v>
      </c>
      <c r="AL52" s="141" t="n">
        <v>2</v>
      </c>
      <c r="AM52" s="141" t="n">
        <v>0</v>
      </c>
      <c r="AN52" s="141" t="n">
        <v>12</v>
      </c>
      <c r="AO52" s="179" t="n">
        <f aca="false">AG52*AJ52*AK52*AL52/(AM52+AN52)*60</f>
        <v>0</v>
      </c>
      <c r="AP52" s="181" t="n">
        <v>0</v>
      </c>
      <c r="AQ52" s="181" t="n">
        <v>608</v>
      </c>
      <c r="AR52" s="16"/>
      <c r="AS52" s="51"/>
      <c r="AT52" s="16"/>
      <c r="AU52" s="16"/>
      <c r="AV52" s="16"/>
    </row>
    <row r="53" customFormat="false" ht="12.8" hidden="true" customHeight="false" outlineLevel="0" collapsed="false">
      <c r="A53" s="16" t="s">
        <v>52</v>
      </c>
      <c r="B53" s="17" t="s">
        <v>81</v>
      </c>
      <c r="C53" s="17" t="s">
        <v>174</v>
      </c>
      <c r="D53" s="16" t="s">
        <v>175</v>
      </c>
      <c r="E53" s="156" t="s">
        <v>89</v>
      </c>
      <c r="F53" s="16" t="s">
        <v>176</v>
      </c>
      <c r="G53" s="154" t="s">
        <v>912</v>
      </c>
      <c r="H53" s="154" t="s">
        <v>843</v>
      </c>
      <c r="I53" s="17" t="s">
        <v>92</v>
      </c>
      <c r="J53" s="154" t="s">
        <v>675</v>
      </c>
      <c r="K53" s="16"/>
      <c r="L53" s="16"/>
      <c r="M53" s="16"/>
      <c r="N53" s="16"/>
      <c r="O53" s="16"/>
      <c r="P53" s="16"/>
      <c r="Q53" s="17" t="s">
        <v>92</v>
      </c>
      <c r="R53" s="16"/>
      <c r="S53" s="16"/>
      <c r="T53" s="16"/>
      <c r="U53" s="16" t="n">
        <v>1</v>
      </c>
      <c r="V53" s="16" t="n">
        <v>2</v>
      </c>
      <c r="W53" s="16" t="n">
        <v>3</v>
      </c>
      <c r="X53" s="16" t="n">
        <v>4</v>
      </c>
      <c r="Y53" s="16"/>
      <c r="Z53" s="16"/>
      <c r="AA53" s="16"/>
      <c r="AB53" s="16"/>
      <c r="AC53" s="16"/>
      <c r="AD53" s="16"/>
      <c r="AE53" s="17" t="s">
        <v>44</v>
      </c>
      <c r="AF53" s="17" t="s">
        <v>844</v>
      </c>
      <c r="AG53" s="181" t="n">
        <v>10</v>
      </c>
      <c r="AH53" s="179" t="n">
        <f aca="false">AP53/60*(AM53+AN53)/AJ53/AK53/AL53</f>
        <v>0</v>
      </c>
      <c r="AI53" s="179" t="n">
        <f aca="false">AQ53/60*(AM53+AN53)/AJ53/AK53/AL53</f>
        <v>0</v>
      </c>
      <c r="AJ53" s="141" t="n">
        <v>3</v>
      </c>
      <c r="AK53" s="141" t="n">
        <v>2</v>
      </c>
      <c r="AL53" s="141" t="n">
        <v>1</v>
      </c>
      <c r="AM53" s="141" t="n">
        <v>0</v>
      </c>
      <c r="AN53" s="141" t="n">
        <v>5</v>
      </c>
      <c r="AO53" s="179" t="n">
        <f aca="false">AG53*AJ53*AK53*AL53/(AM53+AN53)*60</f>
        <v>0</v>
      </c>
      <c r="AP53" s="181" t="n">
        <v>504</v>
      </c>
      <c r="AQ53" s="181" t="n">
        <v>50</v>
      </c>
      <c r="AR53" s="16"/>
      <c r="AS53" s="51"/>
      <c r="AT53" s="16"/>
      <c r="AU53" s="16"/>
      <c r="AV53" s="16"/>
    </row>
    <row r="54" customFormat="false" ht="12.8" hidden="true" customHeight="false" outlineLevel="0" collapsed="false">
      <c r="A54" s="16" t="s">
        <v>52</v>
      </c>
      <c r="B54" s="17" t="s">
        <v>81</v>
      </c>
      <c r="C54" s="16" t="s">
        <v>174</v>
      </c>
      <c r="D54" s="16" t="s">
        <v>177</v>
      </c>
      <c r="E54" s="156" t="s">
        <v>87</v>
      </c>
      <c r="F54" s="16" t="s">
        <v>178</v>
      </c>
      <c r="G54" s="186"/>
      <c r="H54" s="186"/>
      <c r="I54" s="16"/>
      <c r="J54" s="18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81"/>
      <c r="AH54" s="179" t="n">
        <f aca="false">AP54/60*(AM54+AN54)/AJ54/AK54/AL54</f>
        <v>0</v>
      </c>
      <c r="AI54" s="179" t="n">
        <f aca="false">AQ54/60*(AM54+AN54)/AJ54/AK54/AL54</f>
        <v>0</v>
      </c>
      <c r="AJ54" s="141" t="n">
        <v>1</v>
      </c>
      <c r="AK54" s="141" t="n">
        <v>1</v>
      </c>
      <c r="AL54" s="141" t="n">
        <v>1</v>
      </c>
      <c r="AM54" s="141" t="n">
        <v>0</v>
      </c>
      <c r="AN54" s="141" t="n">
        <v>1</v>
      </c>
      <c r="AO54" s="179" t="n">
        <f aca="false">AG54*AJ54*AK54*AL54/(AM54+AN54)*60</f>
        <v>0</v>
      </c>
      <c r="AP54" s="181" t="n">
        <v>0</v>
      </c>
      <c r="AQ54" s="181" t="n">
        <v>0</v>
      </c>
      <c r="AR54" s="16"/>
      <c r="AS54" s="51"/>
      <c r="AT54" s="16"/>
      <c r="AU54" s="16"/>
      <c r="AV54" s="16"/>
    </row>
    <row r="55" customFormat="false" ht="12.8" hidden="true" customHeight="false" outlineLevel="0" collapsed="false">
      <c r="A55" s="16" t="s">
        <v>52</v>
      </c>
      <c r="B55" s="17" t="s">
        <v>81</v>
      </c>
      <c r="C55" s="16" t="s">
        <v>174</v>
      </c>
      <c r="D55" s="16" t="s">
        <v>179</v>
      </c>
      <c r="E55" s="156" t="s">
        <v>88</v>
      </c>
      <c r="F55" s="16" t="s">
        <v>180</v>
      </c>
      <c r="G55" s="186"/>
      <c r="H55" s="186"/>
      <c r="I55" s="16"/>
      <c r="J55" s="18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81"/>
      <c r="AH55" s="179" t="n">
        <f aca="false">AP55/60*(AM55+AN55)/AJ55/AK55/AL55</f>
        <v>0</v>
      </c>
      <c r="AI55" s="179" t="n">
        <f aca="false">AQ55/60*(AM55+AN55)/AJ55/AK55/AL55</f>
        <v>0</v>
      </c>
      <c r="AJ55" s="141" t="n">
        <v>1</v>
      </c>
      <c r="AK55" s="141" t="n">
        <v>1</v>
      </c>
      <c r="AL55" s="141" t="n">
        <v>1</v>
      </c>
      <c r="AM55" s="141" t="n">
        <v>0</v>
      </c>
      <c r="AN55" s="141" t="n">
        <v>1</v>
      </c>
      <c r="AO55" s="179" t="n">
        <f aca="false">AG55*AJ55*AK55*AL55/(AM55+AN55)*60</f>
        <v>0</v>
      </c>
      <c r="AP55" s="181" t="n">
        <v>0</v>
      </c>
      <c r="AQ55" s="181" t="n">
        <v>0</v>
      </c>
      <c r="AR55" s="16"/>
      <c r="AS55" s="51"/>
      <c r="AT55" s="16"/>
      <c r="AU55" s="16"/>
      <c r="AV55" s="16"/>
    </row>
    <row r="56" customFormat="false" ht="12.8" hidden="true" customHeight="false" outlineLevel="0" collapsed="false">
      <c r="A56" s="16" t="s">
        <v>52</v>
      </c>
      <c r="B56" s="17" t="s">
        <v>98</v>
      </c>
      <c r="C56" s="16" t="s">
        <v>140</v>
      </c>
      <c r="D56" s="16" t="s">
        <v>141</v>
      </c>
      <c r="E56" s="156" t="s">
        <v>89</v>
      </c>
      <c r="F56" s="16" t="s">
        <v>116</v>
      </c>
      <c r="G56" s="154" t="s">
        <v>913</v>
      </c>
      <c r="H56" s="154" t="s">
        <v>914</v>
      </c>
      <c r="I56" s="17" t="s">
        <v>92</v>
      </c>
      <c r="J56" s="154" t="s">
        <v>629</v>
      </c>
      <c r="K56" s="17" t="s">
        <v>92</v>
      </c>
      <c r="L56" s="130"/>
      <c r="M56" s="16"/>
      <c r="N56" s="16"/>
      <c r="O56" s="16"/>
      <c r="P56" s="16"/>
      <c r="Q56" s="17" t="s">
        <v>92</v>
      </c>
      <c r="R56" s="16"/>
      <c r="S56" s="17" t="s">
        <v>92</v>
      </c>
      <c r="T56" s="16"/>
      <c r="U56" s="16" t="n">
        <v>1</v>
      </c>
      <c r="V56" s="16" t="n">
        <v>2</v>
      </c>
      <c r="W56" s="16" t="n">
        <v>3</v>
      </c>
      <c r="X56" s="16" t="n">
        <v>4</v>
      </c>
      <c r="Y56" s="16"/>
      <c r="Z56" s="16"/>
      <c r="AA56" s="16"/>
      <c r="AB56" s="16"/>
      <c r="AC56" s="16"/>
      <c r="AD56" s="16"/>
      <c r="AE56" s="17" t="s">
        <v>46</v>
      </c>
      <c r="AF56" s="17" t="s">
        <v>844</v>
      </c>
      <c r="AG56" s="181" t="n">
        <v>35</v>
      </c>
      <c r="AH56" s="179" t="n">
        <f aca="false">AP56/60*(AM56+AN56)/AJ56/AK56/AL56</f>
        <v>0</v>
      </c>
      <c r="AI56" s="179" t="n">
        <f aca="false">AQ56/60*(AM56+AN56)/AJ56/AK56/AL56</f>
        <v>0</v>
      </c>
      <c r="AJ56" s="141" t="n">
        <v>2</v>
      </c>
      <c r="AK56" s="141" t="n">
        <v>4</v>
      </c>
      <c r="AL56" s="141" t="n">
        <v>5</v>
      </c>
      <c r="AM56" s="141" t="n">
        <v>10</v>
      </c>
      <c r="AN56" s="141" t="n">
        <v>20</v>
      </c>
      <c r="AO56" s="179" t="n">
        <f aca="false">AG56*AJ56*AK56*AL56/(AM56+AN56)*60</f>
        <v>0</v>
      </c>
      <c r="AP56" s="181" t="n">
        <v>313</v>
      </c>
      <c r="AQ56" s="181" t="n">
        <v>280</v>
      </c>
      <c r="AR56" s="17" t="s">
        <v>20</v>
      </c>
      <c r="AS56" s="51" t="n">
        <v>0.04</v>
      </c>
      <c r="AT56" s="17" t="s">
        <v>915</v>
      </c>
      <c r="AU56" s="150" t="s">
        <v>846</v>
      </c>
      <c r="AV56" s="16" t="n">
        <v>2</v>
      </c>
    </row>
    <row r="57" customFormat="false" ht="12.8" hidden="true" customHeight="false" outlineLevel="0" collapsed="false">
      <c r="A57" s="16" t="s">
        <v>52</v>
      </c>
      <c r="B57" s="17" t="s">
        <v>98</v>
      </c>
      <c r="C57" s="16" t="s">
        <v>140</v>
      </c>
      <c r="D57" s="16" t="s">
        <v>141</v>
      </c>
      <c r="E57" s="156" t="s">
        <v>89</v>
      </c>
      <c r="F57" s="16" t="s">
        <v>116</v>
      </c>
      <c r="G57" s="157" t="s">
        <v>916</v>
      </c>
      <c r="H57" s="154" t="s">
        <v>843</v>
      </c>
      <c r="I57" s="17" t="s">
        <v>92</v>
      </c>
      <c r="J57" s="154" t="s">
        <v>587</v>
      </c>
      <c r="K57" s="16"/>
      <c r="L57" s="16"/>
      <c r="M57" s="16"/>
      <c r="N57" s="16"/>
      <c r="O57" s="16"/>
      <c r="P57" s="16"/>
      <c r="Q57" s="17" t="s">
        <v>92</v>
      </c>
      <c r="R57" s="16"/>
      <c r="S57" s="16"/>
      <c r="T57" s="16"/>
      <c r="U57" s="16" t="n">
        <v>1</v>
      </c>
      <c r="V57" s="16" t="n">
        <v>2</v>
      </c>
      <c r="W57" s="16" t="n">
        <v>3</v>
      </c>
      <c r="X57" s="16" t="n">
        <v>4</v>
      </c>
      <c r="Y57" s="16"/>
      <c r="Z57" s="16"/>
      <c r="AA57" s="16"/>
      <c r="AB57" s="16"/>
      <c r="AC57" s="16"/>
      <c r="AD57" s="16"/>
      <c r="AE57" s="17" t="s">
        <v>44</v>
      </c>
      <c r="AF57" s="17" t="s">
        <v>844</v>
      </c>
      <c r="AG57" s="181" t="n">
        <v>10</v>
      </c>
      <c r="AH57" s="179" t="n">
        <f aca="false">AP57/60*(AM57+AN57)/AJ57/AK57/AL57</f>
        <v>0</v>
      </c>
      <c r="AI57" s="179" t="n">
        <f aca="false">AQ57/60*(AM57+AN57)/AJ57/AK57/AL57</f>
        <v>0</v>
      </c>
      <c r="AJ57" s="141" t="n">
        <v>3</v>
      </c>
      <c r="AK57" s="141" t="n">
        <v>2</v>
      </c>
      <c r="AL57" s="141" t="n">
        <v>1</v>
      </c>
      <c r="AM57" s="141" t="n">
        <v>0</v>
      </c>
      <c r="AN57" s="141" t="n">
        <v>5</v>
      </c>
      <c r="AO57" s="179" t="n">
        <f aca="false">AG57*AJ57*AK57*AL57/(AM57+AN57)*60</f>
        <v>0</v>
      </c>
      <c r="AP57" s="181" t="n">
        <v>403</v>
      </c>
      <c r="AQ57" s="181" t="n">
        <v>50</v>
      </c>
      <c r="AR57" s="17" t="s">
        <v>20</v>
      </c>
      <c r="AS57" s="51" t="n">
        <v>0.06</v>
      </c>
      <c r="AT57" s="148" t="s">
        <v>845</v>
      </c>
      <c r="AU57" s="150" t="s">
        <v>846</v>
      </c>
      <c r="AV57" s="16" t="n">
        <v>1</v>
      </c>
    </row>
    <row r="58" customFormat="false" ht="12.8" hidden="true" customHeight="false" outlineLevel="0" collapsed="false">
      <c r="A58" s="16" t="s">
        <v>52</v>
      </c>
      <c r="B58" s="16" t="s">
        <v>98</v>
      </c>
      <c r="C58" s="16" t="s">
        <v>140</v>
      </c>
      <c r="D58" s="16" t="s">
        <v>142</v>
      </c>
      <c r="E58" s="156" t="s">
        <v>87</v>
      </c>
      <c r="F58" s="16" t="s">
        <v>143</v>
      </c>
      <c r="G58" s="186"/>
      <c r="H58" s="186"/>
      <c r="I58" s="16"/>
      <c r="J58" s="18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81"/>
      <c r="AH58" s="179" t="n">
        <f aca="false">AP58/60*(AM58+AN58)/AJ58/AK58/AL58</f>
        <v>0</v>
      </c>
      <c r="AI58" s="179" t="n">
        <f aca="false">AQ58/60*(AM58+AN58)/AJ58/AK58/AL58</f>
        <v>0</v>
      </c>
      <c r="AJ58" s="141" t="n">
        <v>1</v>
      </c>
      <c r="AK58" s="141" t="n">
        <v>1</v>
      </c>
      <c r="AL58" s="141" t="n">
        <v>1</v>
      </c>
      <c r="AM58" s="141" t="n">
        <v>0</v>
      </c>
      <c r="AN58" s="141" t="n">
        <v>1</v>
      </c>
      <c r="AO58" s="179" t="n">
        <f aca="false">AG58*AJ58*AK58*AL58/(AM58+AN58)*60</f>
        <v>0</v>
      </c>
      <c r="AP58" s="181" t="n">
        <v>0</v>
      </c>
      <c r="AQ58" s="181" t="n">
        <v>0</v>
      </c>
      <c r="AR58" s="16"/>
      <c r="AS58" s="51"/>
      <c r="AT58" s="16"/>
      <c r="AU58" s="16"/>
      <c r="AV58" s="16"/>
    </row>
    <row r="59" customFormat="false" ht="12.8" hidden="true" customHeight="false" outlineLevel="0" collapsed="false">
      <c r="A59" s="16" t="s">
        <v>52</v>
      </c>
      <c r="B59" s="16" t="s">
        <v>98</v>
      </c>
      <c r="C59" s="16" t="s">
        <v>140</v>
      </c>
      <c r="D59" s="16" t="s">
        <v>144</v>
      </c>
      <c r="E59" s="156" t="s">
        <v>88</v>
      </c>
      <c r="F59" s="16" t="s">
        <v>145</v>
      </c>
      <c r="G59" s="186"/>
      <c r="H59" s="186"/>
      <c r="I59" s="16"/>
      <c r="J59" s="18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81"/>
      <c r="AH59" s="179" t="n">
        <f aca="false">AP59/60*(AM59+AN59)/AJ59/AK59/AL59</f>
        <v>0</v>
      </c>
      <c r="AI59" s="179" t="n">
        <f aca="false">AQ59/60*(AM59+AN59)/AJ59/AK59/AL59</f>
        <v>0</v>
      </c>
      <c r="AJ59" s="141" t="n">
        <v>1</v>
      </c>
      <c r="AK59" s="141" t="n">
        <v>1</v>
      </c>
      <c r="AL59" s="141" t="n">
        <v>1</v>
      </c>
      <c r="AM59" s="141" t="n">
        <v>0</v>
      </c>
      <c r="AN59" s="141" t="n">
        <v>1</v>
      </c>
      <c r="AO59" s="179" t="n">
        <f aca="false">AG59*AJ59*AK59*AL59/(AM59+AN59)*60</f>
        <v>0</v>
      </c>
      <c r="AP59" s="181" t="n">
        <v>0</v>
      </c>
      <c r="AQ59" s="181" t="n">
        <v>0</v>
      </c>
      <c r="AR59" s="16"/>
      <c r="AS59" s="51"/>
      <c r="AT59" s="16"/>
      <c r="AU59" s="16"/>
      <c r="AV59" s="16"/>
    </row>
    <row r="60" customFormat="false" ht="12.8" hidden="true" customHeight="false" outlineLevel="0" collapsed="false">
      <c r="A60" s="16" t="s">
        <v>52</v>
      </c>
      <c r="B60" s="16" t="s">
        <v>98</v>
      </c>
      <c r="C60" s="16" t="s">
        <v>132</v>
      </c>
      <c r="D60" s="16" t="s">
        <v>133</v>
      </c>
      <c r="E60" s="156" t="s">
        <v>89</v>
      </c>
      <c r="F60" s="16" t="s">
        <v>134</v>
      </c>
      <c r="G60" s="157" t="s">
        <v>917</v>
      </c>
      <c r="H60" s="154" t="s">
        <v>886</v>
      </c>
      <c r="I60" s="17" t="s">
        <v>92</v>
      </c>
      <c r="J60" s="154" t="s">
        <v>627</v>
      </c>
      <c r="K60" s="17" t="s">
        <v>92</v>
      </c>
      <c r="L60" s="130"/>
      <c r="M60" s="16"/>
      <c r="N60" s="16"/>
      <c r="O60" s="16"/>
      <c r="P60" s="16"/>
      <c r="Q60" s="17" t="s">
        <v>92</v>
      </c>
      <c r="R60" s="16"/>
      <c r="S60" s="16"/>
      <c r="T60" s="16"/>
      <c r="U60" s="16" t="n">
        <v>3</v>
      </c>
      <c r="V60" s="16" t="n">
        <v>4</v>
      </c>
      <c r="W60" s="16" t="n">
        <v>1</v>
      </c>
      <c r="X60" s="16" t="n">
        <v>2</v>
      </c>
      <c r="Y60" s="16"/>
      <c r="Z60" s="16"/>
      <c r="AA60" s="16"/>
      <c r="AB60" s="16"/>
      <c r="AC60" s="16"/>
      <c r="AD60" s="16"/>
      <c r="AE60" s="17" t="s">
        <v>44</v>
      </c>
      <c r="AF60" s="17" t="s">
        <v>844</v>
      </c>
      <c r="AG60" s="181" t="n">
        <v>35</v>
      </c>
      <c r="AH60" s="179" t="n">
        <f aca="false">AP60/60*(AM60+AN60)/AJ60/AK60/AL60</f>
        <v>0</v>
      </c>
      <c r="AI60" s="179" t="n">
        <f aca="false">AQ60/60*(AM60+AN60)/AJ60/AK60/AL60</f>
        <v>0</v>
      </c>
      <c r="AJ60" s="141" t="n">
        <v>2</v>
      </c>
      <c r="AK60" s="141" t="n">
        <v>1</v>
      </c>
      <c r="AL60" s="141" t="n">
        <v>3</v>
      </c>
      <c r="AM60" s="141" t="n">
        <v>3</v>
      </c>
      <c r="AN60" s="141" t="n">
        <v>5</v>
      </c>
      <c r="AO60" s="179" t="n">
        <f aca="false">AG60*AJ60*AK60*AL60/(AM60+AN60)*60</f>
        <v>0</v>
      </c>
      <c r="AP60" s="181" t="n">
        <v>352</v>
      </c>
      <c r="AQ60" s="181" t="n">
        <v>315</v>
      </c>
      <c r="AR60" s="17" t="s">
        <v>20</v>
      </c>
      <c r="AS60" s="51" t="n">
        <v>0.04</v>
      </c>
      <c r="AT60" s="148" t="s">
        <v>845</v>
      </c>
      <c r="AU60" s="150" t="s">
        <v>846</v>
      </c>
      <c r="AV60" s="16" t="n">
        <v>1</v>
      </c>
    </row>
    <row r="61" customFormat="false" ht="12.8" hidden="true" customHeight="false" outlineLevel="0" collapsed="false">
      <c r="A61" s="16" t="s">
        <v>52</v>
      </c>
      <c r="B61" s="16" t="s">
        <v>98</v>
      </c>
      <c r="C61" s="16" t="s">
        <v>132</v>
      </c>
      <c r="D61" s="16" t="s">
        <v>133</v>
      </c>
      <c r="E61" s="156" t="s">
        <v>89</v>
      </c>
      <c r="F61" s="16" t="s">
        <v>134</v>
      </c>
      <c r="G61" s="154" t="s">
        <v>892</v>
      </c>
      <c r="H61" s="154" t="s">
        <v>893</v>
      </c>
      <c r="I61" s="17" t="s">
        <v>92</v>
      </c>
      <c r="J61" s="154" t="s">
        <v>628</v>
      </c>
      <c r="K61" s="16"/>
      <c r="L61" s="16"/>
      <c r="M61" s="16"/>
      <c r="N61" s="16"/>
      <c r="O61" s="16"/>
      <c r="P61" s="16"/>
      <c r="Q61" s="17" t="s">
        <v>92</v>
      </c>
      <c r="R61" s="16"/>
      <c r="S61" s="16"/>
      <c r="T61" s="16"/>
      <c r="U61" s="16" t="n">
        <v>1</v>
      </c>
      <c r="V61" s="16" t="n">
        <v>2</v>
      </c>
      <c r="W61" s="16"/>
      <c r="X61" s="16"/>
      <c r="Y61" s="16"/>
      <c r="Z61" s="16"/>
      <c r="AA61" s="16"/>
      <c r="AB61" s="16"/>
      <c r="AC61" s="16"/>
      <c r="AD61" s="16"/>
      <c r="AE61" s="17" t="s">
        <v>44</v>
      </c>
      <c r="AF61" s="17" t="s">
        <v>844</v>
      </c>
      <c r="AG61" s="184" t="n">
        <v>0</v>
      </c>
      <c r="AH61" s="190" t="n">
        <f aca="false">AP61/60*(AM61+AN61)/AJ61/AK61/AL61</f>
        <v>0</v>
      </c>
      <c r="AI61" s="179" t="n">
        <f aca="false">AQ61/60*(AM61+AN61)/AJ61/AK61/AL61</f>
        <v>0</v>
      </c>
      <c r="AJ61" s="141" t="n">
        <v>2</v>
      </c>
      <c r="AK61" s="141" t="n">
        <v>1</v>
      </c>
      <c r="AL61" s="141" t="n">
        <v>6</v>
      </c>
      <c r="AM61" s="141" t="n">
        <v>6</v>
      </c>
      <c r="AN61" s="141" t="n">
        <v>4</v>
      </c>
      <c r="AO61" s="190" t="n">
        <f aca="false">AG61*AJ61*AK61*AL61/(AM61+AN61)*60</f>
        <v>0</v>
      </c>
      <c r="AP61" s="191" t="n">
        <v>1368</v>
      </c>
      <c r="AQ61" s="181" t="n">
        <v>0</v>
      </c>
      <c r="AR61" s="148" t="s">
        <v>21</v>
      </c>
      <c r="AS61" s="51" t="n">
        <v>0.06</v>
      </c>
      <c r="AT61" s="17" t="s">
        <v>874</v>
      </c>
      <c r="AU61" s="150" t="s">
        <v>846</v>
      </c>
      <c r="AV61" s="16" t="n">
        <v>1</v>
      </c>
    </row>
    <row r="62" customFormat="false" ht="12.8" hidden="true" customHeight="false" outlineLevel="0" collapsed="false">
      <c r="A62" s="16" t="s">
        <v>52</v>
      </c>
      <c r="B62" s="16" t="s">
        <v>98</v>
      </c>
      <c r="C62" s="16" t="s">
        <v>132</v>
      </c>
      <c r="D62" s="16" t="s">
        <v>136</v>
      </c>
      <c r="E62" s="156" t="s">
        <v>87</v>
      </c>
      <c r="F62" s="16" t="s">
        <v>137</v>
      </c>
      <c r="G62" s="186"/>
      <c r="H62" s="186"/>
      <c r="I62" s="16"/>
      <c r="J62" s="18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81"/>
      <c r="AH62" s="179" t="n">
        <f aca="false">AP62/60*(AM62+AN62)/AJ62/AK62/AL62</f>
        <v>0</v>
      </c>
      <c r="AI62" s="179" t="n">
        <f aca="false">AQ62/60*(AM62+AN62)/AJ62/AK62/AL62</f>
        <v>0</v>
      </c>
      <c r="AJ62" s="141" t="n">
        <v>1</v>
      </c>
      <c r="AK62" s="141" t="n">
        <v>1</v>
      </c>
      <c r="AL62" s="141" t="n">
        <v>1</v>
      </c>
      <c r="AM62" s="141" t="n">
        <v>0</v>
      </c>
      <c r="AN62" s="141" t="n">
        <v>1</v>
      </c>
      <c r="AO62" s="179" t="n">
        <f aca="false">AG62*AJ62*AK62*AL62/(AM62+AN62)*60</f>
        <v>0</v>
      </c>
      <c r="AP62" s="181" t="n">
        <v>0</v>
      </c>
      <c r="AQ62" s="181" t="n">
        <v>0</v>
      </c>
      <c r="AR62" s="16"/>
      <c r="AS62" s="51"/>
      <c r="AT62" s="16"/>
      <c r="AU62" s="16"/>
      <c r="AV62" s="16"/>
    </row>
    <row r="63" customFormat="false" ht="12.8" hidden="true" customHeight="false" outlineLevel="0" collapsed="false">
      <c r="A63" s="16" t="s">
        <v>52</v>
      </c>
      <c r="B63" s="16" t="s">
        <v>98</v>
      </c>
      <c r="C63" s="16" t="s">
        <v>132</v>
      </c>
      <c r="D63" s="16" t="s">
        <v>138</v>
      </c>
      <c r="E63" s="156" t="s">
        <v>88</v>
      </c>
      <c r="F63" s="17" t="s">
        <v>139</v>
      </c>
      <c r="G63" s="157"/>
      <c r="H63" s="157"/>
      <c r="I63" s="130"/>
      <c r="J63" s="154" t="s">
        <v>627</v>
      </c>
      <c r="K63" s="17" t="s">
        <v>92</v>
      </c>
      <c r="L63" s="130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30"/>
      <c r="AF63" s="130"/>
      <c r="AG63" s="181"/>
      <c r="AH63" s="179" t="n">
        <f aca="false">AP63/60*(AM63+AN63)/AJ63/AK63/AL63</f>
        <v>0</v>
      </c>
      <c r="AI63" s="179" t="n">
        <f aca="false">AQ63/60*(AM63+AN63)/AJ63/AK63/AL63</f>
        <v>0</v>
      </c>
      <c r="AJ63" s="141" t="n">
        <v>1</v>
      </c>
      <c r="AK63" s="141" t="n">
        <v>1</v>
      </c>
      <c r="AL63" s="141" t="n">
        <v>1</v>
      </c>
      <c r="AM63" s="141" t="n">
        <v>0</v>
      </c>
      <c r="AN63" s="141" t="n">
        <v>1</v>
      </c>
      <c r="AO63" s="179" t="n">
        <f aca="false">AG63*AJ63*AK63*AL63/(AM63+AN63)*60</f>
        <v>0</v>
      </c>
      <c r="AP63" s="181" t="n">
        <v>0</v>
      </c>
      <c r="AQ63" s="181" t="n">
        <v>0</v>
      </c>
      <c r="AR63" s="150"/>
      <c r="AS63" s="51"/>
      <c r="AT63" s="16"/>
      <c r="AU63" s="16"/>
      <c r="AV63" s="16"/>
    </row>
    <row r="64" customFormat="false" ht="12.8" hidden="true" customHeight="false" outlineLevel="0" collapsed="false">
      <c r="A64" s="16" t="s">
        <v>52</v>
      </c>
      <c r="B64" s="16" t="s">
        <v>98</v>
      </c>
      <c r="C64" s="16" t="s">
        <v>132</v>
      </c>
      <c r="D64" s="16" t="s">
        <v>138</v>
      </c>
      <c r="E64" s="156" t="s">
        <v>88</v>
      </c>
      <c r="F64" s="17" t="s">
        <v>139</v>
      </c>
      <c r="G64" s="154" t="s">
        <v>892</v>
      </c>
      <c r="H64" s="154" t="s">
        <v>893</v>
      </c>
      <c r="I64" s="17" t="s">
        <v>92</v>
      </c>
      <c r="J64" s="154" t="s">
        <v>628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 t="n">
        <v>1</v>
      </c>
      <c r="V64" s="16" t="n">
        <v>2</v>
      </c>
      <c r="W64" s="16"/>
      <c r="X64" s="16"/>
      <c r="Y64" s="16"/>
      <c r="Z64" s="16"/>
      <c r="AA64" s="16"/>
      <c r="AB64" s="16"/>
      <c r="AC64" s="16"/>
      <c r="AD64" s="16"/>
      <c r="AE64" s="17" t="s">
        <v>44</v>
      </c>
      <c r="AF64" s="17" t="s">
        <v>844</v>
      </c>
      <c r="AG64" s="191" t="n">
        <v>19</v>
      </c>
      <c r="AH64" s="183" t="n">
        <f aca="false">AP64/60*(AM64+AN64)/AJ64/AK64/AL64</f>
        <v>0</v>
      </c>
      <c r="AI64" s="179" t="n">
        <f aca="false">AQ64/60*(AM64+AN64)/AJ64/AK64/AL64</f>
        <v>0</v>
      </c>
      <c r="AJ64" s="141" t="n">
        <v>2</v>
      </c>
      <c r="AK64" s="141" t="n">
        <v>1</v>
      </c>
      <c r="AL64" s="141" t="n">
        <v>6</v>
      </c>
      <c r="AM64" s="141" t="n">
        <v>6</v>
      </c>
      <c r="AN64" s="141" t="n">
        <v>4</v>
      </c>
      <c r="AO64" s="183" t="n">
        <f aca="false">AG64*AJ64*AK64*AL64/(AM64+AN64)*60</f>
        <v>0</v>
      </c>
      <c r="AP64" s="191" t="n">
        <v>1148</v>
      </c>
      <c r="AQ64" s="181" t="n">
        <v>0</v>
      </c>
      <c r="AR64" s="148" t="s">
        <v>21</v>
      </c>
      <c r="AS64" s="51"/>
      <c r="AT64" s="16"/>
      <c r="AU64" s="16"/>
      <c r="AV64" s="16"/>
    </row>
    <row r="65" customFormat="false" ht="12.8" hidden="true" customHeight="false" outlineLevel="0" collapsed="false">
      <c r="A65" s="16" t="s">
        <v>52</v>
      </c>
      <c r="B65" s="16" t="s">
        <v>158</v>
      </c>
      <c r="C65" s="16" t="s">
        <v>168</v>
      </c>
      <c r="D65" s="16" t="s">
        <v>169</v>
      </c>
      <c r="E65" s="156" t="s">
        <v>89</v>
      </c>
      <c r="F65" s="16" t="s">
        <v>170</v>
      </c>
      <c r="G65" s="157" t="s">
        <v>918</v>
      </c>
      <c r="H65" s="154" t="s">
        <v>890</v>
      </c>
      <c r="I65" s="17" t="s">
        <v>92</v>
      </c>
      <c r="J65" s="154" t="s">
        <v>667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 t="n">
        <v>1</v>
      </c>
      <c r="X65" s="16" t="n">
        <v>2</v>
      </c>
      <c r="Y65" s="16"/>
      <c r="Z65" s="16"/>
      <c r="AA65" s="16"/>
      <c r="AB65" s="16"/>
      <c r="AC65" s="16"/>
      <c r="AD65" s="16"/>
      <c r="AE65" s="17" t="s">
        <v>45</v>
      </c>
      <c r="AF65" s="17" t="s">
        <v>844</v>
      </c>
      <c r="AG65" s="181" t="n">
        <v>60</v>
      </c>
      <c r="AH65" s="179" t="n">
        <f aca="false">AP65/60*(AM65+AN65)/AJ65/AK65/AL65</f>
        <v>0</v>
      </c>
      <c r="AI65" s="179" t="n">
        <f aca="false">AQ65/60*(AM65+AN65)/AJ65/AK65/AL65</f>
        <v>0</v>
      </c>
      <c r="AJ65" s="141" t="n">
        <v>1</v>
      </c>
      <c r="AK65" s="141" t="n">
        <v>1</v>
      </c>
      <c r="AL65" s="141" t="n">
        <v>2</v>
      </c>
      <c r="AM65" s="141" t="n">
        <v>2</v>
      </c>
      <c r="AN65" s="141" t="n">
        <v>5</v>
      </c>
      <c r="AO65" s="179" t="n">
        <f aca="false">AG65*AJ65*AK65*AL65/(AM65+AN65)*60</f>
        <v>0</v>
      </c>
      <c r="AP65" s="181" t="n">
        <v>0</v>
      </c>
      <c r="AQ65" s="181" t="n">
        <v>20</v>
      </c>
      <c r="AR65" s="17" t="s">
        <v>20</v>
      </c>
      <c r="AS65" s="51" t="n">
        <v>0.06</v>
      </c>
      <c r="AT65" s="17" t="s">
        <v>47</v>
      </c>
      <c r="AU65" s="150" t="s">
        <v>846</v>
      </c>
      <c r="AV65" s="16" t="n">
        <v>1</v>
      </c>
    </row>
    <row r="66" customFormat="false" ht="12.8" hidden="true" customHeight="false" outlineLevel="0" collapsed="false">
      <c r="A66" s="16" t="s">
        <v>52</v>
      </c>
      <c r="B66" s="16" t="s">
        <v>158</v>
      </c>
      <c r="C66" s="16" t="s">
        <v>168</v>
      </c>
      <c r="D66" s="16" t="s">
        <v>162</v>
      </c>
      <c r="E66" s="156" t="s">
        <v>87</v>
      </c>
      <c r="F66" s="16" t="s">
        <v>163</v>
      </c>
      <c r="G66" s="186"/>
      <c r="H66" s="186"/>
      <c r="I66" s="17" t="s">
        <v>92</v>
      </c>
      <c r="J66" s="154" t="s">
        <v>667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81"/>
      <c r="AH66" s="179" t="n">
        <f aca="false">AP66/60*(AM66+AN66)/AJ66/AK66/AL66</f>
        <v>0</v>
      </c>
      <c r="AI66" s="179" t="n">
        <f aca="false">AQ66/60*(AM66+AN66)/AJ66/AK66/AL66</f>
        <v>0</v>
      </c>
      <c r="AJ66" s="141" t="n">
        <v>1</v>
      </c>
      <c r="AK66" s="141" t="n">
        <v>1</v>
      </c>
      <c r="AL66" s="141" t="n">
        <v>1</v>
      </c>
      <c r="AM66" s="141" t="n">
        <v>0</v>
      </c>
      <c r="AN66" s="141" t="n">
        <v>1</v>
      </c>
      <c r="AO66" s="179" t="n">
        <f aca="false">AG66*AJ66*AK66*AL66/(AM66+AN66)*60</f>
        <v>0</v>
      </c>
      <c r="AP66" s="181" t="n">
        <v>0</v>
      </c>
      <c r="AQ66" s="181" t="n">
        <v>0</v>
      </c>
      <c r="AR66" s="16"/>
      <c r="AS66" s="51"/>
      <c r="AT66" s="16"/>
      <c r="AU66" s="16"/>
      <c r="AV66" s="16"/>
    </row>
    <row r="67" customFormat="false" ht="12.8" hidden="true" customHeight="false" outlineLevel="0" collapsed="false">
      <c r="A67" s="16" t="s">
        <v>52</v>
      </c>
      <c r="B67" s="16" t="s">
        <v>158</v>
      </c>
      <c r="C67" s="16" t="s">
        <v>164</v>
      </c>
      <c r="D67" s="16" t="s">
        <v>161</v>
      </c>
      <c r="E67" s="156" t="s">
        <v>89</v>
      </c>
      <c r="F67" s="16" t="s">
        <v>165</v>
      </c>
      <c r="G67" s="154" t="s">
        <v>919</v>
      </c>
      <c r="H67" s="154" t="s">
        <v>920</v>
      </c>
      <c r="I67" s="17" t="s">
        <v>92</v>
      </c>
      <c r="J67" s="154" t="s">
        <v>656</v>
      </c>
      <c r="K67" s="17" t="s">
        <v>92</v>
      </c>
      <c r="L67" s="130"/>
      <c r="M67" s="16"/>
      <c r="N67" s="16"/>
      <c r="O67" s="16"/>
      <c r="P67" s="16"/>
      <c r="Q67" s="17" t="s">
        <v>92</v>
      </c>
      <c r="R67" s="16"/>
      <c r="S67" s="16"/>
      <c r="T67" s="16"/>
      <c r="U67" s="16" t="n">
        <v>1</v>
      </c>
      <c r="V67" s="16" t="n">
        <v>2</v>
      </c>
      <c r="W67" s="16" t="n">
        <v>3</v>
      </c>
      <c r="X67" s="16" t="n">
        <v>4</v>
      </c>
      <c r="Y67" s="16"/>
      <c r="Z67" s="16"/>
      <c r="AA67" s="16"/>
      <c r="AB67" s="16"/>
      <c r="AC67" s="16"/>
      <c r="AD67" s="16"/>
      <c r="AE67" s="17" t="s">
        <v>44</v>
      </c>
      <c r="AF67" s="17" t="s">
        <v>844</v>
      </c>
      <c r="AG67" s="181" t="n">
        <v>25</v>
      </c>
      <c r="AH67" s="179" t="n">
        <f aca="false">AP67/60*(AM67+AN67)/AJ67/AK67/AL67</f>
        <v>0</v>
      </c>
      <c r="AI67" s="179" t="n">
        <f aca="false">AQ67/60*(AM67+AN67)/AJ67/AK67/AL67</f>
        <v>0</v>
      </c>
      <c r="AJ67" s="141" t="n">
        <v>3</v>
      </c>
      <c r="AK67" s="141" t="n">
        <v>2</v>
      </c>
      <c r="AL67" s="141" t="n">
        <v>1</v>
      </c>
      <c r="AM67" s="141" t="n">
        <v>0</v>
      </c>
      <c r="AN67" s="141" t="n">
        <v>7</v>
      </c>
      <c r="AO67" s="179" t="n">
        <f aca="false">AG67*AJ67*AK67*AL67/(AM67+AN67)*60</f>
        <v>0</v>
      </c>
      <c r="AP67" s="181" t="n">
        <v>899</v>
      </c>
      <c r="AQ67" s="181" t="n">
        <v>180</v>
      </c>
      <c r="AR67" s="17" t="s">
        <v>20</v>
      </c>
      <c r="AS67" s="51" t="n">
        <v>0.04</v>
      </c>
      <c r="AT67" s="148" t="s">
        <v>845</v>
      </c>
      <c r="AU67" s="150" t="s">
        <v>846</v>
      </c>
      <c r="AV67" s="16" t="n">
        <v>1</v>
      </c>
    </row>
    <row r="68" customFormat="false" ht="12.8" hidden="true" customHeight="false" outlineLevel="0" collapsed="false">
      <c r="A68" s="16" t="s">
        <v>52</v>
      </c>
      <c r="B68" s="16" t="s">
        <v>158</v>
      </c>
      <c r="C68" s="16" t="s">
        <v>164</v>
      </c>
      <c r="D68" s="16" t="s">
        <v>161</v>
      </c>
      <c r="E68" s="156" t="s">
        <v>89</v>
      </c>
      <c r="F68" s="16" t="s">
        <v>165</v>
      </c>
      <c r="G68" s="154" t="s">
        <v>921</v>
      </c>
      <c r="H68" s="154" t="s">
        <v>922</v>
      </c>
      <c r="I68" s="17" t="s">
        <v>92</v>
      </c>
      <c r="J68" s="154" t="s">
        <v>658</v>
      </c>
      <c r="K68" s="16"/>
      <c r="L68" s="16"/>
      <c r="M68" s="16"/>
      <c r="N68" s="16"/>
      <c r="O68" s="16"/>
      <c r="P68" s="16"/>
      <c r="Q68" s="17" t="s">
        <v>92</v>
      </c>
      <c r="R68" s="16"/>
      <c r="S68" s="16"/>
      <c r="T68" s="16"/>
      <c r="U68" s="16" t="n">
        <v>1</v>
      </c>
      <c r="V68" s="16" t="n">
        <v>2</v>
      </c>
      <c r="W68" s="16" t="n">
        <v>3</v>
      </c>
      <c r="X68" s="16" t="n">
        <v>4</v>
      </c>
      <c r="Y68" s="16"/>
      <c r="Z68" s="16"/>
      <c r="AA68" s="16"/>
      <c r="AB68" s="16"/>
      <c r="AC68" s="16"/>
      <c r="AD68" s="16"/>
      <c r="AE68" s="17" t="s">
        <v>45</v>
      </c>
      <c r="AF68" s="17" t="s">
        <v>844</v>
      </c>
      <c r="AG68" s="181" t="n">
        <v>60</v>
      </c>
      <c r="AH68" s="179" t="n">
        <f aca="false">AP68/60*(AM68+AN68)/AJ68/AK68/AL68</f>
        <v>0</v>
      </c>
      <c r="AI68" s="179" t="n">
        <f aca="false">AQ68/60*(AM68+AN68)/AJ68/AK68/AL68</f>
        <v>0</v>
      </c>
      <c r="AJ68" s="141" t="n">
        <v>2</v>
      </c>
      <c r="AK68" s="141" t="n">
        <v>1</v>
      </c>
      <c r="AL68" s="141" t="n">
        <v>3</v>
      </c>
      <c r="AM68" s="141" t="n">
        <v>3</v>
      </c>
      <c r="AN68" s="141" t="n">
        <v>13</v>
      </c>
      <c r="AO68" s="179" t="n">
        <f aca="false">AG68*AJ68*AK68*AL68/(AM68+AN68)*60</f>
        <v>0</v>
      </c>
      <c r="AP68" s="181" t="n">
        <v>540</v>
      </c>
      <c r="AQ68" s="181" t="n">
        <v>148</v>
      </c>
      <c r="AR68" s="17" t="s">
        <v>20</v>
      </c>
      <c r="AS68" s="51" t="n">
        <v>0.04</v>
      </c>
      <c r="AT68" s="17" t="s">
        <v>47</v>
      </c>
      <c r="AU68" s="150" t="s">
        <v>846</v>
      </c>
      <c r="AV68" s="16" t="n">
        <v>1</v>
      </c>
    </row>
    <row r="69" customFormat="false" ht="12.8" hidden="true" customHeight="false" outlineLevel="0" collapsed="false">
      <c r="A69" s="16" t="s">
        <v>52</v>
      </c>
      <c r="B69" s="16" t="s">
        <v>158</v>
      </c>
      <c r="C69" s="16" t="s">
        <v>164</v>
      </c>
      <c r="D69" s="16" t="s">
        <v>166</v>
      </c>
      <c r="E69" s="156" t="s">
        <v>87</v>
      </c>
      <c r="F69" s="16" t="s">
        <v>109</v>
      </c>
      <c r="G69" s="186"/>
      <c r="H69" s="186"/>
      <c r="I69" s="16"/>
      <c r="J69" s="18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81"/>
      <c r="AH69" s="179" t="n">
        <f aca="false">AP69/60*(AM69+AN69)/AJ69/AK69/AL69</f>
        <v>0</v>
      </c>
      <c r="AI69" s="179" t="n">
        <f aca="false">AQ69/60*(AM69+AN69)/AJ69/AK69/AL69</f>
        <v>0</v>
      </c>
      <c r="AJ69" s="141" t="n">
        <v>1</v>
      </c>
      <c r="AK69" s="141" t="n">
        <v>1</v>
      </c>
      <c r="AL69" s="141" t="n">
        <v>1</v>
      </c>
      <c r="AM69" s="141" t="n">
        <v>0</v>
      </c>
      <c r="AN69" s="141" t="n">
        <v>1</v>
      </c>
      <c r="AO69" s="179" t="n">
        <f aca="false">AG69*AJ69*AK69*AL69/(AM69+AN69)*60</f>
        <v>0</v>
      </c>
      <c r="AP69" s="181" t="n">
        <v>0</v>
      </c>
      <c r="AQ69" s="181" t="n">
        <v>0</v>
      </c>
      <c r="AR69" s="16"/>
      <c r="AS69" s="51"/>
      <c r="AT69" s="16"/>
      <c r="AU69" s="16"/>
      <c r="AV69" s="16"/>
    </row>
    <row r="70" customFormat="false" ht="12.8" hidden="true" customHeight="false" outlineLevel="0" collapsed="false">
      <c r="A70" s="16" t="s">
        <v>52</v>
      </c>
      <c r="B70" s="16" t="s">
        <v>158</v>
      </c>
      <c r="C70" s="16" t="s">
        <v>164</v>
      </c>
      <c r="D70" s="16" t="s">
        <v>167</v>
      </c>
      <c r="E70" s="156" t="s">
        <v>88</v>
      </c>
      <c r="F70" s="16" t="s">
        <v>163</v>
      </c>
      <c r="G70" s="157" t="s">
        <v>923</v>
      </c>
      <c r="H70" s="154" t="s">
        <v>920</v>
      </c>
      <c r="I70" s="17" t="s">
        <v>92</v>
      </c>
      <c r="J70" s="154" t="s">
        <v>645</v>
      </c>
      <c r="K70" s="17" t="s">
        <v>92</v>
      </c>
      <c r="L70" s="130"/>
      <c r="M70" s="16"/>
      <c r="N70" s="16"/>
      <c r="O70" s="16"/>
      <c r="P70" s="16"/>
      <c r="Q70" s="17" t="s">
        <v>92</v>
      </c>
      <c r="R70" s="16"/>
      <c r="S70" s="16"/>
      <c r="T70" s="16"/>
      <c r="U70" s="16" t="n">
        <v>1</v>
      </c>
      <c r="V70" s="16" t="n">
        <v>2</v>
      </c>
      <c r="W70" s="16" t="n">
        <v>3</v>
      </c>
      <c r="X70" s="16" t="n">
        <v>4</v>
      </c>
      <c r="Y70" s="16"/>
      <c r="Z70" s="16"/>
      <c r="AA70" s="16"/>
      <c r="AB70" s="16"/>
      <c r="AC70" s="16"/>
      <c r="AD70" s="16"/>
      <c r="AE70" s="148" t="s">
        <v>44</v>
      </c>
      <c r="AF70" s="148" t="s">
        <v>844</v>
      </c>
      <c r="AG70" s="181" t="n">
        <v>10</v>
      </c>
      <c r="AH70" s="179" t="n">
        <f aca="false">AP70/60*(AM70+AN70)/AJ70/AK70/AL70</f>
        <v>0</v>
      </c>
      <c r="AI70" s="179" t="n">
        <f aca="false">AQ70/60*(AM70+AN70)/AJ70/AK70/AL70</f>
        <v>0</v>
      </c>
      <c r="AJ70" s="141" t="n">
        <v>2</v>
      </c>
      <c r="AK70" s="141" t="n">
        <v>2</v>
      </c>
      <c r="AL70" s="141" t="n">
        <v>1</v>
      </c>
      <c r="AM70" s="141" t="n">
        <v>0</v>
      </c>
      <c r="AN70" s="141" t="n">
        <v>2</v>
      </c>
      <c r="AO70" s="179" t="n">
        <f aca="false">AG70*AJ70*AK70*AL70/(AM70+AN70)*60</f>
        <v>0</v>
      </c>
      <c r="AP70" s="181" t="n">
        <v>480</v>
      </c>
      <c r="AQ70" s="181" t="n">
        <v>120</v>
      </c>
      <c r="AR70" s="17" t="s">
        <v>20</v>
      </c>
      <c r="AS70" s="51" t="n">
        <v>0.04</v>
      </c>
      <c r="AT70" s="148" t="s">
        <v>845</v>
      </c>
      <c r="AU70" s="150" t="s">
        <v>846</v>
      </c>
      <c r="AV70" s="16" t="n">
        <v>1</v>
      </c>
    </row>
    <row r="71" customFormat="false" ht="12.8" hidden="true" customHeight="false" outlineLevel="0" collapsed="false">
      <c r="A71" s="16" t="s">
        <v>52</v>
      </c>
      <c r="B71" s="16" t="s">
        <v>158</v>
      </c>
      <c r="C71" s="16" t="s">
        <v>164</v>
      </c>
      <c r="D71" s="16" t="s">
        <v>167</v>
      </c>
      <c r="E71" s="156" t="s">
        <v>88</v>
      </c>
      <c r="F71" s="16" t="s">
        <v>163</v>
      </c>
      <c r="G71" s="154" t="s">
        <v>924</v>
      </c>
      <c r="H71" s="154" t="s">
        <v>922</v>
      </c>
      <c r="I71" s="17" t="s">
        <v>92</v>
      </c>
      <c r="J71" s="154" t="s">
        <v>658</v>
      </c>
      <c r="K71" s="16"/>
      <c r="L71" s="16"/>
      <c r="M71" s="16"/>
      <c r="N71" s="16"/>
      <c r="O71" s="16"/>
      <c r="P71" s="16"/>
      <c r="Q71" s="17" t="s">
        <v>92</v>
      </c>
      <c r="R71" s="17" t="s">
        <v>92</v>
      </c>
      <c r="S71" s="16"/>
      <c r="T71" s="16"/>
      <c r="U71" s="16" t="n">
        <v>1</v>
      </c>
      <c r="V71" s="16" t="n">
        <v>2</v>
      </c>
      <c r="W71" s="16" t="n">
        <v>3</v>
      </c>
      <c r="X71" s="16" t="n">
        <v>4</v>
      </c>
      <c r="Y71" s="16"/>
      <c r="Z71" s="16"/>
      <c r="AA71" s="16"/>
      <c r="AB71" s="16"/>
      <c r="AC71" s="16"/>
      <c r="AD71" s="16"/>
      <c r="AE71" s="17" t="s">
        <v>45</v>
      </c>
      <c r="AF71" s="17" t="s">
        <v>844</v>
      </c>
      <c r="AG71" s="184" t="n">
        <v>35</v>
      </c>
      <c r="AH71" s="179" t="n">
        <f aca="false">AP71/60*(AM71+AN71)/AJ71/AK71/AL71</f>
        <v>0</v>
      </c>
      <c r="AI71" s="179" t="n">
        <f aca="false">AQ71/60*(AM71+AN71)/AJ71/AK71/AL71</f>
        <v>0</v>
      </c>
      <c r="AJ71" s="141" t="n">
        <v>3</v>
      </c>
      <c r="AK71" s="141" t="n">
        <v>1</v>
      </c>
      <c r="AL71" s="141" t="n">
        <v>3</v>
      </c>
      <c r="AM71" s="141" t="n">
        <v>3</v>
      </c>
      <c r="AN71" s="141" t="n">
        <v>10</v>
      </c>
      <c r="AO71" s="183" t="n">
        <f aca="false">AG71*AJ71*AK71*AL71/(AM71+AN71)*60</f>
        <v>0</v>
      </c>
      <c r="AP71" s="181" t="n">
        <v>1017</v>
      </c>
      <c r="AQ71" s="181" t="n">
        <v>0</v>
      </c>
      <c r="AR71" s="148" t="s">
        <v>21</v>
      </c>
      <c r="AS71" s="51" t="n">
        <v>0.06</v>
      </c>
      <c r="AT71" s="17" t="s">
        <v>47</v>
      </c>
      <c r="AU71" s="150" t="s">
        <v>846</v>
      </c>
      <c r="AV71" s="16" t="n">
        <v>1</v>
      </c>
    </row>
    <row r="72" customFormat="false" ht="12.8" hidden="true" customHeight="false" outlineLevel="0" collapsed="false">
      <c r="A72" s="16" t="s">
        <v>52</v>
      </c>
      <c r="B72" s="17" t="s">
        <v>93</v>
      </c>
      <c r="C72" s="130" t="s">
        <v>189</v>
      </c>
      <c r="D72" s="17" t="s">
        <v>190</v>
      </c>
      <c r="E72" s="140" t="s">
        <v>89</v>
      </c>
      <c r="F72" s="16" t="s">
        <v>101</v>
      </c>
      <c r="G72" s="177" t="s">
        <v>925</v>
      </c>
      <c r="H72" s="147" t="s">
        <v>926</v>
      </c>
      <c r="I72" s="148" t="s">
        <v>92</v>
      </c>
      <c r="J72" s="157" t="s">
        <v>678</v>
      </c>
      <c r="K72" s="148" t="s">
        <v>92</v>
      </c>
      <c r="L72" s="150"/>
      <c r="M72" s="150"/>
      <c r="N72" s="150"/>
      <c r="O72" s="150"/>
      <c r="P72" s="150"/>
      <c r="Q72" s="148" t="s">
        <v>92</v>
      </c>
      <c r="R72" s="150"/>
      <c r="S72" s="150"/>
      <c r="T72" s="150"/>
      <c r="U72" s="16" t="n">
        <v>3</v>
      </c>
      <c r="V72" s="16" t="n">
        <v>4</v>
      </c>
      <c r="W72" s="16" t="n">
        <v>1</v>
      </c>
      <c r="X72" s="16" t="n">
        <v>2</v>
      </c>
      <c r="Y72" s="16"/>
      <c r="Z72" s="16"/>
      <c r="AA72" s="16"/>
      <c r="AB72" s="16"/>
      <c r="AC72" s="16"/>
      <c r="AD72" s="16"/>
      <c r="AE72" s="148" t="s">
        <v>44</v>
      </c>
      <c r="AF72" s="148" t="s">
        <v>844</v>
      </c>
      <c r="AG72" s="181" t="n">
        <v>25</v>
      </c>
      <c r="AH72" s="179" t="n">
        <f aca="false">AP72/60*(AM72+AN72)/AJ72/AK72/AL72</f>
        <v>0</v>
      </c>
      <c r="AI72" s="179" t="n">
        <f aca="false">AQ72/60*(AM72+AN72)/AJ72/AK72/AL72</f>
        <v>0</v>
      </c>
      <c r="AJ72" s="141" t="n">
        <v>3</v>
      </c>
      <c r="AK72" s="141" t="n">
        <v>1</v>
      </c>
      <c r="AL72" s="141" t="n">
        <v>3</v>
      </c>
      <c r="AM72" s="141" t="n">
        <v>3</v>
      </c>
      <c r="AN72" s="141" t="n">
        <v>4</v>
      </c>
      <c r="AO72" s="179" t="n">
        <f aca="false">AG72*AJ72*AK72*AL72/(AM72+AN72)*60</f>
        <v>0</v>
      </c>
      <c r="AP72" s="181" t="n">
        <v>539</v>
      </c>
      <c r="AQ72" s="181" t="n">
        <v>270</v>
      </c>
      <c r="AR72" s="148" t="s">
        <v>20</v>
      </c>
      <c r="AS72" s="51" t="n">
        <v>0.04</v>
      </c>
      <c r="AT72" s="148" t="s">
        <v>845</v>
      </c>
      <c r="AU72" s="150" t="s">
        <v>846</v>
      </c>
      <c r="AV72" s="16" t="n">
        <v>1</v>
      </c>
    </row>
    <row r="73" customFormat="false" ht="12.8" hidden="true" customHeight="false" outlineLevel="0" collapsed="false">
      <c r="A73" s="16" t="s">
        <v>52</v>
      </c>
      <c r="B73" s="17" t="s">
        <v>93</v>
      </c>
      <c r="C73" s="130" t="s">
        <v>189</v>
      </c>
      <c r="D73" s="17" t="s">
        <v>191</v>
      </c>
      <c r="E73" s="140" t="s">
        <v>87</v>
      </c>
      <c r="F73" s="16" t="s">
        <v>192</v>
      </c>
      <c r="G73" s="177" t="s">
        <v>925</v>
      </c>
      <c r="H73" s="147" t="s">
        <v>926</v>
      </c>
      <c r="I73" s="148" t="s">
        <v>92</v>
      </c>
      <c r="J73" s="157" t="s">
        <v>682</v>
      </c>
      <c r="K73" s="148" t="s">
        <v>92</v>
      </c>
      <c r="L73" s="150"/>
      <c r="M73" s="150"/>
      <c r="N73" s="150"/>
      <c r="O73" s="150"/>
      <c r="P73" s="150"/>
      <c r="Q73" s="17" t="s">
        <v>92</v>
      </c>
      <c r="R73" s="150"/>
      <c r="S73" s="150"/>
      <c r="T73" s="150"/>
      <c r="U73" s="16" t="n">
        <v>3</v>
      </c>
      <c r="V73" s="16" t="n">
        <v>4</v>
      </c>
      <c r="W73" s="16" t="n">
        <v>1</v>
      </c>
      <c r="X73" s="16" t="n">
        <v>2</v>
      </c>
      <c r="Y73" s="16"/>
      <c r="Z73" s="16"/>
      <c r="AA73" s="16"/>
      <c r="AB73" s="16"/>
      <c r="AC73" s="16"/>
      <c r="AD73" s="16"/>
      <c r="AE73" s="148" t="s">
        <v>44</v>
      </c>
      <c r="AF73" s="148" t="s">
        <v>844</v>
      </c>
      <c r="AG73" s="181" t="n">
        <v>25</v>
      </c>
      <c r="AH73" s="179" t="n">
        <f aca="false">AP73/60*(AM73+AN73)/AJ73/AK73/AL73</f>
        <v>0</v>
      </c>
      <c r="AI73" s="179" t="n">
        <f aca="false">AQ73/60*(AM73+AN73)/AJ73/AK73/AL73</f>
        <v>0</v>
      </c>
      <c r="AJ73" s="141" t="n">
        <v>2</v>
      </c>
      <c r="AK73" s="141" t="n">
        <v>1</v>
      </c>
      <c r="AL73" s="141" t="n">
        <v>3</v>
      </c>
      <c r="AM73" s="141" t="n">
        <v>3</v>
      </c>
      <c r="AN73" s="141" t="n">
        <v>4</v>
      </c>
      <c r="AO73" s="179" t="n">
        <f aca="false">AG73*AJ73*AK73*AL73/(AM73+AN73)*60</f>
        <v>0</v>
      </c>
      <c r="AP73" s="181" t="n">
        <v>411</v>
      </c>
      <c r="AQ73" s="181" t="n">
        <v>180</v>
      </c>
      <c r="AR73" s="148" t="s">
        <v>20</v>
      </c>
      <c r="AS73" s="51" t="n">
        <v>0.04</v>
      </c>
      <c r="AT73" s="148" t="s">
        <v>845</v>
      </c>
      <c r="AU73" s="150" t="s">
        <v>846</v>
      </c>
      <c r="AV73" s="16" t="n">
        <v>1</v>
      </c>
    </row>
    <row r="74" customFormat="false" ht="12.8" hidden="true" customHeight="false" outlineLevel="0" collapsed="false">
      <c r="A74" s="16" t="s">
        <v>52</v>
      </c>
      <c r="B74" s="17" t="s">
        <v>93</v>
      </c>
      <c r="C74" s="130" t="s">
        <v>189</v>
      </c>
      <c r="D74" s="17" t="s">
        <v>191</v>
      </c>
      <c r="E74" s="140" t="s">
        <v>87</v>
      </c>
      <c r="F74" s="16" t="s">
        <v>192</v>
      </c>
      <c r="G74" s="177" t="s">
        <v>927</v>
      </c>
      <c r="H74" s="147" t="s">
        <v>893</v>
      </c>
      <c r="I74" s="150"/>
      <c r="J74" s="157" t="s">
        <v>682</v>
      </c>
      <c r="K74" s="148" t="s">
        <v>92</v>
      </c>
      <c r="L74" s="150"/>
      <c r="M74" s="150"/>
      <c r="N74" s="150"/>
      <c r="O74" s="150"/>
      <c r="P74" s="150"/>
      <c r="Q74" s="17" t="s">
        <v>92</v>
      </c>
      <c r="R74" s="150"/>
      <c r="S74" s="150"/>
      <c r="T74" s="150"/>
      <c r="U74" s="16" t="n">
        <v>1</v>
      </c>
      <c r="V74" s="16" t="n">
        <v>2</v>
      </c>
      <c r="W74" s="16"/>
      <c r="X74" s="16"/>
      <c r="Y74" s="16"/>
      <c r="Z74" s="16"/>
      <c r="AA74" s="16"/>
      <c r="AB74" s="16"/>
      <c r="AC74" s="16"/>
      <c r="AD74" s="16"/>
      <c r="AE74" s="148" t="s">
        <v>44</v>
      </c>
      <c r="AF74" s="148" t="s">
        <v>844</v>
      </c>
      <c r="AG74" s="184" t="n">
        <v>0</v>
      </c>
      <c r="AH74" s="179" t="n">
        <f aca="false">AP74/60*(AM74+AN74)/AJ74/AK74/AL74</f>
        <v>0</v>
      </c>
      <c r="AI74" s="179" t="n">
        <f aca="false">AQ74/60*(AM74+AN74)/AJ74/AK74/AL74</f>
        <v>0</v>
      </c>
      <c r="AJ74" s="141" t="n">
        <v>2</v>
      </c>
      <c r="AK74" s="141" t="n">
        <v>1</v>
      </c>
      <c r="AL74" s="141" t="n">
        <v>1</v>
      </c>
      <c r="AM74" s="141" t="n">
        <v>0</v>
      </c>
      <c r="AN74" s="141" t="n">
        <v>3</v>
      </c>
      <c r="AO74" s="190" t="n">
        <f aca="false">AG74*AJ74*AK74*AL74/(AM74+AN74)*60</f>
        <v>0</v>
      </c>
      <c r="AP74" s="191" t="n">
        <v>600</v>
      </c>
      <c r="AQ74" s="181" t="n">
        <v>0</v>
      </c>
      <c r="AR74" s="148" t="s">
        <v>21</v>
      </c>
      <c r="AS74" s="51" t="n">
        <v>0.06</v>
      </c>
      <c r="AT74" s="148" t="s">
        <v>845</v>
      </c>
      <c r="AU74" s="150" t="s">
        <v>846</v>
      </c>
      <c r="AV74" s="16" t="n">
        <v>1</v>
      </c>
    </row>
    <row r="75" customFormat="false" ht="12.8" hidden="true" customHeight="false" outlineLevel="0" collapsed="false">
      <c r="A75" s="16" t="s">
        <v>52</v>
      </c>
      <c r="B75" s="17" t="s">
        <v>93</v>
      </c>
      <c r="C75" s="130" t="s">
        <v>189</v>
      </c>
      <c r="D75" s="17" t="s">
        <v>193</v>
      </c>
      <c r="E75" s="140" t="s">
        <v>88</v>
      </c>
      <c r="F75" s="16" t="s">
        <v>194</v>
      </c>
      <c r="G75" s="177" t="s">
        <v>925</v>
      </c>
      <c r="H75" s="147" t="s">
        <v>926</v>
      </c>
      <c r="I75" s="148" t="s">
        <v>92</v>
      </c>
      <c r="J75" s="157" t="s">
        <v>678</v>
      </c>
      <c r="K75" s="148" t="s">
        <v>92</v>
      </c>
      <c r="L75" s="150"/>
      <c r="M75" s="150"/>
      <c r="N75" s="150"/>
      <c r="O75" s="150"/>
      <c r="P75" s="150"/>
      <c r="Q75" s="17" t="s">
        <v>92</v>
      </c>
      <c r="R75" s="150"/>
      <c r="S75" s="150"/>
      <c r="T75" s="150"/>
      <c r="U75" s="16" t="n">
        <v>3</v>
      </c>
      <c r="V75" s="16" t="n">
        <v>4</v>
      </c>
      <c r="W75" s="16" t="n">
        <v>1</v>
      </c>
      <c r="X75" s="16" t="n">
        <v>2</v>
      </c>
      <c r="Y75" s="16"/>
      <c r="Z75" s="16"/>
      <c r="AA75" s="16"/>
      <c r="AB75" s="16"/>
      <c r="AC75" s="16"/>
      <c r="AD75" s="16"/>
      <c r="AE75" s="148" t="s">
        <v>44</v>
      </c>
      <c r="AF75" s="148" t="s">
        <v>844</v>
      </c>
      <c r="AG75" s="181" t="n">
        <v>25</v>
      </c>
      <c r="AH75" s="179" t="n">
        <f aca="false">AP75/60*(AM75+AN75)/AJ75/AK75/AL75</f>
        <v>0</v>
      </c>
      <c r="AI75" s="179" t="n">
        <f aca="false">AQ75/60*(AM75+AN75)/AJ75/AK75/AL75</f>
        <v>0</v>
      </c>
      <c r="AJ75" s="141" t="n">
        <v>1</v>
      </c>
      <c r="AK75" s="141" t="n">
        <v>1</v>
      </c>
      <c r="AL75" s="141" t="n">
        <v>3</v>
      </c>
      <c r="AM75" s="141" t="n">
        <v>3</v>
      </c>
      <c r="AN75" s="141" t="n">
        <v>4</v>
      </c>
      <c r="AO75" s="179" t="n">
        <f aca="false">AG75*AJ75*AK75*AL75/(AM75+AN75)*60</f>
        <v>0</v>
      </c>
      <c r="AP75" s="181" t="n">
        <v>257</v>
      </c>
      <c r="AQ75" s="181" t="n">
        <v>90</v>
      </c>
      <c r="AR75" s="148" t="s">
        <v>20</v>
      </c>
      <c r="AS75" s="51" t="n">
        <v>0.04</v>
      </c>
      <c r="AT75" s="148" t="s">
        <v>845</v>
      </c>
      <c r="AU75" s="150" t="s">
        <v>846</v>
      </c>
      <c r="AV75" s="16" t="n">
        <v>1</v>
      </c>
    </row>
    <row r="76" customFormat="false" ht="12.8" hidden="true" customHeight="false" outlineLevel="0" collapsed="false">
      <c r="A76" s="16" t="s">
        <v>52</v>
      </c>
      <c r="B76" s="17" t="s">
        <v>93</v>
      </c>
      <c r="C76" s="130" t="s">
        <v>189</v>
      </c>
      <c r="D76" s="17" t="s">
        <v>193</v>
      </c>
      <c r="E76" s="140" t="s">
        <v>88</v>
      </c>
      <c r="F76" s="16" t="s">
        <v>194</v>
      </c>
      <c r="G76" s="177" t="s">
        <v>927</v>
      </c>
      <c r="H76" s="147" t="s">
        <v>893</v>
      </c>
      <c r="I76" s="150"/>
      <c r="J76" s="157" t="s">
        <v>678</v>
      </c>
      <c r="K76" s="148" t="s">
        <v>92</v>
      </c>
      <c r="L76" s="150"/>
      <c r="M76" s="150"/>
      <c r="N76" s="150"/>
      <c r="O76" s="150"/>
      <c r="P76" s="150"/>
      <c r="Q76" s="17" t="s">
        <v>92</v>
      </c>
      <c r="R76" s="150"/>
      <c r="S76" s="150"/>
      <c r="T76" s="150"/>
      <c r="U76" s="16" t="n">
        <v>1</v>
      </c>
      <c r="V76" s="16" t="n">
        <v>2</v>
      </c>
      <c r="W76" s="16"/>
      <c r="X76" s="16"/>
      <c r="Y76" s="16"/>
      <c r="Z76" s="16"/>
      <c r="AA76" s="16"/>
      <c r="AB76" s="16"/>
      <c r="AC76" s="16"/>
      <c r="AD76" s="16"/>
      <c r="AE76" s="148" t="s">
        <v>44</v>
      </c>
      <c r="AF76" s="148" t="s">
        <v>844</v>
      </c>
      <c r="AG76" s="184" t="n">
        <v>0</v>
      </c>
      <c r="AH76" s="179" t="n">
        <f aca="false">AP76/60*(AM76+AN76)/AJ76/AK76/AL76</f>
        <v>0</v>
      </c>
      <c r="AI76" s="179" t="n">
        <f aca="false">AQ76/60*(AM76+AN76)/AJ76/AK76/AL76</f>
        <v>0</v>
      </c>
      <c r="AJ76" s="141" t="n">
        <v>2</v>
      </c>
      <c r="AK76" s="141" t="n">
        <v>1</v>
      </c>
      <c r="AL76" s="141" t="n">
        <v>1</v>
      </c>
      <c r="AM76" s="141" t="n">
        <v>0</v>
      </c>
      <c r="AN76" s="141" t="n">
        <v>3</v>
      </c>
      <c r="AO76" s="190" t="n">
        <f aca="false">AG76*AJ76*AK76*AL76/(AM76+AN76)*60</f>
        <v>0</v>
      </c>
      <c r="AP76" s="191" t="n">
        <v>600</v>
      </c>
      <c r="AQ76" s="181" t="n">
        <v>0</v>
      </c>
      <c r="AR76" s="148" t="s">
        <v>21</v>
      </c>
      <c r="AS76" s="51" t="n">
        <v>0.06</v>
      </c>
      <c r="AT76" s="148" t="s">
        <v>845</v>
      </c>
      <c r="AU76" s="150" t="s">
        <v>846</v>
      </c>
      <c r="AV76" s="16" t="n">
        <v>1</v>
      </c>
    </row>
    <row r="77" customFormat="false" ht="12.8" hidden="true" customHeight="false" outlineLevel="0" collapsed="false">
      <c r="A77" s="16" t="s">
        <v>52</v>
      </c>
      <c r="B77" s="17" t="s">
        <v>81</v>
      </c>
      <c r="C77" s="17" t="s">
        <v>181</v>
      </c>
      <c r="D77" s="17" t="s">
        <v>182</v>
      </c>
      <c r="E77" s="130" t="s">
        <v>89</v>
      </c>
      <c r="F77" s="17" t="s">
        <v>183</v>
      </c>
      <c r="G77" s="157" t="s">
        <v>928</v>
      </c>
      <c r="H77" s="154" t="s">
        <v>886</v>
      </c>
      <c r="I77" s="17" t="s">
        <v>92</v>
      </c>
      <c r="J77" s="154" t="s">
        <v>587</v>
      </c>
      <c r="K77" s="148" t="s">
        <v>92</v>
      </c>
      <c r="L77" s="150"/>
      <c r="M77" s="16"/>
      <c r="N77" s="16"/>
      <c r="O77" s="16"/>
      <c r="P77" s="16"/>
      <c r="Q77" s="16"/>
      <c r="R77" s="16"/>
      <c r="S77" s="16"/>
      <c r="T77" s="16"/>
      <c r="U77" s="16" t="n">
        <v>1</v>
      </c>
      <c r="V77" s="16" t="n">
        <v>2</v>
      </c>
      <c r="W77" s="16" t="n">
        <v>3</v>
      </c>
      <c r="X77" s="16" t="n">
        <v>4</v>
      </c>
      <c r="Y77" s="16"/>
      <c r="Z77" s="16"/>
      <c r="AA77" s="16"/>
      <c r="AB77" s="16"/>
      <c r="AC77" s="16"/>
      <c r="AD77" s="16"/>
      <c r="AE77" s="148" t="s">
        <v>44</v>
      </c>
      <c r="AF77" s="148" t="s">
        <v>844</v>
      </c>
      <c r="AG77" s="181" t="n">
        <v>30</v>
      </c>
      <c r="AH77" s="179" t="n">
        <f aca="false">AP77/60*(AM77+AN77)/AJ77/AK77/AL77</f>
        <v>0</v>
      </c>
      <c r="AI77" s="179" t="n">
        <f aca="false">AQ77/60*(AM77+AN77)/AJ77/AK77/AL77</f>
        <v>0</v>
      </c>
      <c r="AJ77" s="141" t="n">
        <v>2</v>
      </c>
      <c r="AK77" s="141" t="n">
        <v>1</v>
      </c>
      <c r="AL77" s="141" t="n">
        <v>3</v>
      </c>
      <c r="AM77" s="141" t="n">
        <v>3</v>
      </c>
      <c r="AN77" s="141" t="n">
        <v>5</v>
      </c>
      <c r="AO77" s="179" t="n">
        <f aca="false">AG77*AJ77*AK77*AL77/(AM77+AN77)*60</f>
        <v>0</v>
      </c>
      <c r="AP77" s="181" t="n">
        <v>356</v>
      </c>
      <c r="AQ77" s="181" t="n">
        <v>229</v>
      </c>
      <c r="AR77" s="16"/>
      <c r="AS77" s="51"/>
      <c r="AT77" s="16"/>
      <c r="AU77" s="16"/>
      <c r="AV77" s="16"/>
    </row>
    <row r="78" customFormat="false" ht="12.8" hidden="true" customHeight="false" outlineLevel="0" collapsed="false">
      <c r="A78" s="36" t="s">
        <v>52</v>
      </c>
      <c r="B78" s="35" t="s">
        <v>81</v>
      </c>
      <c r="C78" s="35" t="s">
        <v>181</v>
      </c>
      <c r="D78" s="35" t="s">
        <v>184</v>
      </c>
      <c r="E78" s="34" t="s">
        <v>87</v>
      </c>
      <c r="F78" s="35" t="s">
        <v>121</v>
      </c>
      <c r="G78" s="157" t="s">
        <v>928</v>
      </c>
      <c r="H78" s="154" t="s">
        <v>886</v>
      </c>
      <c r="I78" s="17" t="s">
        <v>92</v>
      </c>
      <c r="J78" s="154" t="s">
        <v>587</v>
      </c>
      <c r="K78" s="148" t="s">
        <v>92</v>
      </c>
      <c r="L78" s="150"/>
      <c r="M78" s="16"/>
      <c r="N78" s="16"/>
      <c r="O78" s="16"/>
      <c r="P78" s="16"/>
      <c r="Q78" s="16"/>
      <c r="R78" s="16"/>
      <c r="S78" s="16"/>
      <c r="T78" s="16"/>
      <c r="U78" s="16" t="n">
        <v>1</v>
      </c>
      <c r="V78" s="16" t="n">
        <v>2</v>
      </c>
      <c r="W78" s="16" t="n">
        <v>3</v>
      </c>
      <c r="X78" s="16" t="n">
        <v>4</v>
      </c>
      <c r="Y78" s="16"/>
      <c r="Z78" s="16"/>
      <c r="AA78" s="16"/>
      <c r="AB78" s="16"/>
      <c r="AC78" s="16"/>
      <c r="AD78" s="16"/>
      <c r="AE78" s="148" t="s">
        <v>44</v>
      </c>
      <c r="AF78" s="148" t="s">
        <v>844</v>
      </c>
      <c r="AG78" s="181" t="n">
        <v>30</v>
      </c>
      <c r="AH78" s="179" t="n">
        <f aca="false">AP78/60*(AM78+AN78)/AJ78/AK78/AL78</f>
        <v>0</v>
      </c>
      <c r="AI78" s="179" t="n">
        <f aca="false">AQ78/60*(AM78+AN78)/AJ78/AK78/AL78</f>
        <v>0</v>
      </c>
      <c r="AJ78" s="141" t="n">
        <v>2</v>
      </c>
      <c r="AK78" s="141" t="n">
        <v>1</v>
      </c>
      <c r="AL78" s="141" t="n">
        <v>3</v>
      </c>
      <c r="AM78" s="141" t="n">
        <v>3</v>
      </c>
      <c r="AN78" s="141" t="n">
        <v>5</v>
      </c>
      <c r="AO78" s="179" t="n">
        <f aca="false">AG78*AJ78*AK78*AL78/(AM78+AN78)*60</f>
        <v>0</v>
      </c>
      <c r="AP78" s="181" t="n">
        <v>356</v>
      </c>
      <c r="AQ78" s="181" t="n">
        <v>229</v>
      </c>
      <c r="AR78" s="16"/>
      <c r="AS78" s="51"/>
      <c r="AT78" s="16"/>
      <c r="AU78" s="16"/>
      <c r="AV78" s="16"/>
    </row>
    <row r="79" customFormat="false" ht="12.8" hidden="true" customHeight="false" outlineLevel="0" collapsed="false">
      <c r="A79" s="16" t="s">
        <v>52</v>
      </c>
      <c r="B79" s="17" t="s">
        <v>113</v>
      </c>
      <c r="C79" s="17" t="s">
        <v>146</v>
      </c>
      <c r="D79" s="17" t="s">
        <v>147</v>
      </c>
      <c r="E79" s="130" t="s">
        <v>89</v>
      </c>
      <c r="F79" s="16" t="s">
        <v>148</v>
      </c>
      <c r="G79" s="157" t="s">
        <v>929</v>
      </c>
      <c r="H79" s="154" t="s">
        <v>930</v>
      </c>
      <c r="I79" s="17" t="s">
        <v>92</v>
      </c>
      <c r="J79" s="154" t="s">
        <v>640</v>
      </c>
      <c r="K79" s="148" t="s">
        <v>92</v>
      </c>
      <c r="L79" s="150"/>
      <c r="M79" s="16"/>
      <c r="N79" s="16"/>
      <c r="O79" s="16"/>
      <c r="P79" s="16"/>
      <c r="Q79" s="17" t="s">
        <v>92</v>
      </c>
      <c r="R79" s="16"/>
      <c r="S79" s="16"/>
      <c r="T79" s="16"/>
      <c r="U79" s="16" t="n">
        <v>1</v>
      </c>
      <c r="V79" s="16" t="n">
        <v>2</v>
      </c>
      <c r="W79" s="16" t="n">
        <v>3</v>
      </c>
      <c r="X79" s="16" t="n">
        <v>4</v>
      </c>
      <c r="Y79" s="16"/>
      <c r="Z79" s="16"/>
      <c r="AA79" s="16"/>
      <c r="AB79" s="16"/>
      <c r="AC79" s="16"/>
      <c r="AD79" s="16"/>
      <c r="AE79" s="148" t="s">
        <v>44</v>
      </c>
      <c r="AF79" s="148" t="s">
        <v>844</v>
      </c>
      <c r="AG79" s="181" t="n">
        <v>100</v>
      </c>
      <c r="AH79" s="179" t="n">
        <f aca="false">AP79/60*(AM79+AN79)/AJ79/AK79/AL79</f>
        <v>0</v>
      </c>
      <c r="AI79" s="179" t="n">
        <f aca="false">AQ79/60*(AM79+AN79)/AJ79/AK79/AL79</f>
        <v>0</v>
      </c>
      <c r="AJ79" s="141" t="n">
        <v>2</v>
      </c>
      <c r="AK79" s="141" t="n">
        <v>2</v>
      </c>
      <c r="AL79" s="141" t="n">
        <v>1</v>
      </c>
      <c r="AM79" s="141" t="n">
        <v>0</v>
      </c>
      <c r="AN79" s="141" t="n">
        <v>8</v>
      </c>
      <c r="AO79" s="179" t="n">
        <f aca="false">AG79*AJ79*AK79*AL79/(AM79+AN79)*60</f>
        <v>0</v>
      </c>
      <c r="AP79" s="181" t="n">
        <v>480</v>
      </c>
      <c r="AQ79" s="181" t="n">
        <v>300</v>
      </c>
      <c r="AR79" s="16"/>
      <c r="AS79" s="51"/>
      <c r="AT79" s="16"/>
      <c r="AU79" s="16"/>
      <c r="AV79" s="16"/>
    </row>
    <row r="80" customFormat="false" ht="12.8" hidden="true" customHeight="false" outlineLevel="0" collapsed="false">
      <c r="A80" s="16" t="s">
        <v>52</v>
      </c>
      <c r="B80" s="17" t="s">
        <v>113</v>
      </c>
      <c r="C80" s="17" t="s">
        <v>146</v>
      </c>
      <c r="D80" s="17" t="s">
        <v>147</v>
      </c>
      <c r="E80" s="130" t="s">
        <v>89</v>
      </c>
      <c r="F80" s="16" t="s">
        <v>148</v>
      </c>
      <c r="G80" s="157" t="s">
        <v>931</v>
      </c>
      <c r="H80" s="154" t="s">
        <v>888</v>
      </c>
      <c r="I80" s="17" t="s">
        <v>92</v>
      </c>
      <c r="J80" s="154" t="s">
        <v>645</v>
      </c>
      <c r="K80" s="150"/>
      <c r="L80" s="150"/>
      <c r="M80" s="16"/>
      <c r="N80" s="16"/>
      <c r="O80" s="16"/>
      <c r="P80" s="16"/>
      <c r="Q80" s="16"/>
      <c r="R80" s="16"/>
      <c r="S80" s="16"/>
      <c r="T80" s="16"/>
      <c r="U80" s="16" t="n">
        <v>1</v>
      </c>
      <c r="V80" s="16" t="n">
        <v>2</v>
      </c>
      <c r="W80" s="16" t="n">
        <v>3</v>
      </c>
      <c r="X80" s="16" t="n">
        <v>4</v>
      </c>
      <c r="Y80" s="16"/>
      <c r="Z80" s="16"/>
      <c r="AA80" s="16"/>
      <c r="AB80" s="16"/>
      <c r="AC80" s="16"/>
      <c r="AD80" s="16"/>
      <c r="AE80" s="148" t="s">
        <v>44</v>
      </c>
      <c r="AF80" s="148" t="s">
        <v>844</v>
      </c>
      <c r="AG80" s="181" t="n">
        <v>30</v>
      </c>
      <c r="AH80" s="179" t="n">
        <f aca="false">AP80/60*(AM80+AN80)/AJ80/AK80/AL80</f>
        <v>0</v>
      </c>
      <c r="AI80" s="179" t="n">
        <f aca="false">AQ80/60*(AM80+AN80)/AJ80/AK80/AL80</f>
        <v>0</v>
      </c>
      <c r="AJ80" s="141" t="n">
        <v>1</v>
      </c>
      <c r="AK80" s="141" t="n">
        <v>1</v>
      </c>
      <c r="AL80" s="141" t="n">
        <v>3</v>
      </c>
      <c r="AM80" s="141" t="n">
        <v>3</v>
      </c>
      <c r="AN80" s="141" t="n">
        <v>5</v>
      </c>
      <c r="AO80" s="179" t="n">
        <f aca="false">AG80*AJ80*AK80*AL80/(AM80+AN80)*60</f>
        <v>0</v>
      </c>
      <c r="AP80" s="181" t="n">
        <v>222</v>
      </c>
      <c r="AQ80" s="181" t="n">
        <v>33</v>
      </c>
      <c r="AR80" s="16"/>
      <c r="AS80" s="51"/>
      <c r="AT80" s="16"/>
      <c r="AU80" s="16"/>
      <c r="AV80" s="16"/>
    </row>
    <row r="81" customFormat="false" ht="12.8" hidden="true" customHeight="false" outlineLevel="0" collapsed="false">
      <c r="A81" s="16" t="s">
        <v>52</v>
      </c>
      <c r="B81" s="17" t="s">
        <v>113</v>
      </c>
      <c r="C81" s="17" t="s">
        <v>146</v>
      </c>
      <c r="D81" s="16" t="s">
        <v>149</v>
      </c>
      <c r="E81" s="130" t="s">
        <v>87</v>
      </c>
      <c r="F81" s="16" t="s">
        <v>143</v>
      </c>
      <c r="G81" s="157" t="s">
        <v>932</v>
      </c>
      <c r="H81" s="154" t="s">
        <v>46</v>
      </c>
      <c r="I81" s="17" t="s">
        <v>92</v>
      </c>
      <c r="J81" s="154" t="s">
        <v>646</v>
      </c>
      <c r="K81" s="148" t="s">
        <v>92</v>
      </c>
      <c r="L81" s="150"/>
      <c r="M81" s="16"/>
      <c r="N81" s="16"/>
      <c r="O81" s="16"/>
      <c r="P81" s="16"/>
      <c r="Q81" s="16"/>
      <c r="R81" s="16"/>
      <c r="S81" s="17" t="s">
        <v>92</v>
      </c>
      <c r="T81" s="16"/>
      <c r="U81" s="16"/>
      <c r="V81" s="16"/>
      <c r="W81" s="16" t="n">
        <v>1</v>
      </c>
      <c r="X81" s="16" t="n">
        <v>2</v>
      </c>
      <c r="Y81" s="16"/>
      <c r="Z81" s="16" t="n">
        <v>3</v>
      </c>
      <c r="AA81" s="16"/>
      <c r="AB81" s="16" t="n">
        <v>4</v>
      </c>
      <c r="AC81" s="16" t="n">
        <v>5</v>
      </c>
      <c r="AD81" s="16"/>
      <c r="AE81" s="17" t="s">
        <v>46</v>
      </c>
      <c r="AF81" s="17" t="s">
        <v>844</v>
      </c>
      <c r="AG81" s="181" t="n">
        <v>300</v>
      </c>
      <c r="AH81" s="179" t="n">
        <f aca="false">AP81/60*(AM81+AN81)/AJ81/AK81/AL81</f>
        <v>0</v>
      </c>
      <c r="AI81" s="179" t="n">
        <f aca="false">AQ81/60*(AM81+AN81)/AJ81/AK81/AL81</f>
        <v>0</v>
      </c>
      <c r="AJ81" s="141" t="n">
        <v>2</v>
      </c>
      <c r="AK81" s="141" t="n">
        <v>1</v>
      </c>
      <c r="AL81" s="141" t="n">
        <v>2</v>
      </c>
      <c r="AM81" s="141" t="n">
        <v>4</v>
      </c>
      <c r="AN81" s="141" t="n">
        <v>16</v>
      </c>
      <c r="AO81" s="179" t="n">
        <f aca="false">AG81*AJ81*AK81*AL81/(AM81+AN81)*60</f>
        <v>0</v>
      </c>
      <c r="AP81" s="181" t="n">
        <v>0</v>
      </c>
      <c r="AQ81" s="181" t="n">
        <v>612</v>
      </c>
      <c r="AR81" s="16"/>
      <c r="AS81" s="51"/>
      <c r="AT81" s="16"/>
      <c r="AU81" s="16"/>
      <c r="AV81" s="16"/>
    </row>
    <row r="82" customFormat="false" ht="12.8" hidden="true" customHeight="false" outlineLevel="0" collapsed="false">
      <c r="A82" s="16" t="s">
        <v>52</v>
      </c>
      <c r="B82" s="17" t="s">
        <v>113</v>
      </c>
      <c r="C82" s="17" t="s">
        <v>146</v>
      </c>
      <c r="D82" s="16" t="s">
        <v>149</v>
      </c>
      <c r="E82" s="130" t="s">
        <v>87</v>
      </c>
      <c r="F82" s="16" t="s">
        <v>143</v>
      </c>
      <c r="G82" s="157" t="s">
        <v>929</v>
      </c>
      <c r="H82" s="154" t="s">
        <v>930</v>
      </c>
      <c r="I82" s="17" t="s">
        <v>92</v>
      </c>
      <c r="J82" s="154" t="s">
        <v>645</v>
      </c>
      <c r="K82" s="150"/>
      <c r="L82" s="150"/>
      <c r="M82" s="16"/>
      <c r="N82" s="16"/>
      <c r="O82" s="16"/>
      <c r="P82" s="16"/>
      <c r="Q82" s="17" t="s">
        <v>92</v>
      </c>
      <c r="R82" s="16"/>
      <c r="S82" s="16"/>
      <c r="T82" s="16"/>
      <c r="U82" s="16" t="n">
        <v>1</v>
      </c>
      <c r="V82" s="16" t="n">
        <v>2</v>
      </c>
      <c r="W82" s="16" t="n">
        <v>3</v>
      </c>
      <c r="X82" s="16" t="n">
        <v>4</v>
      </c>
      <c r="Y82" s="16"/>
      <c r="Z82" s="16"/>
      <c r="AA82" s="16"/>
      <c r="AB82" s="16"/>
      <c r="AC82" s="16"/>
      <c r="AD82" s="16"/>
      <c r="AE82" s="148" t="s">
        <v>44</v>
      </c>
      <c r="AF82" s="148" t="s">
        <v>844</v>
      </c>
      <c r="AG82" s="181" t="n">
        <v>100</v>
      </c>
      <c r="AH82" s="179" t="n">
        <f aca="false">AP82/60*(AM82+AN82)/AJ82/AK82/AL82</f>
        <v>0</v>
      </c>
      <c r="AI82" s="179" t="n">
        <f aca="false">AQ82/60*(AM82+AN82)/AJ82/AK82/AL82</f>
        <v>0</v>
      </c>
      <c r="AJ82" s="141" t="n">
        <v>1</v>
      </c>
      <c r="AK82" s="141" t="n">
        <v>2</v>
      </c>
      <c r="AL82" s="141" t="n">
        <v>1</v>
      </c>
      <c r="AM82" s="141" t="n">
        <v>0</v>
      </c>
      <c r="AN82" s="141" t="n">
        <v>8</v>
      </c>
      <c r="AO82" s="179" t="n">
        <f aca="false">AG82*AJ82*AK82*AL82/(AM82+AN82)*60</f>
        <v>0</v>
      </c>
      <c r="AP82" s="181" t="n">
        <v>300</v>
      </c>
      <c r="AQ82" s="181" t="n">
        <v>150</v>
      </c>
      <c r="AR82" s="16"/>
      <c r="AS82" s="51"/>
      <c r="AT82" s="16"/>
      <c r="AU82" s="16"/>
      <c r="AV82" s="16"/>
    </row>
    <row r="83" customFormat="false" ht="12.8" hidden="true" customHeight="false" outlineLevel="0" collapsed="false">
      <c r="A83" s="16" t="s">
        <v>52</v>
      </c>
      <c r="B83" s="17" t="s">
        <v>113</v>
      </c>
      <c r="C83" s="17" t="s">
        <v>155</v>
      </c>
      <c r="D83" s="16" t="s">
        <v>156</v>
      </c>
      <c r="E83" s="130" t="s">
        <v>89</v>
      </c>
      <c r="F83" s="16" t="s">
        <v>148</v>
      </c>
      <c r="G83" s="157" t="s">
        <v>933</v>
      </c>
      <c r="H83" s="154" t="s">
        <v>652</v>
      </c>
      <c r="I83" s="17" t="s">
        <v>92</v>
      </c>
      <c r="J83" s="154" t="s">
        <v>651</v>
      </c>
      <c r="K83" s="148" t="s">
        <v>92</v>
      </c>
      <c r="L83" s="150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 t="n">
        <v>1</v>
      </c>
      <c r="AA83" s="16"/>
      <c r="AB83" s="16" t="n">
        <v>2</v>
      </c>
      <c r="AC83" s="16" t="n">
        <v>3</v>
      </c>
      <c r="AD83" s="16"/>
      <c r="AE83" s="17" t="s">
        <v>652</v>
      </c>
      <c r="AF83" s="17" t="s">
        <v>844</v>
      </c>
      <c r="AG83" s="181" t="n">
        <v>600</v>
      </c>
      <c r="AH83" s="179" t="n">
        <f aca="false">AP83/60*(AM83+AN83)/AJ83/AK83/AL83</f>
        <v>0</v>
      </c>
      <c r="AI83" s="179" t="n">
        <f aca="false">AQ83/60*(AM83+AN83)/AJ83/AK83/AL83</f>
        <v>0</v>
      </c>
      <c r="AJ83" s="141" t="n">
        <v>1</v>
      </c>
      <c r="AK83" s="141" t="n">
        <v>1</v>
      </c>
      <c r="AL83" s="141" t="n">
        <v>1</v>
      </c>
      <c r="AM83" s="141" t="n">
        <v>0</v>
      </c>
      <c r="AN83" s="141" t="n">
        <v>12</v>
      </c>
      <c r="AO83" s="179" t="n">
        <f aca="false">AG83*AJ83*AK83*AL83/(AM83+AN83)*60</f>
        <v>0</v>
      </c>
      <c r="AP83" s="181" t="n">
        <v>0</v>
      </c>
      <c r="AQ83" s="181" t="n">
        <v>1612</v>
      </c>
      <c r="AR83" s="16"/>
      <c r="AS83" s="51"/>
      <c r="AT83" s="16"/>
      <c r="AU83" s="16"/>
      <c r="AV83" s="16"/>
    </row>
    <row r="84" customFormat="false" ht="12.8" hidden="true" customHeight="false" outlineLevel="0" collapsed="false">
      <c r="A84" s="16" t="s">
        <v>52</v>
      </c>
      <c r="B84" s="17" t="s">
        <v>113</v>
      </c>
      <c r="C84" s="17" t="s">
        <v>155</v>
      </c>
      <c r="D84" s="16" t="s">
        <v>156</v>
      </c>
      <c r="E84" s="130" t="s">
        <v>89</v>
      </c>
      <c r="F84" s="16" t="s">
        <v>148</v>
      </c>
      <c r="G84" s="157" t="s">
        <v>934</v>
      </c>
      <c r="H84" s="154" t="s">
        <v>886</v>
      </c>
      <c r="I84" s="16"/>
      <c r="J84" s="154" t="s">
        <v>587</v>
      </c>
      <c r="K84" s="150"/>
      <c r="L84" s="150"/>
      <c r="M84" s="16"/>
      <c r="N84" s="16"/>
      <c r="O84" s="16"/>
      <c r="P84" s="16"/>
      <c r="Q84" s="17" t="s">
        <v>92</v>
      </c>
      <c r="R84" s="16"/>
      <c r="S84" s="16"/>
      <c r="T84" s="16"/>
      <c r="U84" s="16" t="n">
        <v>1</v>
      </c>
      <c r="V84" s="16" t="n">
        <v>2</v>
      </c>
      <c r="W84" s="16" t="n">
        <v>3</v>
      </c>
      <c r="X84" s="16" t="n">
        <v>4</v>
      </c>
      <c r="Y84" s="16"/>
      <c r="Z84" s="16"/>
      <c r="AA84" s="16"/>
      <c r="AB84" s="16"/>
      <c r="AC84" s="16"/>
      <c r="AD84" s="16"/>
      <c r="AE84" s="148" t="s">
        <v>44</v>
      </c>
      <c r="AF84" s="148" t="s">
        <v>844</v>
      </c>
      <c r="AG84" s="181" t="n">
        <v>15</v>
      </c>
      <c r="AH84" s="179" t="n">
        <f aca="false">AP84/60*(AM84+AN84)/AJ84/AK84/AL84</f>
        <v>0</v>
      </c>
      <c r="AI84" s="179" t="n">
        <f aca="false">AQ84/60*(AM84+AN84)/AJ84/AK84/AL84</f>
        <v>0</v>
      </c>
      <c r="AJ84" s="141" t="n">
        <v>2</v>
      </c>
      <c r="AK84" s="141" t="n">
        <v>1</v>
      </c>
      <c r="AL84" s="141" t="n">
        <v>3</v>
      </c>
      <c r="AM84" s="141" t="n">
        <v>3</v>
      </c>
      <c r="AN84" s="141" t="n">
        <v>6</v>
      </c>
      <c r="AO84" s="179" t="n">
        <f aca="false">AG84*AJ84*AK84*AL84/(AM84+AN84)*60</f>
        <v>0</v>
      </c>
      <c r="AP84" s="181" t="n">
        <v>316</v>
      </c>
      <c r="AQ84" s="181" t="n">
        <v>65</v>
      </c>
      <c r="AR84" s="16"/>
      <c r="AS84" s="51"/>
      <c r="AT84" s="16"/>
      <c r="AU84" s="16"/>
      <c r="AV84" s="16"/>
    </row>
    <row r="85" customFormat="false" ht="12.8" hidden="true" customHeight="false" outlineLevel="0" collapsed="false">
      <c r="A85" s="36" t="s">
        <v>52</v>
      </c>
      <c r="B85" s="35" t="s">
        <v>113</v>
      </c>
      <c r="C85" s="34" t="s">
        <v>151</v>
      </c>
      <c r="D85" s="35" t="s">
        <v>152</v>
      </c>
      <c r="E85" s="34" t="s">
        <v>89</v>
      </c>
      <c r="F85" s="35" t="s">
        <v>153</v>
      </c>
      <c r="G85" s="157" t="s">
        <v>842</v>
      </c>
      <c r="H85" s="154" t="s">
        <v>843</v>
      </c>
      <c r="I85" s="17" t="s">
        <v>92</v>
      </c>
      <c r="J85" s="154" t="s">
        <v>648</v>
      </c>
      <c r="K85" s="16"/>
      <c r="L85" s="16"/>
      <c r="M85" s="16"/>
      <c r="N85" s="16"/>
      <c r="O85" s="16"/>
      <c r="P85" s="16"/>
      <c r="Q85" s="17" t="s">
        <v>92</v>
      </c>
      <c r="R85" s="16"/>
      <c r="S85" s="16"/>
      <c r="T85" s="16"/>
      <c r="U85" s="16" t="n">
        <v>1</v>
      </c>
      <c r="V85" s="16" t="n">
        <v>2</v>
      </c>
      <c r="W85" s="16" t="n">
        <v>3</v>
      </c>
      <c r="X85" s="16" t="n">
        <v>4</v>
      </c>
      <c r="Y85" s="16"/>
      <c r="Z85" s="16"/>
      <c r="AA85" s="16"/>
      <c r="AB85" s="16"/>
      <c r="AC85" s="16"/>
      <c r="AD85" s="16"/>
      <c r="AE85" s="148" t="s">
        <v>44</v>
      </c>
      <c r="AF85" s="148" t="s">
        <v>844</v>
      </c>
      <c r="AG85" s="181" t="n">
        <v>15</v>
      </c>
      <c r="AH85" s="179" t="n">
        <f aca="false">AP85/60*(AM85+AN85)/AJ85/AK85/AL85</f>
        <v>0</v>
      </c>
      <c r="AI85" s="179" t="n">
        <f aca="false">AQ85/60*(AM85+AN85)/AJ85/AK85/AL85</f>
        <v>0</v>
      </c>
      <c r="AJ85" s="141" t="n">
        <v>2</v>
      </c>
      <c r="AK85" s="141" t="n">
        <v>1</v>
      </c>
      <c r="AL85" s="141" t="n">
        <v>1</v>
      </c>
      <c r="AM85" s="141" t="n">
        <v>0</v>
      </c>
      <c r="AN85" s="141" t="n">
        <v>4</v>
      </c>
      <c r="AO85" s="179" t="n">
        <f aca="false">AG85*AJ85*AK85*AL85/(AM85+AN85)*60</f>
        <v>0</v>
      </c>
      <c r="AP85" s="181" t="n">
        <v>165</v>
      </c>
      <c r="AQ85" s="181" t="n">
        <v>18</v>
      </c>
      <c r="AR85" s="16"/>
      <c r="AS85" s="51"/>
      <c r="AT85" s="16"/>
      <c r="AU85" s="16"/>
      <c r="AV85" s="16"/>
    </row>
    <row r="86" customFormat="false" ht="12.8" hidden="true" customHeight="false" outlineLevel="0" collapsed="false">
      <c r="A86" s="36" t="s">
        <v>52</v>
      </c>
      <c r="B86" s="35" t="s">
        <v>113</v>
      </c>
      <c r="C86" s="34" t="s">
        <v>151</v>
      </c>
      <c r="D86" s="35" t="s">
        <v>154</v>
      </c>
      <c r="E86" s="34" t="s">
        <v>87</v>
      </c>
      <c r="F86" s="35" t="s">
        <v>126</v>
      </c>
      <c r="G86" s="157" t="s">
        <v>935</v>
      </c>
      <c r="H86" s="154" t="s">
        <v>936</v>
      </c>
      <c r="I86" s="17" t="s">
        <v>92</v>
      </c>
      <c r="J86" s="154" t="s">
        <v>649</v>
      </c>
      <c r="K86" s="17" t="s">
        <v>92</v>
      </c>
      <c r="L86" s="16"/>
      <c r="M86" s="16"/>
      <c r="N86" s="16"/>
      <c r="O86" s="16"/>
      <c r="P86" s="16"/>
      <c r="Q86" s="17" t="s">
        <v>92</v>
      </c>
      <c r="R86" s="16"/>
      <c r="S86" s="16"/>
      <c r="T86" s="16"/>
      <c r="U86" s="16" t="n">
        <v>1</v>
      </c>
      <c r="V86" s="16" t="n">
        <v>2</v>
      </c>
      <c r="W86" s="16" t="n">
        <v>3</v>
      </c>
      <c r="X86" s="16" t="n">
        <v>4</v>
      </c>
      <c r="Y86" s="16"/>
      <c r="Z86" s="16"/>
      <c r="AA86" s="16"/>
      <c r="AB86" s="16"/>
      <c r="AC86" s="16"/>
      <c r="AD86" s="16"/>
      <c r="AE86" s="17" t="s">
        <v>45</v>
      </c>
      <c r="AF86" s="17" t="s">
        <v>844</v>
      </c>
      <c r="AG86" s="181" t="n">
        <v>80</v>
      </c>
      <c r="AH86" s="179" t="n">
        <f aca="false">AP86/60*(AM86+AN86)/AJ86/AK86/AL86</f>
        <v>0</v>
      </c>
      <c r="AI86" s="179" t="n">
        <f aca="false">AQ86/60*(AM86+AN86)/AJ86/AK86/AL86</f>
        <v>0</v>
      </c>
      <c r="AJ86" s="141" t="n">
        <v>2</v>
      </c>
      <c r="AK86" s="141" t="n">
        <v>1</v>
      </c>
      <c r="AL86" s="141" t="n">
        <v>6</v>
      </c>
      <c r="AM86" s="141" t="n">
        <v>6</v>
      </c>
      <c r="AN86" s="141" t="n">
        <v>12</v>
      </c>
      <c r="AO86" s="179" t="n">
        <f aca="false">AG86*AJ86*AK86*AL86/(AM86+AN86)*60</f>
        <v>0</v>
      </c>
      <c r="AP86" s="181" t="n">
        <v>1100</v>
      </c>
      <c r="AQ86" s="181" t="n">
        <v>0</v>
      </c>
      <c r="AR86" s="16"/>
      <c r="AS86" s="51"/>
      <c r="AT86" s="16"/>
      <c r="AU86" s="16"/>
      <c r="AV86" s="16"/>
    </row>
    <row r="87" customFormat="false" ht="12.8" hidden="true" customHeight="false" outlineLevel="0" collapsed="false">
      <c r="A87" s="36" t="s">
        <v>52</v>
      </c>
      <c r="B87" s="35" t="s">
        <v>113</v>
      </c>
      <c r="C87" s="34" t="s">
        <v>151</v>
      </c>
      <c r="D87" s="35" t="s">
        <v>154</v>
      </c>
      <c r="E87" s="34" t="s">
        <v>87</v>
      </c>
      <c r="F87" s="35" t="s">
        <v>126</v>
      </c>
      <c r="G87" s="157" t="s">
        <v>842</v>
      </c>
      <c r="H87" s="154" t="s">
        <v>843</v>
      </c>
      <c r="I87" s="17" t="s">
        <v>92</v>
      </c>
      <c r="J87" s="154" t="s">
        <v>648</v>
      </c>
      <c r="K87" s="16"/>
      <c r="L87" s="16"/>
      <c r="M87" s="16"/>
      <c r="N87" s="16"/>
      <c r="O87" s="16"/>
      <c r="P87" s="16"/>
      <c r="Q87" s="17" t="s">
        <v>92</v>
      </c>
      <c r="R87" s="16"/>
      <c r="S87" s="16"/>
      <c r="T87" s="16"/>
      <c r="U87" s="16" t="n">
        <v>1</v>
      </c>
      <c r="V87" s="16" t="n">
        <v>2</v>
      </c>
      <c r="W87" s="16" t="n">
        <v>3</v>
      </c>
      <c r="X87" s="16" t="n">
        <v>4</v>
      </c>
      <c r="Y87" s="16"/>
      <c r="Z87" s="16"/>
      <c r="AA87" s="16"/>
      <c r="AB87" s="16"/>
      <c r="AC87" s="16"/>
      <c r="AD87" s="16"/>
      <c r="AE87" s="148" t="s">
        <v>44</v>
      </c>
      <c r="AF87" s="148" t="s">
        <v>844</v>
      </c>
      <c r="AG87" s="181" t="n">
        <v>15</v>
      </c>
      <c r="AH87" s="179" t="n">
        <f aca="false">AP87/60*(AM87+AN87)/AJ87/AK87/AL87</f>
        <v>0</v>
      </c>
      <c r="AI87" s="179" t="n">
        <f aca="false">AQ87/60*(AM87+AN87)/AJ87/AK87/AL87</f>
        <v>0</v>
      </c>
      <c r="AJ87" s="141" t="n">
        <v>2</v>
      </c>
      <c r="AK87" s="141" t="n">
        <v>1</v>
      </c>
      <c r="AL87" s="141" t="n">
        <v>1</v>
      </c>
      <c r="AM87" s="141" t="n">
        <v>0</v>
      </c>
      <c r="AN87" s="141" t="n">
        <v>4</v>
      </c>
      <c r="AO87" s="179" t="n">
        <f aca="false">AG87*AJ87*AK87*AL87/(AM87+AN87)*60</f>
        <v>0</v>
      </c>
      <c r="AP87" s="181" t="n">
        <v>165</v>
      </c>
      <c r="AQ87" s="181" t="n">
        <v>18</v>
      </c>
      <c r="AR87" s="16"/>
      <c r="AS87" s="51"/>
      <c r="AT87" s="16"/>
      <c r="AU87" s="16"/>
      <c r="AV87" s="16"/>
    </row>
    <row r="88" customFormat="false" ht="12.8" hidden="true" customHeight="false" outlineLevel="0" collapsed="false">
      <c r="A88" s="16" t="s">
        <v>53</v>
      </c>
      <c r="B88" s="16" t="s">
        <v>98</v>
      </c>
      <c r="C88" s="16" t="s">
        <v>217</v>
      </c>
      <c r="D88" s="16" t="s">
        <v>218</v>
      </c>
      <c r="E88" s="156" t="s">
        <v>89</v>
      </c>
      <c r="F88" s="16" t="s">
        <v>188</v>
      </c>
      <c r="G88" s="154" t="s">
        <v>937</v>
      </c>
      <c r="H88" s="154" t="s">
        <v>938</v>
      </c>
      <c r="I88" s="17" t="s">
        <v>92</v>
      </c>
      <c r="J88" s="154" t="s">
        <v>692</v>
      </c>
      <c r="K88" s="148" t="s">
        <v>92</v>
      </c>
      <c r="L88" s="150"/>
      <c r="M88" s="16"/>
      <c r="N88" s="16"/>
      <c r="O88" s="16"/>
      <c r="P88" s="16"/>
      <c r="Q88" s="17" t="s">
        <v>92</v>
      </c>
      <c r="R88" s="16"/>
      <c r="S88" s="16"/>
      <c r="T88" s="16"/>
      <c r="U88" s="16" t="n">
        <v>1</v>
      </c>
      <c r="V88" s="16" t="n">
        <v>2</v>
      </c>
      <c r="W88" s="16" t="n">
        <v>3</v>
      </c>
      <c r="X88" s="16" t="n">
        <v>4</v>
      </c>
      <c r="Y88" s="16"/>
      <c r="Z88" s="16"/>
      <c r="AA88" s="16"/>
      <c r="AB88" s="16"/>
      <c r="AC88" s="16"/>
      <c r="AD88" s="16"/>
      <c r="AE88" s="17" t="s">
        <v>45</v>
      </c>
      <c r="AF88" s="17" t="s">
        <v>844</v>
      </c>
      <c r="AG88" s="181" t="n">
        <v>80</v>
      </c>
      <c r="AH88" s="179" t="n">
        <f aca="false">AP88/60*(AM88+AN88)/AJ88/AK88/AL88</f>
        <v>0</v>
      </c>
      <c r="AI88" s="179" t="n">
        <f aca="false">AQ88/60*(AM88+AN88)/AJ88/AK88/AL88</f>
        <v>0</v>
      </c>
      <c r="AJ88" s="141" t="n">
        <v>2</v>
      </c>
      <c r="AK88" s="141" t="n">
        <v>1</v>
      </c>
      <c r="AL88" s="141" t="n">
        <v>8</v>
      </c>
      <c r="AM88" s="141" t="n">
        <v>8</v>
      </c>
      <c r="AN88" s="141" t="n">
        <v>14</v>
      </c>
      <c r="AO88" s="179" t="n">
        <f aca="false">AG88*AJ88*AK88*AL88/(AM88+AN88)*60</f>
        <v>0</v>
      </c>
      <c r="AP88" s="181" t="n">
        <v>1396</v>
      </c>
      <c r="AQ88" s="181" t="n">
        <v>349</v>
      </c>
      <c r="AR88" s="148" t="s">
        <v>20</v>
      </c>
      <c r="AS88" s="51" t="n">
        <v>0.04</v>
      </c>
      <c r="AT88" s="17" t="s">
        <v>47</v>
      </c>
      <c r="AU88" s="150" t="s">
        <v>846</v>
      </c>
      <c r="AV88" s="16" t="n">
        <v>3</v>
      </c>
    </row>
    <row r="89" customFormat="false" ht="12.8" hidden="true" customHeight="false" outlineLevel="0" collapsed="false">
      <c r="A89" s="16" t="s">
        <v>53</v>
      </c>
      <c r="B89" s="16" t="s">
        <v>98</v>
      </c>
      <c r="C89" s="16" t="s">
        <v>217</v>
      </c>
      <c r="D89" s="16" t="s">
        <v>219</v>
      </c>
      <c r="E89" s="156" t="s">
        <v>87</v>
      </c>
      <c r="F89" s="16" t="s">
        <v>210</v>
      </c>
      <c r="G89" s="186"/>
      <c r="H89" s="186"/>
      <c r="I89" s="16"/>
      <c r="J89" s="18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81"/>
      <c r="AH89" s="179" t="n">
        <f aca="false">AP89/60*(AM89+AN89)/AJ89/AK89/AL89</f>
        <v>0</v>
      </c>
      <c r="AI89" s="179" t="n">
        <f aca="false">AQ89/60*(AM89+AN89)/AJ89/AK89/AL89</f>
        <v>0</v>
      </c>
      <c r="AJ89" s="141" t="n">
        <v>1</v>
      </c>
      <c r="AK89" s="141" t="n">
        <v>1</v>
      </c>
      <c r="AL89" s="141" t="n">
        <v>1</v>
      </c>
      <c r="AM89" s="141" t="n">
        <v>0</v>
      </c>
      <c r="AN89" s="141" t="n">
        <v>1</v>
      </c>
      <c r="AO89" s="179" t="n">
        <f aca="false">AG89*AJ89*AK89*AL89/(AM89+AN89)*60</f>
        <v>0</v>
      </c>
      <c r="AP89" s="181" t="n">
        <v>0</v>
      </c>
      <c r="AQ89" s="181" t="n">
        <v>0</v>
      </c>
      <c r="AR89" s="16"/>
      <c r="AS89" s="51"/>
      <c r="AT89" s="16"/>
      <c r="AU89" s="16"/>
      <c r="AV89" s="16"/>
    </row>
    <row r="90" customFormat="false" ht="12.8" hidden="true" customHeight="false" outlineLevel="0" collapsed="false">
      <c r="A90" s="16" t="s">
        <v>53</v>
      </c>
      <c r="B90" s="16" t="s">
        <v>98</v>
      </c>
      <c r="C90" s="16" t="s">
        <v>217</v>
      </c>
      <c r="D90" s="16" t="s">
        <v>220</v>
      </c>
      <c r="E90" s="156" t="s">
        <v>88</v>
      </c>
      <c r="F90" s="16" t="s">
        <v>109</v>
      </c>
      <c r="G90" s="186"/>
      <c r="H90" s="186"/>
      <c r="I90" s="16"/>
      <c r="J90" s="18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81"/>
      <c r="AH90" s="179" t="n">
        <f aca="false">AP90/60*(AM90+AN90)/AJ90/AK90/AL90</f>
        <v>0</v>
      </c>
      <c r="AI90" s="179" t="n">
        <f aca="false">AQ90/60*(AM90+AN90)/AJ90/AK90/AL90</f>
        <v>0</v>
      </c>
      <c r="AJ90" s="141" t="n">
        <v>1</v>
      </c>
      <c r="AK90" s="141" t="n">
        <v>1</v>
      </c>
      <c r="AL90" s="141" t="n">
        <v>1</v>
      </c>
      <c r="AM90" s="141" t="n">
        <v>0</v>
      </c>
      <c r="AN90" s="141" t="n">
        <v>1</v>
      </c>
      <c r="AO90" s="179" t="n">
        <f aca="false">AG90*AJ90*AK90*AL90/(AM90+AN90)*60</f>
        <v>0</v>
      </c>
      <c r="AP90" s="181" t="n">
        <v>0</v>
      </c>
      <c r="AQ90" s="181" t="n">
        <v>0</v>
      </c>
      <c r="AR90" s="16"/>
      <c r="AS90" s="51"/>
      <c r="AT90" s="16"/>
      <c r="AU90" s="16"/>
      <c r="AV90" s="16"/>
    </row>
    <row r="91" customFormat="false" ht="12.8" hidden="true" customHeight="false" outlineLevel="0" collapsed="false">
      <c r="A91" s="16" t="s">
        <v>53</v>
      </c>
      <c r="B91" s="17" t="s">
        <v>81</v>
      </c>
      <c r="C91" s="17" t="s">
        <v>246</v>
      </c>
      <c r="D91" s="16" t="s">
        <v>222</v>
      </c>
      <c r="E91" s="156" t="s">
        <v>89</v>
      </c>
      <c r="F91" s="16" t="s">
        <v>188</v>
      </c>
      <c r="G91" s="154" t="s">
        <v>939</v>
      </c>
      <c r="H91" s="154" t="s">
        <v>843</v>
      </c>
      <c r="I91" s="17" t="s">
        <v>92</v>
      </c>
      <c r="J91" s="154" t="s">
        <v>587</v>
      </c>
      <c r="K91" s="16"/>
      <c r="L91" s="16"/>
      <c r="M91" s="16"/>
      <c r="N91" s="16"/>
      <c r="O91" s="16"/>
      <c r="P91" s="16"/>
      <c r="Q91" s="17" t="s">
        <v>92</v>
      </c>
      <c r="R91" s="16"/>
      <c r="S91" s="16"/>
      <c r="T91" s="16"/>
      <c r="U91" s="16" t="n">
        <v>1</v>
      </c>
      <c r="V91" s="16" t="n">
        <v>2</v>
      </c>
      <c r="W91" s="16" t="n">
        <v>3</v>
      </c>
      <c r="X91" s="16" t="n">
        <v>4</v>
      </c>
      <c r="Y91" s="16"/>
      <c r="Z91" s="16"/>
      <c r="AA91" s="16"/>
      <c r="AB91" s="16"/>
      <c r="AC91" s="16"/>
      <c r="AD91" s="16"/>
      <c r="AE91" s="148" t="s">
        <v>44</v>
      </c>
      <c r="AF91" s="148" t="s">
        <v>844</v>
      </c>
      <c r="AG91" s="181" t="n">
        <v>25</v>
      </c>
      <c r="AH91" s="179" t="n">
        <f aca="false">AP91/60*(AM91+AN91)/AJ91/AK91/AL91</f>
        <v>0</v>
      </c>
      <c r="AI91" s="179" t="n">
        <f aca="false">AQ91/60*(AM91+AN91)/AJ91/AK91/AL91</f>
        <v>0</v>
      </c>
      <c r="AJ91" s="141" t="n">
        <v>3</v>
      </c>
      <c r="AK91" s="141" t="n">
        <v>2</v>
      </c>
      <c r="AL91" s="141" t="n">
        <v>1</v>
      </c>
      <c r="AM91" s="141" t="n">
        <v>0</v>
      </c>
      <c r="AN91" s="141" t="n">
        <v>4</v>
      </c>
      <c r="AO91" s="179" t="n">
        <f aca="false">AG91*AJ91*AK91*AL91/(AM91+AN91)*60</f>
        <v>0</v>
      </c>
      <c r="AP91" s="181" t="n">
        <v>630</v>
      </c>
      <c r="AQ91" s="181" t="n">
        <v>157</v>
      </c>
      <c r="AR91" s="16"/>
      <c r="AS91" s="51"/>
      <c r="AT91" s="16"/>
      <c r="AU91" s="16"/>
      <c r="AV91" s="16"/>
    </row>
    <row r="92" customFormat="false" ht="12.8" hidden="true" customHeight="false" outlineLevel="0" collapsed="false">
      <c r="A92" s="16" t="s">
        <v>53</v>
      </c>
      <c r="B92" s="17" t="s">
        <v>81</v>
      </c>
      <c r="C92" s="17" t="s">
        <v>246</v>
      </c>
      <c r="D92" s="16" t="s">
        <v>236</v>
      </c>
      <c r="E92" s="156" t="s">
        <v>87</v>
      </c>
      <c r="F92" s="16" t="s">
        <v>237</v>
      </c>
      <c r="G92" s="186"/>
      <c r="H92" s="186"/>
      <c r="I92" s="16"/>
      <c r="J92" s="18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81"/>
      <c r="AH92" s="179" t="n">
        <f aca="false">AP92/60*(AM92+AN92)/AJ92/AK92/AL92</f>
        <v>0</v>
      </c>
      <c r="AI92" s="179" t="n">
        <f aca="false">AQ92/60*(AM92+AN92)/AJ92/AK92/AL92</f>
        <v>0</v>
      </c>
      <c r="AJ92" s="141" t="n">
        <v>1</v>
      </c>
      <c r="AK92" s="141" t="n">
        <v>1</v>
      </c>
      <c r="AL92" s="141" t="n">
        <v>1</v>
      </c>
      <c r="AM92" s="141" t="n">
        <v>0</v>
      </c>
      <c r="AN92" s="141" t="n">
        <v>1</v>
      </c>
      <c r="AO92" s="179" t="n">
        <f aca="false">AG92*AJ92*AK92*AL92/(AM92+AN92)*60</f>
        <v>0</v>
      </c>
      <c r="AP92" s="181" t="n">
        <v>0</v>
      </c>
      <c r="AQ92" s="181" t="n">
        <v>0</v>
      </c>
      <c r="AR92" s="16"/>
      <c r="AS92" s="51"/>
      <c r="AT92" s="16"/>
      <c r="AU92" s="16"/>
      <c r="AV92" s="16"/>
    </row>
    <row r="93" customFormat="false" ht="12.8" hidden="true" customHeight="false" outlineLevel="0" collapsed="false">
      <c r="A93" s="16" t="s">
        <v>53</v>
      </c>
      <c r="B93" s="17" t="s">
        <v>81</v>
      </c>
      <c r="C93" s="16" t="s">
        <v>243</v>
      </c>
      <c r="D93" s="16" t="s">
        <v>244</v>
      </c>
      <c r="E93" s="156" t="s">
        <v>89</v>
      </c>
      <c r="F93" s="16" t="s">
        <v>112</v>
      </c>
      <c r="G93" s="157" t="s">
        <v>940</v>
      </c>
      <c r="H93" s="154" t="s">
        <v>941</v>
      </c>
      <c r="I93" s="17" t="s">
        <v>92</v>
      </c>
      <c r="J93" s="154" t="s">
        <v>723</v>
      </c>
      <c r="K93" s="148" t="s">
        <v>92</v>
      </c>
      <c r="L93" s="150"/>
      <c r="M93" s="16"/>
      <c r="N93" s="16"/>
      <c r="O93" s="16"/>
      <c r="P93" s="16"/>
      <c r="Q93" s="17" t="s">
        <v>92</v>
      </c>
      <c r="R93" s="16"/>
      <c r="S93" s="16"/>
      <c r="T93" s="17" t="s">
        <v>92</v>
      </c>
      <c r="U93" s="16" t="n">
        <v>3</v>
      </c>
      <c r="V93" s="16" t="n">
        <v>4</v>
      </c>
      <c r="W93" s="16" t="n">
        <v>1</v>
      </c>
      <c r="X93" s="16" t="n">
        <v>2</v>
      </c>
      <c r="Y93" s="16"/>
      <c r="Z93" s="16"/>
      <c r="AA93" s="16"/>
      <c r="AB93" s="16"/>
      <c r="AC93" s="16"/>
      <c r="AD93" s="16"/>
      <c r="AE93" s="17" t="s">
        <v>602</v>
      </c>
      <c r="AF93" s="17" t="s">
        <v>54</v>
      </c>
      <c r="AG93" s="181" t="n">
        <v>350</v>
      </c>
      <c r="AH93" s="179" t="n">
        <f aca="false">AP93/60*(AM93+AN93)/AJ93/AK93/AL93</f>
        <v>0</v>
      </c>
      <c r="AI93" s="179" t="n">
        <f aca="false">AQ93/60*(AM93+AN93)/AJ93/AK93/AL93</f>
        <v>0</v>
      </c>
      <c r="AJ93" s="141" t="n">
        <v>1</v>
      </c>
      <c r="AK93" s="141" t="n">
        <v>1</v>
      </c>
      <c r="AL93" s="141" t="n">
        <v>1</v>
      </c>
      <c r="AM93" s="141" t="n">
        <v>0</v>
      </c>
      <c r="AN93" s="141" t="n">
        <v>5</v>
      </c>
      <c r="AO93" s="179" t="n">
        <f aca="false">AG93*AJ93*AK93*AL93/(AM93+AN93)*60</f>
        <v>0</v>
      </c>
      <c r="AP93" s="181" t="n">
        <v>714</v>
      </c>
      <c r="AQ93" s="181" t="n">
        <v>294</v>
      </c>
      <c r="AR93" s="148" t="s">
        <v>20</v>
      </c>
      <c r="AS93" s="51" t="n">
        <v>0.03</v>
      </c>
      <c r="AT93" s="17" t="s">
        <v>942</v>
      </c>
      <c r="AU93" s="150" t="s">
        <v>846</v>
      </c>
      <c r="AV93" s="16" t="n">
        <v>3</v>
      </c>
    </row>
    <row r="94" customFormat="false" ht="12.8" hidden="true" customHeight="false" outlineLevel="0" collapsed="false">
      <c r="A94" s="16" t="s">
        <v>53</v>
      </c>
      <c r="B94" s="17" t="s">
        <v>81</v>
      </c>
      <c r="C94" s="16" t="s">
        <v>243</v>
      </c>
      <c r="D94" s="17" t="s">
        <v>244</v>
      </c>
      <c r="E94" s="156" t="s">
        <v>89</v>
      </c>
      <c r="F94" s="16" t="s">
        <v>112</v>
      </c>
      <c r="G94" s="157" t="s">
        <v>943</v>
      </c>
      <c r="H94" s="154" t="s">
        <v>944</v>
      </c>
      <c r="I94" s="16"/>
      <c r="J94" s="154" t="s">
        <v>723</v>
      </c>
      <c r="K94" s="148" t="s">
        <v>92</v>
      </c>
      <c r="L94" s="150"/>
      <c r="M94" s="16"/>
      <c r="N94" s="16"/>
      <c r="O94" s="16"/>
      <c r="P94" s="16"/>
      <c r="Q94" s="17" t="s">
        <v>92</v>
      </c>
      <c r="R94" s="16"/>
      <c r="S94" s="16"/>
      <c r="T94" s="16"/>
      <c r="U94" s="16" t="n">
        <v>1</v>
      </c>
      <c r="V94" s="16" t="n">
        <v>2</v>
      </c>
      <c r="W94" s="16" t="n">
        <v>3</v>
      </c>
      <c r="X94" s="16" t="n">
        <v>4</v>
      </c>
      <c r="Y94" s="16"/>
      <c r="Z94" s="16"/>
      <c r="AA94" s="16"/>
      <c r="AB94" s="16"/>
      <c r="AC94" s="16"/>
      <c r="AD94" s="16"/>
      <c r="AE94" s="17" t="s">
        <v>602</v>
      </c>
      <c r="AF94" s="17" t="s">
        <v>54</v>
      </c>
      <c r="AG94" s="184" t="n">
        <v>45</v>
      </c>
      <c r="AH94" s="179" t="n">
        <f aca="false">AP94/60*(AM94+AN94)/AJ94/AK94/AL94</f>
        <v>0</v>
      </c>
      <c r="AI94" s="179" t="n">
        <f aca="false">AQ94/60*(AM94+AN94)/AJ94/AK94/AL94</f>
        <v>0</v>
      </c>
      <c r="AJ94" s="141" t="n">
        <v>3</v>
      </c>
      <c r="AK94" s="141" t="n">
        <v>1</v>
      </c>
      <c r="AL94" s="141" t="n">
        <v>1</v>
      </c>
      <c r="AM94" s="141" t="n">
        <v>0</v>
      </c>
      <c r="AN94" s="141" t="n">
        <v>3</v>
      </c>
      <c r="AO94" s="183" t="n">
        <f aca="false">AG94*AJ94*AK94*AL94/(AM94+AN94)*60</f>
        <v>0</v>
      </c>
      <c r="AP94" s="181" t="n">
        <v>1890</v>
      </c>
      <c r="AQ94" s="181" t="n">
        <v>0</v>
      </c>
      <c r="AR94" s="148" t="s">
        <v>21</v>
      </c>
      <c r="AS94" s="51" t="n">
        <v>0.04</v>
      </c>
      <c r="AT94" s="17" t="s">
        <v>942</v>
      </c>
      <c r="AU94" s="150" t="s">
        <v>846</v>
      </c>
      <c r="AV94" s="16" t="n">
        <v>1</v>
      </c>
    </row>
    <row r="95" customFormat="false" ht="12.8" hidden="true" customHeight="false" outlineLevel="0" collapsed="false">
      <c r="A95" s="16" t="s">
        <v>53</v>
      </c>
      <c r="B95" s="17" t="s">
        <v>81</v>
      </c>
      <c r="C95" s="16" t="s">
        <v>243</v>
      </c>
      <c r="D95" s="16" t="s">
        <v>245</v>
      </c>
      <c r="E95" s="156" t="s">
        <v>87</v>
      </c>
      <c r="F95" s="16" t="s">
        <v>170</v>
      </c>
      <c r="G95" s="186"/>
      <c r="H95" s="186"/>
      <c r="I95" s="16"/>
      <c r="J95" s="18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81"/>
      <c r="AH95" s="179" t="n">
        <f aca="false">AP95/60*(AM95+AN95)/AJ95/AK95/AL95</f>
        <v>0</v>
      </c>
      <c r="AI95" s="179" t="n">
        <f aca="false">AQ95/60*(AM95+AN95)/AJ95/AK95/AL95</f>
        <v>0</v>
      </c>
      <c r="AJ95" s="141" t="n">
        <v>1</v>
      </c>
      <c r="AK95" s="141" t="n">
        <v>1</v>
      </c>
      <c r="AL95" s="141" t="n">
        <v>1</v>
      </c>
      <c r="AM95" s="141" t="n">
        <v>0</v>
      </c>
      <c r="AN95" s="141" t="n">
        <v>1</v>
      </c>
      <c r="AO95" s="179" t="n">
        <f aca="false">AG95*AJ95*AK95*AL95/(AM95+AN95)*60</f>
        <v>0</v>
      </c>
      <c r="AP95" s="181" t="n">
        <v>0</v>
      </c>
      <c r="AQ95" s="181" t="n">
        <v>0</v>
      </c>
      <c r="AR95" s="16"/>
      <c r="AS95" s="51"/>
      <c r="AT95" s="16"/>
      <c r="AU95" s="16"/>
      <c r="AV95" s="16"/>
    </row>
    <row r="96" customFormat="false" ht="12.8" hidden="true" customHeight="false" outlineLevel="0" collapsed="false">
      <c r="A96" s="16" t="s">
        <v>53</v>
      </c>
      <c r="B96" s="17" t="s">
        <v>81</v>
      </c>
      <c r="C96" s="16" t="s">
        <v>243</v>
      </c>
      <c r="D96" s="16" t="s">
        <v>225</v>
      </c>
      <c r="E96" s="156" t="s">
        <v>88</v>
      </c>
      <c r="F96" s="16" t="s">
        <v>180</v>
      </c>
      <c r="G96" s="186"/>
      <c r="H96" s="186"/>
      <c r="I96" s="16"/>
      <c r="J96" s="18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81"/>
      <c r="AH96" s="179" t="n">
        <f aca="false">AP96/60*(AM96+AN96)/AJ96/AK96/AL96</f>
        <v>0</v>
      </c>
      <c r="AI96" s="179" t="n">
        <f aca="false">AQ96/60*(AM96+AN96)/AJ96/AK96/AL96</f>
        <v>0</v>
      </c>
      <c r="AJ96" s="141" t="n">
        <v>1</v>
      </c>
      <c r="AK96" s="141" t="n">
        <v>1</v>
      </c>
      <c r="AL96" s="141" t="n">
        <v>1</v>
      </c>
      <c r="AM96" s="141" t="n">
        <v>0</v>
      </c>
      <c r="AN96" s="141" t="n">
        <v>1</v>
      </c>
      <c r="AO96" s="179" t="n">
        <f aca="false">AG96*AJ96*AK96*AL96/(AM96+AN96)*60</f>
        <v>0</v>
      </c>
      <c r="AP96" s="181" t="n">
        <v>0</v>
      </c>
      <c r="AQ96" s="181" t="n">
        <v>0</v>
      </c>
      <c r="AR96" s="16"/>
      <c r="AS96" s="51"/>
      <c r="AT96" s="16"/>
      <c r="AU96" s="16"/>
      <c r="AV96" s="16"/>
    </row>
    <row r="97" customFormat="false" ht="12.8" hidden="true" customHeight="false" outlineLevel="0" collapsed="false">
      <c r="A97" s="16" t="s">
        <v>53</v>
      </c>
      <c r="B97" s="16" t="s">
        <v>158</v>
      </c>
      <c r="C97" s="16" t="s">
        <v>235</v>
      </c>
      <c r="D97" s="16" t="s">
        <v>236</v>
      </c>
      <c r="E97" s="156" t="s">
        <v>89</v>
      </c>
      <c r="F97" s="16" t="s">
        <v>237</v>
      </c>
      <c r="G97" s="157" t="s">
        <v>945</v>
      </c>
      <c r="H97" s="154" t="s">
        <v>843</v>
      </c>
      <c r="I97" s="17" t="s">
        <v>92</v>
      </c>
      <c r="J97" s="154" t="s">
        <v>645</v>
      </c>
      <c r="K97" s="16"/>
      <c r="L97" s="16"/>
      <c r="M97" s="16"/>
      <c r="N97" s="16"/>
      <c r="O97" s="16"/>
      <c r="P97" s="16"/>
      <c r="Q97" s="17" t="s">
        <v>92</v>
      </c>
      <c r="R97" s="16"/>
      <c r="S97" s="16"/>
      <c r="T97" s="16"/>
      <c r="U97" s="16" t="n">
        <v>1</v>
      </c>
      <c r="V97" s="16" t="n">
        <v>2</v>
      </c>
      <c r="W97" s="16" t="n">
        <v>3</v>
      </c>
      <c r="X97" s="16" t="n">
        <v>4</v>
      </c>
      <c r="Y97" s="16"/>
      <c r="Z97" s="16"/>
      <c r="AA97" s="16"/>
      <c r="AB97" s="16"/>
      <c r="AC97" s="16"/>
      <c r="AD97" s="16"/>
      <c r="AE97" s="148" t="s">
        <v>44</v>
      </c>
      <c r="AF97" s="148" t="s">
        <v>844</v>
      </c>
      <c r="AG97" s="181" t="n">
        <v>60</v>
      </c>
      <c r="AH97" s="179" t="n">
        <f aca="false">AP97/60*(AM97+AN97)/AJ97/AK97/AL97</f>
        <v>0</v>
      </c>
      <c r="AI97" s="179" t="n">
        <f aca="false">AQ97/60*(AM97+AN97)/AJ97/AK97/AL97</f>
        <v>0</v>
      </c>
      <c r="AJ97" s="141" t="n">
        <v>2</v>
      </c>
      <c r="AK97" s="141" t="n">
        <v>1</v>
      </c>
      <c r="AL97" s="141" t="n">
        <v>1</v>
      </c>
      <c r="AM97" s="141" t="n">
        <v>0</v>
      </c>
      <c r="AN97" s="141" t="n">
        <v>4</v>
      </c>
      <c r="AO97" s="179" t="n">
        <f aca="false">AG97*AJ97*AK97*AL97/(AM97+AN97)*60</f>
        <v>0</v>
      </c>
      <c r="AP97" s="181" t="n">
        <v>1195</v>
      </c>
      <c r="AQ97" s="181" t="n">
        <v>252</v>
      </c>
      <c r="AR97" s="148" t="s">
        <v>20</v>
      </c>
      <c r="AS97" s="51" t="n">
        <v>0.04</v>
      </c>
      <c r="AT97" s="148" t="s">
        <v>845</v>
      </c>
      <c r="AU97" s="150" t="s">
        <v>846</v>
      </c>
      <c r="AV97" s="16" t="n">
        <v>1</v>
      </c>
    </row>
    <row r="98" customFormat="false" ht="12.8" hidden="true" customHeight="false" outlineLevel="0" collapsed="false">
      <c r="A98" s="16" t="s">
        <v>53</v>
      </c>
      <c r="B98" s="16" t="s">
        <v>158</v>
      </c>
      <c r="C98" s="17" t="s">
        <v>235</v>
      </c>
      <c r="D98" s="16" t="s">
        <v>218</v>
      </c>
      <c r="E98" s="156" t="s">
        <v>87</v>
      </c>
      <c r="F98" s="16" t="s">
        <v>188</v>
      </c>
      <c r="G98" s="157" t="s">
        <v>945</v>
      </c>
      <c r="H98" s="154" t="s">
        <v>843</v>
      </c>
      <c r="I98" s="17" t="s">
        <v>92</v>
      </c>
      <c r="J98" s="154" t="s">
        <v>717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 t="n">
        <v>1</v>
      </c>
      <c r="V98" s="16" t="n">
        <v>2</v>
      </c>
      <c r="W98" s="16" t="n">
        <v>3</v>
      </c>
      <c r="X98" s="16" t="n">
        <v>4</v>
      </c>
      <c r="Y98" s="16"/>
      <c r="Z98" s="16"/>
      <c r="AA98" s="16"/>
      <c r="AB98" s="16"/>
      <c r="AC98" s="16"/>
      <c r="AD98" s="16"/>
      <c r="AE98" s="148" t="s">
        <v>44</v>
      </c>
      <c r="AF98" s="148" t="s">
        <v>844</v>
      </c>
      <c r="AG98" s="181" t="n">
        <v>60</v>
      </c>
      <c r="AH98" s="179" t="n">
        <f aca="false">AP98/60*(AM98+AN98)/AJ98/AK98/AL98</f>
        <v>0</v>
      </c>
      <c r="AI98" s="179" t="n">
        <f aca="false">AQ98/60*(AM98+AN98)/AJ98/AK98/AL98</f>
        <v>0</v>
      </c>
      <c r="AJ98" s="141" t="n">
        <v>2</v>
      </c>
      <c r="AK98" s="141" t="n">
        <v>1</v>
      </c>
      <c r="AL98" s="141" t="n">
        <v>1</v>
      </c>
      <c r="AM98" s="141" t="n">
        <v>0</v>
      </c>
      <c r="AN98" s="141" t="n">
        <v>4</v>
      </c>
      <c r="AO98" s="179" t="n">
        <f aca="false">AG98*AJ98*AK98*AL98/(AM98+AN98)*60</f>
        <v>0</v>
      </c>
      <c r="AP98" s="181" t="n">
        <v>1195</v>
      </c>
      <c r="AQ98" s="181" t="n">
        <v>252</v>
      </c>
      <c r="AR98" s="148" t="s">
        <v>20</v>
      </c>
      <c r="AS98" s="51" t="n">
        <v>0.04</v>
      </c>
      <c r="AT98" s="148" t="s">
        <v>845</v>
      </c>
      <c r="AU98" s="150" t="s">
        <v>846</v>
      </c>
      <c r="AV98" s="16" t="n">
        <v>1</v>
      </c>
    </row>
    <row r="99" customFormat="false" ht="12.8" hidden="true" customHeight="false" outlineLevel="0" collapsed="false">
      <c r="A99" s="16" t="s">
        <v>53</v>
      </c>
      <c r="B99" s="16" t="s">
        <v>158</v>
      </c>
      <c r="C99" s="16" t="s">
        <v>235</v>
      </c>
      <c r="D99" s="16" t="s">
        <v>222</v>
      </c>
      <c r="E99" s="156" t="s">
        <v>88</v>
      </c>
      <c r="F99" s="16" t="s">
        <v>238</v>
      </c>
      <c r="G99" s="157" t="s">
        <v>945</v>
      </c>
      <c r="H99" s="154" t="s">
        <v>843</v>
      </c>
      <c r="I99" s="17" t="s">
        <v>92</v>
      </c>
      <c r="J99" s="154" t="s">
        <v>717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 t="n">
        <v>1</v>
      </c>
      <c r="V99" s="16" t="n">
        <v>2</v>
      </c>
      <c r="W99" s="16" t="n">
        <v>3</v>
      </c>
      <c r="X99" s="16" t="n">
        <v>4</v>
      </c>
      <c r="Y99" s="16"/>
      <c r="Z99" s="16"/>
      <c r="AA99" s="16"/>
      <c r="AB99" s="16"/>
      <c r="AC99" s="16"/>
      <c r="AD99" s="16"/>
      <c r="AE99" s="148" t="s">
        <v>44</v>
      </c>
      <c r="AF99" s="148" t="s">
        <v>844</v>
      </c>
      <c r="AG99" s="181" t="n">
        <v>60</v>
      </c>
      <c r="AH99" s="179" t="n">
        <f aca="false">AP99/60*(AM99+AN99)/AJ99/AK99/AL99</f>
        <v>0</v>
      </c>
      <c r="AI99" s="179" t="n">
        <f aca="false">AQ99/60*(AM99+AN99)/AJ99/AK99/AL99</f>
        <v>0</v>
      </c>
      <c r="AJ99" s="141" t="n">
        <v>2</v>
      </c>
      <c r="AK99" s="141" t="n">
        <v>1</v>
      </c>
      <c r="AL99" s="141" t="n">
        <v>1</v>
      </c>
      <c r="AM99" s="141" t="n">
        <v>0</v>
      </c>
      <c r="AN99" s="141" t="n">
        <v>4</v>
      </c>
      <c r="AO99" s="179" t="n">
        <f aca="false">AG99*AJ99*AK99*AL99/(AM99+AN99)*60</f>
        <v>0</v>
      </c>
      <c r="AP99" s="181" t="n">
        <v>1195</v>
      </c>
      <c r="AQ99" s="181" t="n">
        <v>252</v>
      </c>
      <c r="AR99" s="148" t="s">
        <v>20</v>
      </c>
      <c r="AS99" s="51" t="n">
        <v>0.04</v>
      </c>
      <c r="AT99" s="148" t="s">
        <v>845</v>
      </c>
      <c r="AU99" s="150" t="s">
        <v>846</v>
      </c>
      <c r="AV99" s="16" t="n">
        <v>1</v>
      </c>
    </row>
    <row r="100" customFormat="false" ht="12.8" hidden="true" customHeight="false" outlineLevel="0" collapsed="false">
      <c r="A100" s="16" t="s">
        <v>53</v>
      </c>
      <c r="B100" s="17" t="s">
        <v>93</v>
      </c>
      <c r="C100" s="130" t="s">
        <v>250</v>
      </c>
      <c r="D100" s="17" t="s">
        <v>251</v>
      </c>
      <c r="E100" s="140" t="s">
        <v>89</v>
      </c>
      <c r="F100" s="16" t="s">
        <v>148</v>
      </c>
      <c r="G100" s="157" t="s">
        <v>946</v>
      </c>
      <c r="H100" s="154" t="s">
        <v>947</v>
      </c>
      <c r="I100" s="148" t="s">
        <v>92</v>
      </c>
      <c r="J100" s="157" t="s">
        <v>728</v>
      </c>
      <c r="K100" s="148" t="s">
        <v>92</v>
      </c>
      <c r="L100" s="150"/>
      <c r="M100" s="16"/>
      <c r="N100" s="16"/>
      <c r="O100" s="16"/>
      <c r="P100" s="16"/>
      <c r="Q100" s="17" t="s">
        <v>92</v>
      </c>
      <c r="R100" s="16"/>
      <c r="S100" s="16"/>
      <c r="T100" s="16"/>
      <c r="U100" s="16" t="n">
        <v>3</v>
      </c>
      <c r="V100" s="16" t="n">
        <v>4</v>
      </c>
      <c r="W100" s="16" t="n">
        <v>1</v>
      </c>
      <c r="X100" s="16" t="n">
        <v>2</v>
      </c>
      <c r="Y100" s="16"/>
      <c r="Z100" s="16"/>
      <c r="AA100" s="16"/>
      <c r="AB100" s="16"/>
      <c r="AC100" s="16"/>
      <c r="AD100" s="16"/>
      <c r="AE100" s="148" t="s">
        <v>44</v>
      </c>
      <c r="AF100" s="148" t="s">
        <v>844</v>
      </c>
      <c r="AG100" s="181" t="n">
        <v>40</v>
      </c>
      <c r="AH100" s="179" t="n">
        <f aca="false">AP100/60*(AM100+AN100)/AJ100/AK100/AL100</f>
        <v>0</v>
      </c>
      <c r="AI100" s="179" t="n">
        <f aca="false">AQ100/60*(AM100+AN100)/AJ100/AK100/AL100</f>
        <v>0</v>
      </c>
      <c r="AJ100" s="141" t="n">
        <v>3</v>
      </c>
      <c r="AK100" s="141" t="n">
        <v>2</v>
      </c>
      <c r="AL100" s="141" t="n">
        <v>1</v>
      </c>
      <c r="AM100" s="141" t="n">
        <v>0</v>
      </c>
      <c r="AN100" s="141" t="n">
        <v>6</v>
      </c>
      <c r="AO100" s="179" t="n">
        <f aca="false">AG100*AJ100*AK100*AL100/(AM100+AN100)*60</f>
        <v>0</v>
      </c>
      <c r="AP100" s="181" t="n">
        <v>201</v>
      </c>
      <c r="AQ100" s="181" t="n">
        <v>408</v>
      </c>
      <c r="AR100" s="148" t="s">
        <v>20</v>
      </c>
      <c r="AS100" s="51" t="n">
        <v>0.04</v>
      </c>
      <c r="AT100" s="148" t="s">
        <v>845</v>
      </c>
      <c r="AU100" s="150" t="s">
        <v>846</v>
      </c>
      <c r="AV100" s="16" t="n">
        <v>2</v>
      </c>
    </row>
    <row r="101" customFormat="false" ht="12.8" hidden="true" customHeight="false" outlineLevel="0" collapsed="false">
      <c r="A101" s="16" t="s">
        <v>53</v>
      </c>
      <c r="B101" s="17" t="s">
        <v>93</v>
      </c>
      <c r="C101" s="130" t="s">
        <v>250</v>
      </c>
      <c r="D101" s="17" t="s">
        <v>251</v>
      </c>
      <c r="E101" s="140" t="s">
        <v>89</v>
      </c>
      <c r="F101" s="16" t="s">
        <v>148</v>
      </c>
      <c r="G101" s="157" t="s">
        <v>948</v>
      </c>
      <c r="H101" s="154" t="s">
        <v>949</v>
      </c>
      <c r="I101" s="16"/>
      <c r="J101" s="157" t="s">
        <v>728</v>
      </c>
      <c r="K101" s="148" t="s">
        <v>92</v>
      </c>
      <c r="L101" s="150"/>
      <c r="M101" s="16"/>
      <c r="N101" s="16"/>
      <c r="O101" s="16"/>
      <c r="P101" s="16"/>
      <c r="Q101" s="17" t="s">
        <v>92</v>
      </c>
      <c r="R101" s="16"/>
      <c r="S101" s="16"/>
      <c r="T101" s="16"/>
      <c r="U101" s="16" t="n">
        <v>1</v>
      </c>
      <c r="V101" s="16" t="n">
        <v>2</v>
      </c>
      <c r="W101" s="16"/>
      <c r="X101" s="16"/>
      <c r="Y101" s="16"/>
      <c r="Z101" s="16"/>
      <c r="AA101" s="16"/>
      <c r="AB101" s="16"/>
      <c r="AC101" s="16"/>
      <c r="AD101" s="16"/>
      <c r="AE101" s="148" t="s">
        <v>44</v>
      </c>
      <c r="AF101" s="148" t="s">
        <v>844</v>
      </c>
      <c r="AG101" s="184" t="n">
        <v>0</v>
      </c>
      <c r="AH101" s="190" t="n">
        <f aca="false">AP101/60*(AM101+AN101)/AJ101/AK101/AL101</f>
        <v>0</v>
      </c>
      <c r="AI101" s="179" t="n">
        <f aca="false">AQ101/60*(AM101+AN101)/AJ101/AK101/AL101</f>
        <v>0</v>
      </c>
      <c r="AJ101" s="141" t="n">
        <v>4</v>
      </c>
      <c r="AK101" s="141" t="n">
        <v>1</v>
      </c>
      <c r="AL101" s="141" t="n">
        <v>3</v>
      </c>
      <c r="AM101" s="141" t="n">
        <v>3</v>
      </c>
      <c r="AN101" s="141" t="n">
        <v>4</v>
      </c>
      <c r="AO101" s="190" t="n">
        <f aca="false">AG101*AJ101*AK101*AL101/(AM101+AN101)*60</f>
        <v>0</v>
      </c>
      <c r="AP101" s="191" t="n">
        <v>1542.86</v>
      </c>
      <c r="AQ101" s="181" t="n">
        <v>0</v>
      </c>
      <c r="AR101" s="148" t="s">
        <v>21</v>
      </c>
      <c r="AS101" s="51" t="n">
        <v>0.06</v>
      </c>
      <c r="AT101" s="148" t="s">
        <v>845</v>
      </c>
      <c r="AU101" s="150" t="s">
        <v>846</v>
      </c>
      <c r="AV101" s="16" t="n">
        <v>1</v>
      </c>
    </row>
    <row r="102" customFormat="false" ht="12.8" hidden="true" customHeight="false" outlineLevel="0" collapsed="false">
      <c r="A102" s="16" t="s">
        <v>53</v>
      </c>
      <c r="B102" s="17" t="s">
        <v>93</v>
      </c>
      <c r="C102" s="156" t="s">
        <v>250</v>
      </c>
      <c r="D102" s="16" t="s">
        <v>252</v>
      </c>
      <c r="E102" s="156" t="s">
        <v>87</v>
      </c>
      <c r="F102" s="16" t="s">
        <v>126</v>
      </c>
      <c r="G102" s="186"/>
      <c r="H102" s="186"/>
      <c r="I102" s="16"/>
      <c r="J102" s="157" t="s">
        <v>729</v>
      </c>
      <c r="K102" s="148" t="s">
        <v>92</v>
      </c>
      <c r="L102" s="150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81"/>
      <c r="AH102" s="179" t="n">
        <f aca="false">AP102/60*(AM102+AN102)/AJ102/AK102/AL102</f>
        <v>0</v>
      </c>
      <c r="AI102" s="179" t="n">
        <f aca="false">AQ102/60*(AM102+AN102)/AJ102/AK102/AL102</f>
        <v>0</v>
      </c>
      <c r="AJ102" s="141" t="n">
        <v>1</v>
      </c>
      <c r="AK102" s="141" t="n">
        <v>1</v>
      </c>
      <c r="AL102" s="141" t="n">
        <v>1</v>
      </c>
      <c r="AM102" s="141" t="n">
        <v>0</v>
      </c>
      <c r="AN102" s="141" t="n">
        <v>1</v>
      </c>
      <c r="AO102" s="179" t="n">
        <f aca="false">AG102*AJ102*AK102*AL102/(AM102+AN102)*60</f>
        <v>0</v>
      </c>
      <c r="AP102" s="181" t="n">
        <v>0</v>
      </c>
      <c r="AQ102" s="181" t="n">
        <v>0</v>
      </c>
      <c r="AR102" s="16"/>
      <c r="AS102" s="51"/>
      <c r="AT102" s="16"/>
      <c r="AU102" s="16"/>
      <c r="AV102" s="16"/>
    </row>
    <row r="103" customFormat="false" ht="12.8" hidden="true" customHeight="false" outlineLevel="0" collapsed="false">
      <c r="A103" s="16" t="s">
        <v>53</v>
      </c>
      <c r="B103" s="17" t="s">
        <v>93</v>
      </c>
      <c r="C103" s="156" t="s">
        <v>250</v>
      </c>
      <c r="D103" s="16" t="s">
        <v>252</v>
      </c>
      <c r="E103" s="156" t="s">
        <v>87</v>
      </c>
      <c r="F103" s="16" t="s">
        <v>126</v>
      </c>
      <c r="G103" s="186"/>
      <c r="H103" s="186"/>
      <c r="I103" s="16"/>
      <c r="J103" s="157" t="s">
        <v>730</v>
      </c>
      <c r="K103" s="150"/>
      <c r="L103" s="150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81"/>
      <c r="AH103" s="179" t="n">
        <f aca="false">AP103/60*(AM103+AN103)/AJ103/AK103/AL103</f>
        <v>0</v>
      </c>
      <c r="AI103" s="179" t="n">
        <f aca="false">AQ103/60*(AM103+AN103)/AJ103/AK103/AL103</f>
        <v>0</v>
      </c>
      <c r="AJ103" s="141" t="n">
        <v>1</v>
      </c>
      <c r="AK103" s="141" t="n">
        <v>1</v>
      </c>
      <c r="AL103" s="141" t="n">
        <v>1</v>
      </c>
      <c r="AM103" s="141" t="n">
        <v>0</v>
      </c>
      <c r="AN103" s="141" t="n">
        <v>1</v>
      </c>
      <c r="AO103" s="179" t="n">
        <f aca="false">AG103*AJ103*AK103*AL103/(AM103+AN103)*60</f>
        <v>0</v>
      </c>
      <c r="AP103" s="181" t="n">
        <v>0</v>
      </c>
      <c r="AQ103" s="181" t="n">
        <v>0</v>
      </c>
      <c r="AR103" s="16"/>
      <c r="AS103" s="51"/>
      <c r="AT103" s="16"/>
      <c r="AU103" s="16"/>
      <c r="AV103" s="16"/>
    </row>
    <row r="104" customFormat="false" ht="12.8" hidden="true" customHeight="false" outlineLevel="0" collapsed="false">
      <c r="A104" s="16" t="s">
        <v>53</v>
      </c>
      <c r="B104" s="17" t="s">
        <v>93</v>
      </c>
      <c r="C104" s="130" t="s">
        <v>250</v>
      </c>
      <c r="D104" s="17" t="s">
        <v>253</v>
      </c>
      <c r="E104" s="130" t="s">
        <v>88</v>
      </c>
      <c r="F104" s="17" t="s">
        <v>178</v>
      </c>
      <c r="G104" s="186"/>
      <c r="H104" s="186"/>
      <c r="I104" s="16"/>
      <c r="J104" s="18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81"/>
      <c r="AH104" s="179" t="n">
        <f aca="false">AP104/60*(AM104+AN104)/AJ104/AK104/AL104</f>
        <v>0</v>
      </c>
      <c r="AI104" s="179" t="n">
        <f aca="false">AQ104/60*(AM104+AN104)/AJ104/AK104/AL104</f>
        <v>0</v>
      </c>
      <c r="AJ104" s="141" t="n">
        <v>1</v>
      </c>
      <c r="AK104" s="141" t="n">
        <v>1</v>
      </c>
      <c r="AL104" s="141" t="n">
        <v>1</v>
      </c>
      <c r="AM104" s="141" t="n">
        <v>0</v>
      </c>
      <c r="AN104" s="141" t="n">
        <v>1</v>
      </c>
      <c r="AO104" s="179" t="n">
        <f aca="false">AG104*AJ104*AK104*AL104/(AM104+AN104)*60</f>
        <v>0</v>
      </c>
      <c r="AP104" s="181" t="n">
        <v>0</v>
      </c>
      <c r="AQ104" s="181" t="n">
        <v>0</v>
      </c>
      <c r="AR104" s="16"/>
      <c r="AS104" s="51"/>
      <c r="AT104" s="16"/>
      <c r="AU104" s="16"/>
      <c r="AV104" s="16"/>
    </row>
    <row r="105" customFormat="false" ht="12.8" hidden="true" customHeight="false" outlineLevel="0" collapsed="false">
      <c r="A105" s="16" t="s">
        <v>53</v>
      </c>
      <c r="B105" s="17" t="s">
        <v>93</v>
      </c>
      <c r="C105" s="140" t="s">
        <v>250</v>
      </c>
      <c r="D105" s="16" t="s">
        <v>254</v>
      </c>
      <c r="E105" s="140" t="s">
        <v>255</v>
      </c>
      <c r="F105" s="16" t="s">
        <v>237</v>
      </c>
      <c r="G105" s="157" t="s">
        <v>946</v>
      </c>
      <c r="H105" s="154" t="s">
        <v>947</v>
      </c>
      <c r="I105" s="148" t="s">
        <v>92</v>
      </c>
      <c r="J105" s="157" t="s">
        <v>728</v>
      </c>
      <c r="K105" s="16"/>
      <c r="L105" s="16"/>
      <c r="M105" s="16"/>
      <c r="N105" s="16"/>
      <c r="O105" s="16"/>
      <c r="P105" s="16"/>
      <c r="Q105" s="17" t="s">
        <v>92</v>
      </c>
      <c r="R105" s="16"/>
      <c r="S105" s="16"/>
      <c r="T105" s="16"/>
      <c r="U105" s="16" t="n">
        <v>3</v>
      </c>
      <c r="V105" s="16" t="n">
        <v>4</v>
      </c>
      <c r="W105" s="16" t="n">
        <v>1</v>
      </c>
      <c r="X105" s="16" t="n">
        <v>2</v>
      </c>
      <c r="Y105" s="16"/>
      <c r="Z105" s="16"/>
      <c r="AA105" s="16"/>
      <c r="AB105" s="16"/>
      <c r="AC105" s="16"/>
      <c r="AD105" s="16"/>
      <c r="AE105" s="148" t="s">
        <v>44</v>
      </c>
      <c r="AF105" s="148" t="s">
        <v>844</v>
      </c>
      <c r="AG105" s="181" t="n">
        <v>40</v>
      </c>
      <c r="AH105" s="179" t="n">
        <f aca="false">AP105/60*(AM105+AN105)/AJ105/AK105/AL105</f>
        <v>0</v>
      </c>
      <c r="AI105" s="179" t="n">
        <f aca="false">AQ105/60*(AM105+AN105)/AJ105/AK105/AL105</f>
        <v>0</v>
      </c>
      <c r="AJ105" s="141" t="n">
        <v>1</v>
      </c>
      <c r="AK105" s="141" t="n">
        <v>2</v>
      </c>
      <c r="AL105" s="141" t="n">
        <v>1</v>
      </c>
      <c r="AM105" s="141" t="n">
        <v>0</v>
      </c>
      <c r="AN105" s="141" t="n">
        <v>6</v>
      </c>
      <c r="AO105" s="179" t="n">
        <f aca="false">AG105*AJ105*AK105*AL105/(AM105+AN105)*60</f>
        <v>0</v>
      </c>
      <c r="AP105" s="181" t="n">
        <v>96</v>
      </c>
      <c r="AQ105" s="181" t="n">
        <v>136</v>
      </c>
      <c r="AR105" s="148" t="s">
        <v>20</v>
      </c>
      <c r="AS105" s="51" t="n">
        <v>0.04</v>
      </c>
      <c r="AT105" s="148" t="s">
        <v>845</v>
      </c>
      <c r="AU105" s="150" t="s">
        <v>846</v>
      </c>
      <c r="AV105" s="16" t="n">
        <v>2</v>
      </c>
    </row>
    <row r="106" customFormat="false" ht="12.8" hidden="true" customHeight="false" outlineLevel="0" collapsed="false">
      <c r="A106" s="16" t="s">
        <v>53</v>
      </c>
      <c r="B106" s="17" t="s">
        <v>93</v>
      </c>
      <c r="C106" s="140" t="s">
        <v>250</v>
      </c>
      <c r="D106" s="16" t="s">
        <v>254</v>
      </c>
      <c r="E106" s="140" t="s">
        <v>255</v>
      </c>
      <c r="F106" s="16" t="s">
        <v>237</v>
      </c>
      <c r="G106" s="177" t="s">
        <v>847</v>
      </c>
      <c r="H106" s="147" t="s">
        <v>843</v>
      </c>
      <c r="I106" s="16"/>
      <c r="J106" s="157" t="s">
        <v>728</v>
      </c>
      <c r="K106" s="16"/>
      <c r="L106" s="16"/>
      <c r="M106" s="16"/>
      <c r="N106" s="16"/>
      <c r="O106" s="16"/>
      <c r="P106" s="16"/>
      <c r="Q106" s="17" t="s">
        <v>92</v>
      </c>
      <c r="R106" s="16"/>
      <c r="S106" s="16"/>
      <c r="T106" s="16"/>
      <c r="U106" s="16" t="n">
        <v>1</v>
      </c>
      <c r="V106" s="16" t="n">
        <v>2</v>
      </c>
      <c r="W106" s="16" t="n">
        <v>3</v>
      </c>
      <c r="X106" s="16" t="n">
        <v>4</v>
      </c>
      <c r="Y106" s="16"/>
      <c r="Z106" s="16"/>
      <c r="AA106" s="16"/>
      <c r="AB106" s="16"/>
      <c r="AC106" s="16"/>
      <c r="AD106" s="16"/>
      <c r="AE106" s="148" t="s">
        <v>44</v>
      </c>
      <c r="AF106" s="148" t="s">
        <v>844</v>
      </c>
      <c r="AG106" s="181" t="n">
        <v>30</v>
      </c>
      <c r="AH106" s="179" t="n">
        <f aca="false">AP106/60*(AM106+AN106)/AJ106/AK106/AL106</f>
        <v>0</v>
      </c>
      <c r="AI106" s="179" t="n">
        <f aca="false">AQ106/60*(AM106+AN106)/AJ106/AK106/AL106</f>
        <v>0</v>
      </c>
      <c r="AJ106" s="141" t="n">
        <v>2</v>
      </c>
      <c r="AK106" s="141" t="n">
        <v>1</v>
      </c>
      <c r="AL106" s="141" t="n">
        <v>1</v>
      </c>
      <c r="AM106" s="141" t="n">
        <v>0</v>
      </c>
      <c r="AN106" s="141" t="n">
        <v>4</v>
      </c>
      <c r="AO106" s="179" t="n">
        <f aca="false">AG106*AJ106*AK106*AL106/(AM106+AN106)*60</f>
        <v>0</v>
      </c>
      <c r="AP106" s="181" t="n">
        <v>597</v>
      </c>
      <c r="AQ106" s="181" t="n">
        <v>45</v>
      </c>
      <c r="AR106" s="148" t="s">
        <v>20</v>
      </c>
      <c r="AS106" s="51" t="n">
        <v>0.06</v>
      </c>
      <c r="AT106" s="148" t="s">
        <v>845</v>
      </c>
      <c r="AU106" s="150" t="s">
        <v>846</v>
      </c>
      <c r="AV106" s="16" t="n">
        <v>1</v>
      </c>
    </row>
    <row r="107" customFormat="false" ht="12.8" hidden="true" customHeight="false" outlineLevel="0" collapsed="false">
      <c r="A107" s="16" t="s">
        <v>53</v>
      </c>
      <c r="B107" s="16" t="s">
        <v>158</v>
      </c>
      <c r="C107" s="16" t="s">
        <v>239</v>
      </c>
      <c r="D107" s="16" t="s">
        <v>240</v>
      </c>
      <c r="E107" s="156" t="s">
        <v>89</v>
      </c>
      <c r="F107" s="16" t="s">
        <v>128</v>
      </c>
      <c r="G107" s="154" t="s">
        <v>950</v>
      </c>
      <c r="H107" s="147" t="s">
        <v>843</v>
      </c>
      <c r="I107" s="17" t="s">
        <v>92</v>
      </c>
      <c r="J107" s="154" t="s">
        <v>718</v>
      </c>
      <c r="K107" s="148" t="s">
        <v>92</v>
      </c>
      <c r="L107" s="150"/>
      <c r="M107" s="16"/>
      <c r="N107" s="16"/>
      <c r="O107" s="16"/>
      <c r="P107" s="16"/>
      <c r="Q107" s="17" t="s">
        <v>92</v>
      </c>
      <c r="R107" s="17" t="s">
        <v>92</v>
      </c>
      <c r="S107" s="16"/>
      <c r="T107" s="16"/>
      <c r="U107" s="16" t="n">
        <v>3</v>
      </c>
      <c r="V107" s="16" t="n">
        <v>4</v>
      </c>
      <c r="W107" s="16" t="n">
        <v>1</v>
      </c>
      <c r="X107" s="16" t="n">
        <v>2</v>
      </c>
      <c r="Y107" s="16"/>
      <c r="Z107" s="16"/>
      <c r="AA107" s="16"/>
      <c r="AB107" s="16"/>
      <c r="AC107" s="16"/>
      <c r="AD107" s="16"/>
      <c r="AE107" s="148" t="s">
        <v>44</v>
      </c>
      <c r="AF107" s="148" t="s">
        <v>844</v>
      </c>
      <c r="AG107" s="181" t="n">
        <v>40</v>
      </c>
      <c r="AH107" s="179" t="n">
        <f aca="false">AP107/60*(AM107+AN107)/AJ107/AK107/AL107</f>
        <v>0</v>
      </c>
      <c r="AI107" s="179" t="n">
        <f aca="false">AQ107/60*(AM107+AN107)/AJ107/AK107/AL107</f>
        <v>0</v>
      </c>
      <c r="AJ107" s="141" t="n">
        <v>5</v>
      </c>
      <c r="AK107" s="141" t="n">
        <v>1</v>
      </c>
      <c r="AL107" s="141" t="n">
        <v>1</v>
      </c>
      <c r="AM107" s="141" t="n">
        <v>0</v>
      </c>
      <c r="AN107" s="141" t="n">
        <v>3</v>
      </c>
      <c r="AO107" s="179" t="n">
        <f aca="false">AG107*AJ107*AK107*AL107/(AM107+AN107)*60</f>
        <v>0</v>
      </c>
      <c r="AP107" s="181" t="n">
        <v>1800</v>
      </c>
      <c r="AQ107" s="181" t="n">
        <v>320</v>
      </c>
      <c r="AR107" s="148" t="s">
        <v>20</v>
      </c>
      <c r="AS107" s="51" t="n">
        <v>0.03</v>
      </c>
      <c r="AT107" s="148" t="s">
        <v>845</v>
      </c>
      <c r="AU107" s="150" t="s">
        <v>846</v>
      </c>
      <c r="AV107" s="16" t="n">
        <v>3</v>
      </c>
    </row>
    <row r="108" customFormat="false" ht="12.8" hidden="true" customHeight="false" outlineLevel="0" collapsed="false">
      <c r="A108" s="16" t="s">
        <v>53</v>
      </c>
      <c r="B108" s="16" t="s">
        <v>158</v>
      </c>
      <c r="C108" s="16" t="s">
        <v>239</v>
      </c>
      <c r="D108" s="16" t="s">
        <v>241</v>
      </c>
      <c r="E108" s="156" t="s">
        <v>87</v>
      </c>
      <c r="F108" s="16" t="s">
        <v>137</v>
      </c>
      <c r="G108" s="154" t="s">
        <v>951</v>
      </c>
      <c r="H108" s="154" t="s">
        <v>952</v>
      </c>
      <c r="I108" s="17" t="s">
        <v>92</v>
      </c>
      <c r="J108" s="154" t="s">
        <v>720</v>
      </c>
      <c r="K108" s="148" t="s">
        <v>92</v>
      </c>
      <c r="L108" s="150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81"/>
      <c r="AH108" s="179" t="n">
        <f aca="false">AP108/60*(AM108+AN108)/AJ108/AK108/AL108</f>
        <v>0</v>
      </c>
      <c r="AI108" s="179" t="n">
        <f aca="false">AQ108/60*(AM108+AN108)/AJ108/AK108/AL108</f>
        <v>0</v>
      </c>
      <c r="AJ108" s="141" t="n">
        <v>1</v>
      </c>
      <c r="AK108" s="141" t="n">
        <v>1</v>
      </c>
      <c r="AL108" s="141" t="n">
        <v>1</v>
      </c>
      <c r="AM108" s="141" t="n">
        <v>0</v>
      </c>
      <c r="AN108" s="141" t="n">
        <v>1</v>
      </c>
      <c r="AO108" s="179" t="n">
        <f aca="false">AG108*AJ108*AK108*AL108/(AM108+AN108)*60</f>
        <v>0</v>
      </c>
      <c r="AP108" s="181" t="n">
        <v>0</v>
      </c>
      <c r="AQ108" s="181" t="n">
        <v>0</v>
      </c>
      <c r="AR108" s="16"/>
      <c r="AS108" s="51"/>
      <c r="AT108" s="16"/>
      <c r="AU108" s="16"/>
      <c r="AV108" s="16"/>
    </row>
    <row r="109" customFormat="false" ht="12.8" hidden="true" customHeight="false" outlineLevel="0" collapsed="false">
      <c r="A109" s="16" t="s">
        <v>53</v>
      </c>
      <c r="B109" s="16" t="s">
        <v>158</v>
      </c>
      <c r="C109" s="16" t="s">
        <v>239</v>
      </c>
      <c r="D109" s="16" t="s">
        <v>241</v>
      </c>
      <c r="E109" s="156" t="s">
        <v>87</v>
      </c>
      <c r="F109" s="16" t="s">
        <v>137</v>
      </c>
      <c r="G109" s="154" t="s">
        <v>950</v>
      </c>
      <c r="H109" s="147" t="s">
        <v>843</v>
      </c>
      <c r="I109" s="16"/>
      <c r="J109" s="154" t="s">
        <v>720</v>
      </c>
      <c r="K109" s="148" t="s">
        <v>92</v>
      </c>
      <c r="L109" s="150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81"/>
      <c r="AH109" s="179"/>
      <c r="AI109" s="179"/>
      <c r="AJ109" s="141"/>
      <c r="AK109" s="141"/>
      <c r="AL109" s="141"/>
      <c r="AM109" s="141"/>
      <c r="AN109" s="141"/>
      <c r="AO109" s="179"/>
      <c r="AP109" s="181"/>
      <c r="AQ109" s="181"/>
      <c r="AR109" s="16"/>
      <c r="AS109" s="51"/>
      <c r="AT109" s="16"/>
      <c r="AU109" s="16"/>
      <c r="AV109" s="16"/>
    </row>
    <row r="110" customFormat="false" ht="12.8" hidden="true" customHeight="false" outlineLevel="0" collapsed="false">
      <c r="A110" s="16" t="s">
        <v>53</v>
      </c>
      <c r="B110" s="16" t="s">
        <v>158</v>
      </c>
      <c r="C110" s="16" t="s">
        <v>239</v>
      </c>
      <c r="D110" s="16" t="s">
        <v>242</v>
      </c>
      <c r="E110" s="156" t="s">
        <v>88</v>
      </c>
      <c r="F110" s="16" t="s">
        <v>192</v>
      </c>
      <c r="G110" s="186"/>
      <c r="H110" s="186"/>
      <c r="I110" s="16"/>
      <c r="J110" s="18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81"/>
      <c r="AH110" s="179" t="n">
        <f aca="false">AP110/60*(AM110+AN110)/AJ110/AK110/AL110</f>
        <v>0</v>
      </c>
      <c r="AI110" s="179" t="n">
        <f aca="false">AQ110/60*(AM110+AN110)/AJ110/AK110/AL110</f>
        <v>0</v>
      </c>
      <c r="AJ110" s="141" t="n">
        <v>1</v>
      </c>
      <c r="AK110" s="141" t="n">
        <v>1</v>
      </c>
      <c r="AL110" s="141" t="n">
        <v>1</v>
      </c>
      <c r="AM110" s="141" t="n">
        <v>0</v>
      </c>
      <c r="AN110" s="141" t="n">
        <v>1</v>
      </c>
      <c r="AO110" s="179" t="n">
        <f aca="false">AG110*AJ110*AK110*AL110/(AM110+AN110)*60</f>
        <v>0</v>
      </c>
      <c r="AP110" s="181" t="n">
        <v>0</v>
      </c>
      <c r="AQ110" s="181" t="n">
        <v>0</v>
      </c>
      <c r="AR110" s="16"/>
      <c r="AS110" s="51"/>
      <c r="AT110" s="16"/>
      <c r="AU110" s="16"/>
      <c r="AV110" s="16"/>
    </row>
    <row r="111" customFormat="false" ht="12.8" hidden="true" customHeight="false" outlineLevel="0" collapsed="false">
      <c r="A111" s="16" t="s">
        <v>53</v>
      </c>
      <c r="B111" s="16" t="s">
        <v>98</v>
      </c>
      <c r="C111" s="16" t="s">
        <v>213</v>
      </c>
      <c r="D111" s="16" t="s">
        <v>214</v>
      </c>
      <c r="E111" s="156" t="s">
        <v>89</v>
      </c>
      <c r="F111" s="16" t="s">
        <v>116</v>
      </c>
      <c r="G111" s="154" t="s">
        <v>953</v>
      </c>
      <c r="H111" s="154" t="s">
        <v>938</v>
      </c>
      <c r="I111" s="17" t="s">
        <v>92</v>
      </c>
      <c r="J111" s="154" t="s">
        <v>692</v>
      </c>
      <c r="K111" s="148" t="s">
        <v>92</v>
      </c>
      <c r="L111" s="150"/>
      <c r="M111" s="16"/>
      <c r="N111" s="16"/>
      <c r="O111" s="16"/>
      <c r="P111" s="16"/>
      <c r="Q111" s="17" t="s">
        <v>92</v>
      </c>
      <c r="R111" s="16"/>
      <c r="S111" s="16"/>
      <c r="T111" s="17" t="s">
        <v>92</v>
      </c>
      <c r="U111" s="16" t="n">
        <v>3</v>
      </c>
      <c r="V111" s="16" t="n">
        <v>4</v>
      </c>
      <c r="W111" s="16" t="n">
        <v>1</v>
      </c>
      <c r="X111" s="16" t="n">
        <v>2</v>
      </c>
      <c r="Y111" s="16"/>
      <c r="Z111" s="16"/>
      <c r="AA111" s="16"/>
      <c r="AB111" s="16"/>
      <c r="AC111" s="16"/>
      <c r="AD111" s="16"/>
      <c r="AE111" s="17" t="s">
        <v>45</v>
      </c>
      <c r="AF111" s="17" t="s">
        <v>844</v>
      </c>
      <c r="AG111" s="181" t="n">
        <v>140</v>
      </c>
      <c r="AH111" s="179" t="n">
        <f aca="false">AP111/60*(AM111+AN111)/AJ111/AK111/AL111</f>
        <v>0</v>
      </c>
      <c r="AI111" s="179" t="n">
        <f aca="false">AQ111/60*(AM111+AN111)/AJ111/AK111/AL111</f>
        <v>0</v>
      </c>
      <c r="AJ111" s="141" t="n">
        <v>2</v>
      </c>
      <c r="AK111" s="141" t="n">
        <v>1</v>
      </c>
      <c r="AL111" s="141" t="n">
        <v>4</v>
      </c>
      <c r="AM111" s="141" t="n">
        <v>4</v>
      </c>
      <c r="AN111" s="141" t="n">
        <v>20</v>
      </c>
      <c r="AO111" s="179" t="n">
        <f aca="false">AG111*AJ111*AK111*AL111/(AM111+AN111)*60</f>
        <v>0</v>
      </c>
      <c r="AP111" s="181" t="n">
        <v>1433</v>
      </c>
      <c r="AQ111" s="181" t="n">
        <v>196</v>
      </c>
      <c r="AR111" s="148" t="s">
        <v>20</v>
      </c>
      <c r="AS111" s="51" t="n">
        <v>0.04</v>
      </c>
      <c r="AT111" s="17" t="s">
        <v>47</v>
      </c>
      <c r="AU111" s="150" t="s">
        <v>846</v>
      </c>
      <c r="AV111" s="16" t="n">
        <v>2</v>
      </c>
    </row>
    <row r="112" customFormat="false" ht="12.8" hidden="true" customHeight="false" outlineLevel="0" collapsed="false">
      <c r="A112" s="16" t="s">
        <v>53</v>
      </c>
      <c r="B112" s="16" t="s">
        <v>98</v>
      </c>
      <c r="C112" s="16" t="s">
        <v>213</v>
      </c>
      <c r="D112" s="16" t="s">
        <v>214</v>
      </c>
      <c r="E112" s="156" t="s">
        <v>89</v>
      </c>
      <c r="F112" s="16" t="s">
        <v>116</v>
      </c>
      <c r="G112" s="154" t="s">
        <v>954</v>
      </c>
      <c r="H112" s="154" t="s">
        <v>955</v>
      </c>
      <c r="I112" s="17" t="s">
        <v>92</v>
      </c>
      <c r="J112" s="154" t="s">
        <v>696</v>
      </c>
      <c r="K112" s="150"/>
      <c r="L112" s="150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 t="n">
        <v>1</v>
      </c>
      <c r="X112" s="16" t="n">
        <v>2</v>
      </c>
      <c r="Y112" s="16"/>
      <c r="Z112" s="16" t="n">
        <v>3</v>
      </c>
      <c r="AA112" s="16"/>
      <c r="AB112" s="16" t="n">
        <v>4</v>
      </c>
      <c r="AC112" s="16" t="n">
        <v>5</v>
      </c>
      <c r="AD112" s="16"/>
      <c r="AE112" s="148" t="s">
        <v>44</v>
      </c>
      <c r="AF112" s="148" t="s">
        <v>844</v>
      </c>
      <c r="AG112" s="181" t="n">
        <v>400</v>
      </c>
      <c r="AH112" s="179" t="n">
        <f aca="false">AP112/60*(AM112+AN112)/AJ112/AK112/AL112</f>
        <v>0</v>
      </c>
      <c r="AI112" s="179" t="n">
        <f aca="false">AQ112/60*(AM112+AN112)/AJ112/AK112/AL112</f>
        <v>0</v>
      </c>
      <c r="AJ112" s="141" t="n">
        <v>1</v>
      </c>
      <c r="AK112" s="141" t="n">
        <v>2</v>
      </c>
      <c r="AL112" s="141" t="n">
        <v>1</v>
      </c>
      <c r="AM112" s="141" t="n">
        <v>0</v>
      </c>
      <c r="AN112" s="141" t="n">
        <v>25</v>
      </c>
      <c r="AO112" s="179" t="n">
        <f aca="false">AG112*AJ112*AK112*AL112/(AM112+AN112)*60</f>
        <v>0</v>
      </c>
      <c r="AP112" s="181" t="n">
        <v>0</v>
      </c>
      <c r="AQ112" s="181" t="n">
        <v>1171</v>
      </c>
      <c r="AR112" s="148" t="s">
        <v>20</v>
      </c>
      <c r="AS112" s="51" t="n">
        <v>0.04</v>
      </c>
      <c r="AT112" s="148" t="s">
        <v>845</v>
      </c>
      <c r="AU112" s="150" t="s">
        <v>846</v>
      </c>
      <c r="AV112" s="16" t="n">
        <v>1</v>
      </c>
    </row>
    <row r="113" customFormat="false" ht="12.8" hidden="true" customHeight="false" outlineLevel="0" collapsed="false">
      <c r="A113" s="16" t="s">
        <v>53</v>
      </c>
      <c r="B113" s="16" t="s">
        <v>98</v>
      </c>
      <c r="C113" s="16" t="s">
        <v>213</v>
      </c>
      <c r="D113" s="16" t="s">
        <v>215</v>
      </c>
      <c r="E113" s="156" t="s">
        <v>87</v>
      </c>
      <c r="F113" s="16" t="s">
        <v>165</v>
      </c>
      <c r="G113" s="186"/>
      <c r="H113" s="186"/>
      <c r="I113" s="16"/>
      <c r="J113" s="18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81"/>
      <c r="AH113" s="179" t="n">
        <f aca="false">AP113/60*(AM113+AN113)/AJ113/AK113/AL113</f>
        <v>0</v>
      </c>
      <c r="AI113" s="179" t="n">
        <f aca="false">AQ113/60*(AM113+AN113)/AJ113/AK113/AL113</f>
        <v>0</v>
      </c>
      <c r="AJ113" s="141" t="n">
        <v>1</v>
      </c>
      <c r="AK113" s="141" t="n">
        <v>1</v>
      </c>
      <c r="AL113" s="141" t="n">
        <v>1</v>
      </c>
      <c r="AM113" s="141" t="n">
        <v>0</v>
      </c>
      <c r="AN113" s="141" t="n">
        <v>1</v>
      </c>
      <c r="AO113" s="179" t="n">
        <f aca="false">AG113*AJ113*AK113*AL113/(AM113+AN113)*60</f>
        <v>0</v>
      </c>
      <c r="AP113" s="181" t="n">
        <v>0</v>
      </c>
      <c r="AQ113" s="181" t="n">
        <v>0</v>
      </c>
      <c r="AR113" s="16"/>
      <c r="AS113" s="51"/>
      <c r="AT113" s="16"/>
      <c r="AU113" s="16"/>
      <c r="AV113" s="16"/>
    </row>
    <row r="114" customFormat="false" ht="12.8" hidden="true" customHeight="false" outlineLevel="0" collapsed="false">
      <c r="A114" s="16" t="s">
        <v>53</v>
      </c>
      <c r="B114" s="16" t="s">
        <v>98</v>
      </c>
      <c r="C114" s="16" t="s">
        <v>213</v>
      </c>
      <c r="D114" s="16" t="s">
        <v>216</v>
      </c>
      <c r="E114" s="156" t="s">
        <v>88</v>
      </c>
      <c r="F114" s="16" t="s">
        <v>163</v>
      </c>
      <c r="G114" s="186"/>
      <c r="H114" s="186"/>
      <c r="I114" s="16"/>
      <c r="J114" s="18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81"/>
      <c r="AH114" s="179" t="n">
        <f aca="false">AP114/60*(AM114+AN114)/AJ114/AK114/AL114</f>
        <v>0</v>
      </c>
      <c r="AI114" s="179" t="n">
        <f aca="false">AQ114/60*(AM114+AN114)/AJ114/AK114/AL114</f>
        <v>0</v>
      </c>
      <c r="AJ114" s="141" t="n">
        <v>1</v>
      </c>
      <c r="AK114" s="141" t="n">
        <v>1</v>
      </c>
      <c r="AL114" s="141" t="n">
        <v>1</v>
      </c>
      <c r="AM114" s="141" t="n">
        <v>0</v>
      </c>
      <c r="AN114" s="141" t="n">
        <v>1</v>
      </c>
      <c r="AO114" s="179" t="n">
        <f aca="false">AG114*AJ114*AK114*AL114/(AM114+AN114)*60</f>
        <v>0</v>
      </c>
      <c r="AP114" s="181" t="n">
        <v>0</v>
      </c>
      <c r="AQ114" s="181" t="n">
        <v>0</v>
      </c>
      <c r="AR114" s="16"/>
      <c r="AS114" s="51"/>
      <c r="AT114" s="16"/>
      <c r="AU114" s="16"/>
      <c r="AV114" s="16"/>
    </row>
    <row r="115" customFormat="false" ht="12.8" hidden="true" customHeight="false" outlineLevel="0" collapsed="false">
      <c r="A115" s="16" t="s">
        <v>53</v>
      </c>
      <c r="B115" s="17" t="s">
        <v>113</v>
      </c>
      <c r="C115" s="16" t="s">
        <v>221</v>
      </c>
      <c r="D115" s="17" t="s">
        <v>222</v>
      </c>
      <c r="E115" s="130" t="s">
        <v>89</v>
      </c>
      <c r="F115" s="16" t="s">
        <v>148</v>
      </c>
      <c r="G115" s="157" t="s">
        <v>956</v>
      </c>
      <c r="H115" s="147" t="s">
        <v>843</v>
      </c>
      <c r="I115" s="17" t="s">
        <v>92</v>
      </c>
      <c r="J115" s="154" t="s">
        <v>700</v>
      </c>
      <c r="K115" s="16"/>
      <c r="L115" s="16"/>
      <c r="M115" s="16"/>
      <c r="N115" s="16"/>
      <c r="O115" s="16"/>
      <c r="P115" s="16"/>
      <c r="Q115" s="17" t="s">
        <v>92</v>
      </c>
      <c r="R115" s="16"/>
      <c r="S115" s="16"/>
      <c r="T115" s="16"/>
      <c r="U115" s="16" t="n">
        <v>1</v>
      </c>
      <c r="V115" s="16" t="n">
        <v>2</v>
      </c>
      <c r="W115" s="16" t="n">
        <v>3</v>
      </c>
      <c r="X115" s="16" t="n">
        <v>4</v>
      </c>
      <c r="Y115" s="16"/>
      <c r="Z115" s="16"/>
      <c r="AA115" s="16"/>
      <c r="AB115" s="16"/>
      <c r="AC115" s="16"/>
      <c r="AD115" s="16"/>
      <c r="AE115" s="148" t="s">
        <v>44</v>
      </c>
      <c r="AF115" s="148" t="s">
        <v>844</v>
      </c>
      <c r="AG115" s="181" t="n">
        <v>35</v>
      </c>
      <c r="AH115" s="179" t="n">
        <f aca="false">AP115/60*(AM115+AN115)/AJ115/AK115/AL115</f>
        <v>0</v>
      </c>
      <c r="AI115" s="179" t="n">
        <f aca="false">AQ115/60*(AM115+AN115)/AJ115/AK115/AL115</f>
        <v>0</v>
      </c>
      <c r="AJ115" s="141" t="n">
        <v>2</v>
      </c>
      <c r="AK115" s="141" t="n">
        <v>1</v>
      </c>
      <c r="AL115" s="141" t="n">
        <v>1</v>
      </c>
      <c r="AM115" s="141" t="n">
        <v>0</v>
      </c>
      <c r="AN115" s="141" t="n">
        <v>3</v>
      </c>
      <c r="AO115" s="179" t="n">
        <f aca="false">AG115*AJ115*AK115*AL115/(AM115+AN115)*60</f>
        <v>0</v>
      </c>
      <c r="AP115" s="181" t="n">
        <v>470</v>
      </c>
      <c r="AQ115" s="181" t="n">
        <v>42</v>
      </c>
      <c r="AR115" s="16"/>
      <c r="AS115" s="51"/>
      <c r="AT115" s="16"/>
      <c r="AU115" s="16"/>
      <c r="AV115" s="16"/>
    </row>
    <row r="116" customFormat="false" ht="12.8" hidden="true" customHeight="false" outlineLevel="0" collapsed="false">
      <c r="A116" s="16" t="s">
        <v>53</v>
      </c>
      <c r="B116" s="17" t="s">
        <v>113</v>
      </c>
      <c r="C116" s="16" t="s">
        <v>223</v>
      </c>
      <c r="D116" s="17" t="s">
        <v>224</v>
      </c>
      <c r="E116" s="130" t="s">
        <v>89</v>
      </c>
      <c r="F116" s="16" t="s">
        <v>148</v>
      </c>
      <c r="G116" s="154" t="s">
        <v>957</v>
      </c>
      <c r="H116" s="157" t="s">
        <v>958</v>
      </c>
      <c r="I116" s="17" t="s">
        <v>92</v>
      </c>
      <c r="J116" s="154" t="s">
        <v>701</v>
      </c>
      <c r="K116" s="148" t="s">
        <v>92</v>
      </c>
      <c r="L116" s="150"/>
      <c r="M116" s="16"/>
      <c r="N116" s="16"/>
      <c r="O116" s="16"/>
      <c r="P116" s="16"/>
      <c r="Q116" s="17" t="s">
        <v>92</v>
      </c>
      <c r="R116" s="16"/>
      <c r="S116" s="16"/>
      <c r="T116" s="16"/>
      <c r="U116" s="16" t="n">
        <v>3</v>
      </c>
      <c r="V116" s="16" t="n">
        <v>4</v>
      </c>
      <c r="W116" s="16" t="n">
        <v>1</v>
      </c>
      <c r="X116" s="16" t="n">
        <v>2</v>
      </c>
      <c r="Y116" s="16"/>
      <c r="Z116" s="16"/>
      <c r="AA116" s="16"/>
      <c r="AB116" s="16"/>
      <c r="AC116" s="16"/>
      <c r="AD116" s="16"/>
      <c r="AE116" s="17" t="s">
        <v>45</v>
      </c>
      <c r="AF116" s="17" t="s">
        <v>844</v>
      </c>
      <c r="AG116" s="181" t="n">
        <v>300</v>
      </c>
      <c r="AH116" s="179" t="n">
        <f aca="false">AP116/60*(AM116+AN116)/AJ116/AK116/AL116</f>
        <v>0</v>
      </c>
      <c r="AI116" s="179" t="n">
        <f aca="false">AQ116/60*(AM116+AN116)/AJ116/AK116/AL116</f>
        <v>0</v>
      </c>
      <c r="AJ116" s="141" t="n">
        <v>2</v>
      </c>
      <c r="AK116" s="141" t="n">
        <v>1</v>
      </c>
      <c r="AL116" s="141" t="n">
        <v>6</v>
      </c>
      <c r="AM116" s="141" t="n">
        <v>8</v>
      </c>
      <c r="AN116" s="141" t="n">
        <v>35</v>
      </c>
      <c r="AO116" s="179" t="n">
        <f aca="false">AG116*AJ116*AK116*AL116/(AM116+AN116)*60</f>
        <v>0</v>
      </c>
      <c r="AP116" s="181" t="n">
        <v>642</v>
      </c>
      <c r="AQ116" s="181" t="n">
        <v>703</v>
      </c>
      <c r="AR116" s="16"/>
      <c r="AS116" s="51"/>
      <c r="AT116" s="16"/>
      <c r="AU116" s="16"/>
      <c r="AV116" s="16"/>
    </row>
    <row r="117" customFormat="false" ht="12.8" hidden="true" customHeight="false" outlineLevel="0" collapsed="false">
      <c r="A117" s="16" t="s">
        <v>53</v>
      </c>
      <c r="B117" s="17" t="s">
        <v>113</v>
      </c>
      <c r="C117" s="16" t="s">
        <v>223</v>
      </c>
      <c r="D117" s="17" t="s">
        <v>224</v>
      </c>
      <c r="E117" s="130" t="s">
        <v>89</v>
      </c>
      <c r="F117" s="16" t="s">
        <v>148</v>
      </c>
      <c r="G117" s="157" t="s">
        <v>959</v>
      </c>
      <c r="H117" s="147" t="s">
        <v>843</v>
      </c>
      <c r="I117" s="17" t="s">
        <v>92</v>
      </c>
      <c r="J117" s="154" t="s">
        <v>645</v>
      </c>
      <c r="K117" s="16"/>
      <c r="L117" s="16"/>
      <c r="M117" s="16"/>
      <c r="N117" s="16"/>
      <c r="O117" s="16"/>
      <c r="P117" s="16"/>
      <c r="Q117" s="17" t="s">
        <v>92</v>
      </c>
      <c r="R117" s="16"/>
      <c r="S117" s="16"/>
      <c r="T117" s="16"/>
      <c r="U117" s="16" t="n">
        <v>1</v>
      </c>
      <c r="V117" s="16" t="n">
        <v>2</v>
      </c>
      <c r="W117" s="16" t="n">
        <v>3</v>
      </c>
      <c r="X117" s="16" t="n">
        <v>4</v>
      </c>
      <c r="Y117" s="16"/>
      <c r="Z117" s="16"/>
      <c r="AA117" s="16"/>
      <c r="AB117" s="16"/>
      <c r="AC117" s="16"/>
      <c r="AD117" s="16"/>
      <c r="AE117" s="148" t="s">
        <v>44</v>
      </c>
      <c r="AF117" s="148" t="s">
        <v>844</v>
      </c>
      <c r="AG117" s="181" t="n">
        <v>55</v>
      </c>
      <c r="AH117" s="179" t="n">
        <f aca="false">AP117/60*(AM117+AN117)/AJ117/AK117/AL117</f>
        <v>0</v>
      </c>
      <c r="AI117" s="179" t="n">
        <f aca="false">AQ117/60*(AM117+AN117)/AJ117/AK117/AL117</f>
        <v>0</v>
      </c>
      <c r="AJ117" s="141" t="n">
        <v>2</v>
      </c>
      <c r="AK117" s="141" t="n">
        <v>1</v>
      </c>
      <c r="AL117" s="141" t="n">
        <v>1</v>
      </c>
      <c r="AM117" s="141" t="n">
        <v>0</v>
      </c>
      <c r="AN117" s="141" t="n">
        <v>4</v>
      </c>
      <c r="AO117" s="179" t="n">
        <f aca="false">AG117*AJ117*AK117*AL117/(AM117+AN117)*60</f>
        <v>0</v>
      </c>
      <c r="AP117" s="181" t="n">
        <v>118</v>
      </c>
      <c r="AQ117" s="181" t="n">
        <v>49</v>
      </c>
      <c r="AR117" s="16"/>
      <c r="AS117" s="51"/>
      <c r="AT117" s="16"/>
      <c r="AU117" s="16"/>
      <c r="AV117" s="16"/>
    </row>
    <row r="118" customFormat="false" ht="12.8" hidden="true" customHeight="false" outlineLevel="0" collapsed="false">
      <c r="A118" s="16" t="s">
        <v>53</v>
      </c>
      <c r="B118" s="17" t="s">
        <v>113</v>
      </c>
      <c r="C118" s="16" t="s">
        <v>223</v>
      </c>
      <c r="D118" s="17" t="s">
        <v>225</v>
      </c>
      <c r="E118" s="130" t="s">
        <v>87</v>
      </c>
      <c r="F118" s="16" t="s">
        <v>126</v>
      </c>
      <c r="G118" s="154" t="s">
        <v>960</v>
      </c>
      <c r="H118" s="157" t="s">
        <v>958</v>
      </c>
      <c r="I118" s="17" t="s">
        <v>92</v>
      </c>
      <c r="J118" s="154" t="s">
        <v>701</v>
      </c>
      <c r="K118" s="148" t="s">
        <v>92</v>
      </c>
      <c r="L118" s="150"/>
      <c r="M118" s="16"/>
      <c r="N118" s="16"/>
      <c r="O118" s="16"/>
      <c r="P118" s="17" t="s">
        <v>92</v>
      </c>
      <c r="Q118" s="130"/>
      <c r="R118" s="16"/>
      <c r="S118" s="16"/>
      <c r="T118" s="16"/>
      <c r="U118" s="16" t="n">
        <v>3</v>
      </c>
      <c r="V118" s="16" t="n">
        <v>4</v>
      </c>
      <c r="W118" s="16" t="n">
        <v>1</v>
      </c>
      <c r="X118" s="16" t="n">
        <v>2</v>
      </c>
      <c r="Y118" s="16"/>
      <c r="Z118" s="16"/>
      <c r="AA118" s="16"/>
      <c r="AB118" s="16"/>
      <c r="AC118" s="16"/>
      <c r="AD118" s="16"/>
      <c r="AE118" s="17" t="s">
        <v>45</v>
      </c>
      <c r="AF118" s="17" t="s">
        <v>844</v>
      </c>
      <c r="AG118" s="181" t="n">
        <v>100</v>
      </c>
      <c r="AH118" s="179" t="n">
        <f aca="false">AP118/60*(AM118+AN118)/AJ118/AK118/AL118</f>
        <v>0</v>
      </c>
      <c r="AI118" s="179" t="n">
        <f aca="false">AQ118/60*(AM118+AN118)/AJ118/AK118/AL118</f>
        <v>0</v>
      </c>
      <c r="AJ118" s="141" t="n">
        <v>2</v>
      </c>
      <c r="AK118" s="141" t="n">
        <v>1</v>
      </c>
      <c r="AL118" s="141" t="n">
        <v>6</v>
      </c>
      <c r="AM118" s="141" t="n">
        <v>4</v>
      </c>
      <c r="AN118" s="141" t="n">
        <v>25</v>
      </c>
      <c r="AO118" s="179" t="n">
        <f aca="false">AG118*AJ118*AK118*AL118/(AM118+AN118)*60</f>
        <v>0</v>
      </c>
      <c r="AP118" s="181" t="n">
        <v>794</v>
      </c>
      <c r="AQ118" s="181" t="n">
        <v>49</v>
      </c>
      <c r="AR118" s="16"/>
      <c r="AS118" s="51"/>
      <c r="AT118" s="16"/>
      <c r="AU118" s="16"/>
      <c r="AV118" s="16"/>
    </row>
    <row r="119" customFormat="false" ht="12.8" hidden="true" customHeight="false" outlineLevel="0" collapsed="false">
      <c r="A119" s="16" t="s">
        <v>53</v>
      </c>
      <c r="B119" s="17" t="s">
        <v>113</v>
      </c>
      <c r="C119" s="16" t="s">
        <v>223</v>
      </c>
      <c r="D119" s="17" t="s">
        <v>225</v>
      </c>
      <c r="E119" s="130" t="s">
        <v>87</v>
      </c>
      <c r="F119" s="16" t="s">
        <v>126</v>
      </c>
      <c r="G119" s="157" t="s">
        <v>961</v>
      </c>
      <c r="H119" s="147" t="s">
        <v>843</v>
      </c>
      <c r="I119" s="17" t="s">
        <v>92</v>
      </c>
      <c r="J119" s="154" t="s">
        <v>645</v>
      </c>
      <c r="K119" s="150"/>
      <c r="L119" s="150"/>
      <c r="M119" s="16"/>
      <c r="N119" s="16"/>
      <c r="O119" s="16"/>
      <c r="P119" s="17" t="s">
        <v>92</v>
      </c>
      <c r="Q119" s="130"/>
      <c r="R119" s="16"/>
      <c r="S119" s="16"/>
      <c r="T119" s="16"/>
      <c r="U119" s="16" t="n">
        <v>1</v>
      </c>
      <c r="V119" s="16" t="n">
        <v>2</v>
      </c>
      <c r="W119" s="16" t="n">
        <v>3</v>
      </c>
      <c r="X119" s="16" t="n">
        <v>4</v>
      </c>
      <c r="Y119" s="16"/>
      <c r="Z119" s="16"/>
      <c r="AA119" s="16"/>
      <c r="AB119" s="16"/>
      <c r="AC119" s="16"/>
      <c r="AD119" s="16"/>
      <c r="AE119" s="148" t="s">
        <v>44</v>
      </c>
      <c r="AF119" s="148" t="s">
        <v>844</v>
      </c>
      <c r="AG119" s="181" t="n">
        <v>20</v>
      </c>
      <c r="AH119" s="179" t="n">
        <f aca="false">AP119/60*(AM119+AN119)/AJ119/AK119/AL119</f>
        <v>0</v>
      </c>
      <c r="AI119" s="179" t="n">
        <f aca="false">AQ119/60*(AM119+AN119)/AJ119/AK119/AL119</f>
        <v>0</v>
      </c>
      <c r="AJ119" s="141" t="n">
        <v>2</v>
      </c>
      <c r="AK119" s="141" t="n">
        <v>2</v>
      </c>
      <c r="AL119" s="141" t="n">
        <v>3</v>
      </c>
      <c r="AM119" s="141" t="n">
        <v>3</v>
      </c>
      <c r="AN119" s="141" t="n">
        <v>5</v>
      </c>
      <c r="AO119" s="179" t="n">
        <f aca="false">AG119*AJ119*AK119*AL119/(AM119+AN119)*60</f>
        <v>0</v>
      </c>
      <c r="AP119" s="181" t="n">
        <v>360</v>
      </c>
      <c r="AQ119" s="181" t="n">
        <v>53</v>
      </c>
      <c r="AR119" s="16"/>
      <c r="AS119" s="51"/>
      <c r="AT119" s="16"/>
      <c r="AU119" s="16"/>
      <c r="AV119" s="16"/>
    </row>
    <row r="120" customFormat="false" ht="12.8" hidden="true" customHeight="false" outlineLevel="0" collapsed="false">
      <c r="A120" s="36" t="s">
        <v>53</v>
      </c>
      <c r="B120" s="35" t="s">
        <v>113</v>
      </c>
      <c r="C120" s="36" t="s">
        <v>223</v>
      </c>
      <c r="D120" s="35" t="s">
        <v>226</v>
      </c>
      <c r="E120" s="34" t="s">
        <v>88</v>
      </c>
      <c r="F120" s="36" t="s">
        <v>148</v>
      </c>
      <c r="G120" s="154" t="s">
        <v>957</v>
      </c>
      <c r="H120" s="157" t="s">
        <v>958</v>
      </c>
      <c r="I120" s="17" t="s">
        <v>92</v>
      </c>
      <c r="J120" s="154" t="s">
        <v>701</v>
      </c>
      <c r="K120" s="148" t="s">
        <v>92</v>
      </c>
      <c r="L120" s="150"/>
      <c r="M120" s="16"/>
      <c r="N120" s="16"/>
      <c r="O120" s="16"/>
      <c r="P120" s="130"/>
      <c r="Q120" s="17" t="s">
        <v>92</v>
      </c>
      <c r="R120" s="16"/>
      <c r="S120" s="16"/>
      <c r="T120" s="16"/>
      <c r="U120" s="16" t="n">
        <v>3</v>
      </c>
      <c r="V120" s="16" t="n">
        <v>4</v>
      </c>
      <c r="W120" s="16" t="n">
        <v>1</v>
      </c>
      <c r="X120" s="16" t="n">
        <v>2</v>
      </c>
      <c r="Y120" s="16"/>
      <c r="Z120" s="16"/>
      <c r="AA120" s="16"/>
      <c r="AB120" s="16"/>
      <c r="AC120" s="16"/>
      <c r="AD120" s="16"/>
      <c r="AE120" s="17" t="s">
        <v>45</v>
      </c>
      <c r="AF120" s="17" t="s">
        <v>844</v>
      </c>
      <c r="AG120" s="181" t="n">
        <v>300</v>
      </c>
      <c r="AH120" s="179" t="n">
        <f aca="false">AP120/60*(AM120+AN120)/AJ120/AK120/AL120</f>
        <v>0</v>
      </c>
      <c r="AI120" s="179" t="n">
        <f aca="false">AQ120/60*(AM120+AN120)/AJ120/AK120/AL120</f>
        <v>0</v>
      </c>
      <c r="AJ120" s="141" t="n">
        <v>2</v>
      </c>
      <c r="AK120" s="141" t="n">
        <v>1</v>
      </c>
      <c r="AL120" s="141" t="n">
        <v>6</v>
      </c>
      <c r="AM120" s="141" t="n">
        <v>8</v>
      </c>
      <c r="AN120" s="141" t="n">
        <v>35</v>
      </c>
      <c r="AO120" s="179" t="n">
        <f aca="false">AG120*AJ120*AK120*AL120/(AM120+AN120)*60</f>
        <v>0</v>
      </c>
      <c r="AP120" s="181" t="n">
        <v>642</v>
      </c>
      <c r="AQ120" s="181" t="n">
        <v>703</v>
      </c>
      <c r="AR120" s="16"/>
      <c r="AS120" s="51"/>
      <c r="AT120" s="16"/>
      <c r="AU120" s="16"/>
      <c r="AV120" s="16"/>
    </row>
    <row r="121" customFormat="false" ht="12.8" hidden="true" customHeight="false" outlineLevel="0" collapsed="false">
      <c r="A121" s="36" t="s">
        <v>53</v>
      </c>
      <c r="B121" s="35" t="s">
        <v>113</v>
      </c>
      <c r="C121" s="36" t="s">
        <v>223</v>
      </c>
      <c r="D121" s="35" t="s">
        <v>226</v>
      </c>
      <c r="E121" s="34" t="s">
        <v>88</v>
      </c>
      <c r="F121" s="36" t="s">
        <v>148</v>
      </c>
      <c r="G121" s="157" t="s">
        <v>959</v>
      </c>
      <c r="H121" s="147" t="s">
        <v>843</v>
      </c>
      <c r="I121" s="17" t="s">
        <v>92</v>
      </c>
      <c r="J121" s="154" t="s">
        <v>645</v>
      </c>
      <c r="K121" s="150"/>
      <c r="L121" s="150"/>
      <c r="M121" s="16"/>
      <c r="N121" s="16"/>
      <c r="O121" s="16"/>
      <c r="P121" s="130"/>
      <c r="Q121" s="17" t="s">
        <v>92</v>
      </c>
      <c r="R121" s="16"/>
      <c r="S121" s="16"/>
      <c r="T121" s="16"/>
      <c r="U121" s="16" t="n">
        <v>1</v>
      </c>
      <c r="V121" s="16" t="n">
        <v>2</v>
      </c>
      <c r="W121" s="16" t="n">
        <v>3</v>
      </c>
      <c r="X121" s="16" t="n">
        <v>4</v>
      </c>
      <c r="Y121" s="16"/>
      <c r="Z121" s="16"/>
      <c r="AA121" s="16"/>
      <c r="AB121" s="16"/>
      <c r="AC121" s="16"/>
      <c r="AD121" s="16"/>
      <c r="AE121" s="148" t="s">
        <v>44</v>
      </c>
      <c r="AF121" s="148" t="s">
        <v>844</v>
      </c>
      <c r="AG121" s="181" t="n">
        <v>55</v>
      </c>
      <c r="AH121" s="179" t="n">
        <f aca="false">AP121/60*(AM121+AN121)/AJ121/AK121/AL121</f>
        <v>0</v>
      </c>
      <c r="AI121" s="179" t="n">
        <f aca="false">AQ121/60*(AM121+AN121)/AJ121/AK121/AL121</f>
        <v>0</v>
      </c>
      <c r="AJ121" s="141" t="n">
        <v>2</v>
      </c>
      <c r="AK121" s="141" t="n">
        <v>1</v>
      </c>
      <c r="AL121" s="141" t="n">
        <v>1</v>
      </c>
      <c r="AM121" s="141" t="n">
        <v>0</v>
      </c>
      <c r="AN121" s="141" t="n">
        <v>4</v>
      </c>
      <c r="AO121" s="179" t="n">
        <f aca="false">AG121*AJ121*AK121*AL121/(AM121+AN121)*60</f>
        <v>0</v>
      </c>
      <c r="AP121" s="181" t="n">
        <v>118</v>
      </c>
      <c r="AQ121" s="181" t="n">
        <v>49</v>
      </c>
      <c r="AR121" s="16"/>
      <c r="AS121" s="51"/>
      <c r="AT121" s="16"/>
      <c r="AU121" s="16"/>
      <c r="AV121" s="16"/>
    </row>
    <row r="122" customFormat="false" ht="12.8" hidden="true" customHeight="false" outlineLevel="0" collapsed="false">
      <c r="A122" s="16" t="s">
        <v>53</v>
      </c>
      <c r="B122" s="17" t="s">
        <v>113</v>
      </c>
      <c r="C122" s="16" t="s">
        <v>230</v>
      </c>
      <c r="D122" s="17" t="s">
        <v>231</v>
      </c>
      <c r="E122" s="130" t="s">
        <v>89</v>
      </c>
      <c r="F122" s="16" t="s">
        <v>148</v>
      </c>
      <c r="G122" s="157" t="s">
        <v>962</v>
      </c>
      <c r="H122" s="154" t="s">
        <v>963</v>
      </c>
      <c r="I122" s="17" t="s">
        <v>92</v>
      </c>
      <c r="J122" s="154" t="s">
        <v>706</v>
      </c>
      <c r="K122" s="148" t="s">
        <v>92</v>
      </c>
      <c r="L122" s="150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 t="n">
        <v>1</v>
      </c>
      <c r="X122" s="16" t="n">
        <v>2</v>
      </c>
      <c r="Y122" s="16"/>
      <c r="Z122" s="16"/>
      <c r="AA122" s="16"/>
      <c r="AB122" s="16"/>
      <c r="AC122" s="16"/>
      <c r="AD122" s="16"/>
      <c r="AE122" s="148" t="s">
        <v>44</v>
      </c>
      <c r="AF122" s="148" t="s">
        <v>844</v>
      </c>
      <c r="AG122" s="181" t="n">
        <v>250</v>
      </c>
      <c r="AH122" s="179" t="n">
        <f aca="false">AP122/60*(AM122+AN122)/AJ122/AK122/AL122</f>
        <v>0</v>
      </c>
      <c r="AI122" s="179" t="n">
        <f aca="false">AQ122/60*(AM122+AN122)/AJ122/AK122/AL122</f>
        <v>0</v>
      </c>
      <c r="AJ122" s="141" t="n">
        <v>2</v>
      </c>
      <c r="AK122" s="141" t="n">
        <v>2</v>
      </c>
      <c r="AL122" s="141" t="n">
        <v>1</v>
      </c>
      <c r="AM122" s="141" t="n">
        <v>0</v>
      </c>
      <c r="AN122" s="141" t="n">
        <v>10</v>
      </c>
      <c r="AO122" s="179" t="n">
        <f aca="false">AG122*AJ122*AK122*AL122/(AM122+AN122)*60</f>
        <v>0</v>
      </c>
      <c r="AP122" s="181" t="n">
        <v>0</v>
      </c>
      <c r="AQ122" s="181" t="n">
        <v>900</v>
      </c>
      <c r="AR122" s="16"/>
      <c r="AS122" s="51"/>
      <c r="AT122" s="16"/>
      <c r="AU122" s="16"/>
      <c r="AV122" s="16"/>
    </row>
    <row r="123" customFormat="false" ht="12.8" hidden="true" customHeight="false" outlineLevel="0" collapsed="false">
      <c r="A123" s="16" t="s">
        <v>53</v>
      </c>
      <c r="B123" s="17" t="s">
        <v>113</v>
      </c>
      <c r="C123" s="16" t="s">
        <v>230</v>
      </c>
      <c r="D123" s="17" t="s">
        <v>231</v>
      </c>
      <c r="E123" s="130" t="s">
        <v>89</v>
      </c>
      <c r="F123" s="16" t="s">
        <v>148</v>
      </c>
      <c r="G123" s="157" t="s">
        <v>959</v>
      </c>
      <c r="H123" s="147" t="s">
        <v>843</v>
      </c>
      <c r="I123" s="17" t="s">
        <v>92</v>
      </c>
      <c r="J123" s="154" t="s">
        <v>707</v>
      </c>
      <c r="K123" s="150"/>
      <c r="L123" s="150"/>
      <c r="M123" s="16"/>
      <c r="N123" s="16"/>
      <c r="O123" s="16"/>
      <c r="P123" s="16"/>
      <c r="Q123" s="17" t="s">
        <v>92</v>
      </c>
      <c r="R123" s="16"/>
      <c r="S123" s="16"/>
      <c r="T123" s="16"/>
      <c r="U123" s="16" t="n">
        <v>1</v>
      </c>
      <c r="V123" s="16" t="n">
        <v>2</v>
      </c>
      <c r="W123" s="16" t="n">
        <v>3</v>
      </c>
      <c r="X123" s="16" t="n">
        <v>4</v>
      </c>
      <c r="Y123" s="16"/>
      <c r="Z123" s="16"/>
      <c r="AA123" s="16"/>
      <c r="AB123" s="16"/>
      <c r="AC123" s="16"/>
      <c r="AD123" s="16"/>
      <c r="AE123" s="148" t="s">
        <v>44</v>
      </c>
      <c r="AF123" s="148" t="s">
        <v>844</v>
      </c>
      <c r="AG123" s="181" t="n">
        <v>55</v>
      </c>
      <c r="AH123" s="179" t="n">
        <f aca="false">AP123/60*(AM123+AN123)/AJ123/AK123/AL123</f>
        <v>0</v>
      </c>
      <c r="AI123" s="179" t="n">
        <f aca="false">AQ123/60*(AM123+AN123)/AJ123/AK123/AL123</f>
        <v>0</v>
      </c>
      <c r="AJ123" s="141" t="n">
        <v>5</v>
      </c>
      <c r="AK123" s="141" t="n">
        <v>1</v>
      </c>
      <c r="AL123" s="141" t="n">
        <v>1</v>
      </c>
      <c r="AM123" s="141" t="n">
        <v>0</v>
      </c>
      <c r="AN123" s="141" t="n">
        <v>4</v>
      </c>
      <c r="AO123" s="179" t="n">
        <f aca="false">AG123*AJ123*AK123*AL123/(AM123+AN123)*60</f>
        <v>0</v>
      </c>
      <c r="AP123" s="181" t="n">
        <v>166</v>
      </c>
      <c r="AQ123" s="181" t="n">
        <v>123</v>
      </c>
      <c r="AR123" s="16"/>
      <c r="AS123" s="51"/>
      <c r="AT123" s="16"/>
      <c r="AU123" s="16"/>
      <c r="AV123" s="16"/>
    </row>
    <row r="124" customFormat="false" ht="12.8" hidden="true" customHeight="false" outlineLevel="0" collapsed="false">
      <c r="A124" s="36" t="s">
        <v>53</v>
      </c>
      <c r="B124" s="35" t="s">
        <v>113</v>
      </c>
      <c r="C124" s="58" t="s">
        <v>228</v>
      </c>
      <c r="D124" s="35" t="s">
        <v>229</v>
      </c>
      <c r="E124" s="34" t="s">
        <v>89</v>
      </c>
      <c r="F124" s="36" t="s">
        <v>143</v>
      </c>
      <c r="G124" s="186"/>
      <c r="H124" s="186"/>
      <c r="I124" s="16"/>
      <c r="J124" s="18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81"/>
      <c r="AH124" s="179" t="n">
        <f aca="false">AP124/60*(AM124+AN124)/AJ124/AK124/AL124</f>
        <v>0</v>
      </c>
      <c r="AI124" s="179" t="n">
        <f aca="false">AQ124/60*(AM124+AN124)/AJ124/AK124/AL124</f>
        <v>0</v>
      </c>
      <c r="AJ124" s="141" t="n">
        <v>1</v>
      </c>
      <c r="AK124" s="141" t="n">
        <v>1</v>
      </c>
      <c r="AL124" s="141" t="n">
        <v>1</v>
      </c>
      <c r="AM124" s="141" t="n">
        <v>0</v>
      </c>
      <c r="AN124" s="141" t="n">
        <v>1</v>
      </c>
      <c r="AO124" s="179" t="n">
        <f aca="false">AG124*AJ124*AK124*AL124/(AM124+AN124)*60</f>
        <v>0</v>
      </c>
      <c r="AP124" s="181" t="n">
        <v>0</v>
      </c>
      <c r="AQ124" s="181" t="n">
        <v>0</v>
      </c>
      <c r="AR124" s="16"/>
      <c r="AS124" s="51"/>
      <c r="AT124" s="16"/>
      <c r="AU124" s="16"/>
      <c r="AV124" s="16"/>
    </row>
    <row r="125" customFormat="false" ht="12.8" hidden="true" customHeight="false" outlineLevel="0" collapsed="false">
      <c r="A125" s="36" t="s">
        <v>53</v>
      </c>
      <c r="B125" s="36" t="s">
        <v>158</v>
      </c>
      <c r="C125" s="36" t="s">
        <v>232</v>
      </c>
      <c r="D125" s="35" t="s">
        <v>233</v>
      </c>
      <c r="E125" s="58" t="s">
        <v>89</v>
      </c>
      <c r="F125" s="36" t="s">
        <v>176</v>
      </c>
      <c r="G125" s="157" t="s">
        <v>964</v>
      </c>
      <c r="H125" s="154" t="s">
        <v>965</v>
      </c>
      <c r="I125" s="17" t="s">
        <v>92</v>
      </c>
      <c r="J125" s="154" t="s">
        <v>708</v>
      </c>
      <c r="K125" s="148" t="s">
        <v>92</v>
      </c>
      <c r="L125" s="150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 t="n">
        <v>4</v>
      </c>
      <c r="X125" s="16" t="n">
        <v>5</v>
      </c>
      <c r="Y125" s="16"/>
      <c r="Z125" s="16" t="n">
        <v>1</v>
      </c>
      <c r="AA125" s="16"/>
      <c r="AB125" s="16" t="n">
        <v>2</v>
      </c>
      <c r="AC125" s="16" t="n">
        <v>3</v>
      </c>
      <c r="AD125" s="16"/>
      <c r="AE125" s="17" t="s">
        <v>652</v>
      </c>
      <c r="AF125" s="17" t="s">
        <v>844</v>
      </c>
      <c r="AG125" s="181" t="n">
        <v>450</v>
      </c>
      <c r="AH125" s="179" t="n">
        <f aca="false">AP125/60*(AM125+AN125)/AJ125/AK125/AL125</f>
        <v>0</v>
      </c>
      <c r="AI125" s="179" t="n">
        <f aca="false">AQ125/60*(AM125+AN125)/AJ125/AK125/AL125</f>
        <v>0</v>
      </c>
      <c r="AJ125" s="141" t="n">
        <v>1</v>
      </c>
      <c r="AK125" s="141" t="n">
        <v>2</v>
      </c>
      <c r="AL125" s="141" t="n">
        <v>1</v>
      </c>
      <c r="AM125" s="141" t="n">
        <v>0</v>
      </c>
      <c r="AN125" s="141" t="n">
        <v>16</v>
      </c>
      <c r="AO125" s="179" t="n">
        <f aca="false">AG125*AJ125*AK125*AL125/(AM125+AN125)*60</f>
        <v>0</v>
      </c>
      <c r="AP125" s="181" t="n">
        <v>0</v>
      </c>
      <c r="AQ125" s="181" t="n">
        <v>506</v>
      </c>
      <c r="AR125" s="16"/>
      <c r="AS125" s="51"/>
      <c r="AT125" s="16"/>
      <c r="AU125" s="16"/>
      <c r="AV125" s="16"/>
    </row>
    <row r="126" customFormat="false" ht="12.8" hidden="true" customHeight="false" outlineLevel="0" collapsed="false">
      <c r="A126" s="36" t="s">
        <v>53</v>
      </c>
      <c r="B126" s="36" t="s">
        <v>158</v>
      </c>
      <c r="C126" s="36" t="s">
        <v>232</v>
      </c>
      <c r="D126" s="35" t="s">
        <v>233</v>
      </c>
      <c r="E126" s="58" t="s">
        <v>89</v>
      </c>
      <c r="F126" s="36" t="s">
        <v>176</v>
      </c>
      <c r="G126" s="157" t="s">
        <v>966</v>
      </c>
      <c r="H126" s="154" t="s">
        <v>967</v>
      </c>
      <c r="I126" s="16"/>
      <c r="J126" s="154" t="s">
        <v>708</v>
      </c>
      <c r="K126" s="148" t="s">
        <v>92</v>
      </c>
      <c r="L126" s="150"/>
      <c r="M126" s="16"/>
      <c r="N126" s="16"/>
      <c r="O126" s="16"/>
      <c r="P126" s="16"/>
      <c r="Q126" s="16"/>
      <c r="R126" s="16"/>
      <c r="S126" s="16"/>
      <c r="T126" s="16"/>
      <c r="U126" s="16" t="n">
        <v>3</v>
      </c>
      <c r="V126" s="16" t="n">
        <v>4</v>
      </c>
      <c r="W126" s="16" t="n">
        <v>1</v>
      </c>
      <c r="X126" s="16" t="n">
        <v>2</v>
      </c>
      <c r="Y126" s="16"/>
      <c r="Z126" s="16"/>
      <c r="AA126" s="16"/>
      <c r="AB126" s="16"/>
      <c r="AC126" s="16"/>
      <c r="AD126" s="16"/>
      <c r="AE126" s="17" t="s">
        <v>652</v>
      </c>
      <c r="AF126" s="17" t="s">
        <v>844</v>
      </c>
      <c r="AG126" s="181" t="n">
        <v>60</v>
      </c>
      <c r="AH126" s="179" t="n">
        <f aca="false">AP126/60*(AM126+AN126)/AJ126/AK126/AL126</f>
        <v>0</v>
      </c>
      <c r="AI126" s="179" t="n">
        <f aca="false">AQ126/60*(AM126+AN126)/AJ126/AK126/AL126</f>
        <v>0</v>
      </c>
      <c r="AJ126" s="141" t="n">
        <v>2</v>
      </c>
      <c r="AK126" s="141" t="n">
        <v>1</v>
      </c>
      <c r="AL126" s="141" t="n">
        <v>3</v>
      </c>
      <c r="AM126" s="141" t="n">
        <v>6</v>
      </c>
      <c r="AN126" s="141" t="n">
        <v>6</v>
      </c>
      <c r="AO126" s="179" t="n">
        <f aca="false">AG126*AJ126*AK126*AL126/(AM126+AN126)*60</f>
        <v>0</v>
      </c>
      <c r="AP126" s="181" t="n">
        <v>229</v>
      </c>
      <c r="AQ126" s="181" t="n">
        <v>0</v>
      </c>
      <c r="AR126" s="16"/>
      <c r="AS126" s="51"/>
      <c r="AT126" s="16"/>
      <c r="AU126" s="16"/>
      <c r="AV126" s="16"/>
    </row>
    <row r="127" customFormat="false" ht="12.8" hidden="true" customHeight="false" outlineLevel="0" collapsed="false">
      <c r="A127" s="36" t="s">
        <v>53</v>
      </c>
      <c r="B127" s="35" t="s">
        <v>158</v>
      </c>
      <c r="C127" s="36" t="s">
        <v>232</v>
      </c>
      <c r="D127" s="36" t="s">
        <v>234</v>
      </c>
      <c r="E127" s="58" t="s">
        <v>87</v>
      </c>
      <c r="F127" s="36" t="s">
        <v>143</v>
      </c>
      <c r="G127" s="157"/>
      <c r="H127" s="157"/>
      <c r="I127" s="16"/>
      <c r="J127" s="157"/>
      <c r="K127" s="150"/>
      <c r="L127" s="150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30"/>
      <c r="AF127" s="130"/>
      <c r="AG127" s="181"/>
      <c r="AH127" s="179" t="n">
        <f aca="false">AP127/60*(AM127+AN127)/AJ127/AK127/AL127</f>
        <v>0</v>
      </c>
      <c r="AI127" s="179" t="n">
        <f aca="false">AQ127/60*(AM127+AN127)/AJ127/AK127/AL127</f>
        <v>0</v>
      </c>
      <c r="AJ127" s="141" t="n">
        <v>1</v>
      </c>
      <c r="AK127" s="141" t="n">
        <v>1</v>
      </c>
      <c r="AL127" s="141" t="n">
        <v>1</v>
      </c>
      <c r="AM127" s="141" t="n">
        <v>0</v>
      </c>
      <c r="AN127" s="141" t="n">
        <v>1</v>
      </c>
      <c r="AO127" s="179" t="n">
        <f aca="false">AG127*AJ127*AK127*AL127/(AM127+AN127)*60</f>
        <v>0</v>
      </c>
      <c r="AP127" s="181"/>
      <c r="AQ127" s="181"/>
      <c r="AR127" s="16"/>
      <c r="AS127" s="51"/>
      <c r="AT127" s="16"/>
      <c r="AU127" s="16"/>
      <c r="AV127" s="16"/>
    </row>
    <row r="128" customFormat="false" ht="12.8" hidden="true" customHeight="false" outlineLevel="0" collapsed="false">
      <c r="A128" s="36" t="s">
        <v>53</v>
      </c>
      <c r="B128" s="36" t="s">
        <v>158</v>
      </c>
      <c r="C128" s="36" t="s">
        <v>232</v>
      </c>
      <c r="D128" s="36" t="s">
        <v>234</v>
      </c>
      <c r="E128" s="58" t="s">
        <v>87</v>
      </c>
      <c r="F128" s="36" t="s">
        <v>143</v>
      </c>
      <c r="G128" s="154" t="s">
        <v>968</v>
      </c>
      <c r="H128" s="154" t="s">
        <v>914</v>
      </c>
      <c r="I128" s="17" t="s">
        <v>92</v>
      </c>
      <c r="J128" s="154" t="s">
        <v>658</v>
      </c>
      <c r="K128" s="148" t="s">
        <v>92</v>
      </c>
      <c r="L128" s="150"/>
      <c r="M128" s="16"/>
      <c r="N128" s="16"/>
      <c r="O128" s="16"/>
      <c r="P128" s="16"/>
      <c r="Q128" s="16"/>
      <c r="R128" s="16"/>
      <c r="S128" s="16"/>
      <c r="T128" s="16"/>
      <c r="U128" s="16" t="n">
        <v>6</v>
      </c>
      <c r="V128" s="16" t="n">
        <v>7</v>
      </c>
      <c r="W128" s="16"/>
      <c r="X128" s="16"/>
      <c r="Y128" s="16" t="n">
        <v>1</v>
      </c>
      <c r="Z128" s="16" t="n">
        <v>2</v>
      </c>
      <c r="AA128" s="16" t="n">
        <v>3</v>
      </c>
      <c r="AB128" s="16" t="n">
        <v>4</v>
      </c>
      <c r="AC128" s="16" t="n">
        <v>5</v>
      </c>
      <c r="AD128" s="16"/>
      <c r="AE128" s="17" t="s">
        <v>46</v>
      </c>
      <c r="AF128" s="17" t="s">
        <v>844</v>
      </c>
      <c r="AG128" s="181" t="n">
        <v>350</v>
      </c>
      <c r="AH128" s="179" t="n">
        <f aca="false">AP128/60*(AM128+AN128)/AJ128/AK128/AL128</f>
        <v>0</v>
      </c>
      <c r="AI128" s="179" t="n">
        <f aca="false">AQ128/60*(AM128+AN128)/AJ128/AK128/AL128</f>
        <v>0</v>
      </c>
      <c r="AJ128" s="141" t="n">
        <v>1</v>
      </c>
      <c r="AK128" s="141" t="n">
        <v>1</v>
      </c>
      <c r="AL128" s="141" t="n">
        <v>8</v>
      </c>
      <c r="AM128" s="141" t="n">
        <v>12</v>
      </c>
      <c r="AN128" s="141" t="n">
        <v>32</v>
      </c>
      <c r="AO128" s="179" t="n">
        <f aca="false">AG128*AJ128*AK128*AL128/(AM128+AN128)*60</f>
        <v>0</v>
      </c>
      <c r="AP128" s="181" t="n">
        <v>0</v>
      </c>
      <c r="AQ128" s="181" t="n">
        <v>0</v>
      </c>
      <c r="AR128" s="16"/>
      <c r="AS128" s="51"/>
      <c r="AT128" s="16"/>
      <c r="AU128" s="16"/>
      <c r="AV128" s="16"/>
    </row>
    <row r="129" customFormat="false" ht="12.8" hidden="true" customHeight="false" outlineLevel="0" collapsed="false">
      <c r="A129" s="36" t="s">
        <v>53</v>
      </c>
      <c r="B129" s="36" t="s">
        <v>158</v>
      </c>
      <c r="C129" s="36" t="s">
        <v>232</v>
      </c>
      <c r="D129" s="36" t="s">
        <v>234</v>
      </c>
      <c r="E129" s="58" t="s">
        <v>87</v>
      </c>
      <c r="F129" s="36" t="s">
        <v>143</v>
      </c>
      <c r="G129" s="157" t="s">
        <v>969</v>
      </c>
      <c r="H129" s="154" t="s">
        <v>938</v>
      </c>
      <c r="I129" s="16"/>
      <c r="J129" s="154" t="s">
        <v>658</v>
      </c>
      <c r="K129" s="148" t="s">
        <v>92</v>
      </c>
      <c r="L129" s="150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7" t="s">
        <v>45</v>
      </c>
      <c r="AF129" s="17" t="s">
        <v>844</v>
      </c>
      <c r="AG129" s="181"/>
      <c r="AH129" s="179" t="n">
        <f aca="false">AP129/60*(AM129+AN129)/AJ129/AK129/AL129</f>
        <v>0</v>
      </c>
      <c r="AI129" s="179" t="n">
        <f aca="false">AQ129/60*(AM129+AN129)/AJ129/AK129/AL129</f>
        <v>0</v>
      </c>
      <c r="AJ129" s="141" t="n">
        <v>1</v>
      </c>
      <c r="AK129" s="141" t="n">
        <v>1</v>
      </c>
      <c r="AL129" s="141" t="n">
        <v>1</v>
      </c>
      <c r="AM129" s="141" t="n">
        <v>0</v>
      </c>
      <c r="AN129" s="141" t="n">
        <v>1</v>
      </c>
      <c r="AO129" s="179" t="n">
        <f aca="false">AG129*AJ129*AK129*AL129/(AM129+AN129)*60</f>
        <v>0</v>
      </c>
      <c r="AP129" s="181" t="n">
        <v>0</v>
      </c>
      <c r="AQ129" s="181" t="n">
        <v>0</v>
      </c>
      <c r="AR129" s="16"/>
      <c r="AS129" s="51"/>
      <c r="AT129" s="16"/>
      <c r="AU129" s="16"/>
      <c r="AV129" s="16"/>
    </row>
    <row r="130" customFormat="false" ht="12.8" hidden="true" customHeight="false" outlineLevel="0" collapsed="false">
      <c r="A130" s="36" t="s">
        <v>53</v>
      </c>
      <c r="B130" s="35" t="s">
        <v>81</v>
      </c>
      <c r="C130" s="35" t="s">
        <v>247</v>
      </c>
      <c r="D130" s="35" t="s">
        <v>248</v>
      </c>
      <c r="E130" s="34" t="s">
        <v>89</v>
      </c>
      <c r="F130" s="35" t="s">
        <v>148</v>
      </c>
      <c r="G130" s="154" t="s">
        <v>970</v>
      </c>
      <c r="H130" s="154" t="s">
        <v>971</v>
      </c>
      <c r="I130" s="17" t="s">
        <v>92</v>
      </c>
      <c r="J130" s="154" t="s">
        <v>725</v>
      </c>
      <c r="K130" s="148" t="s">
        <v>92</v>
      </c>
      <c r="L130" s="150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 t="n">
        <v>1</v>
      </c>
      <c r="X130" s="16" t="n">
        <v>2</v>
      </c>
      <c r="Y130" s="16"/>
      <c r="Z130" s="16" t="n">
        <v>3</v>
      </c>
      <c r="AA130" s="16"/>
      <c r="AB130" s="16" t="n">
        <v>4</v>
      </c>
      <c r="AC130" s="16" t="n">
        <v>5</v>
      </c>
      <c r="AD130" s="16"/>
      <c r="AE130" s="148" t="s">
        <v>44</v>
      </c>
      <c r="AF130" s="148" t="s">
        <v>844</v>
      </c>
      <c r="AG130" s="181" t="n">
        <v>350</v>
      </c>
      <c r="AH130" s="179" t="n">
        <f aca="false">AP130/60*(AM130+AN130)/AJ130/AK130/AL130</f>
        <v>0</v>
      </c>
      <c r="AI130" s="179" t="n">
        <f aca="false">AQ130/60*(AM130+AN130)/AJ130/AK130/AL130</f>
        <v>0</v>
      </c>
      <c r="AJ130" s="141" t="n">
        <v>2</v>
      </c>
      <c r="AK130" s="141" t="n">
        <v>2</v>
      </c>
      <c r="AL130" s="141" t="n">
        <v>1</v>
      </c>
      <c r="AM130" s="141" t="n">
        <v>0</v>
      </c>
      <c r="AN130" s="141" t="n">
        <v>16</v>
      </c>
      <c r="AO130" s="179" t="n">
        <f aca="false">AG130*AJ130*AK130*AL130/(AM130+AN130)*60</f>
        <v>0</v>
      </c>
      <c r="AP130" s="181" t="n">
        <v>0</v>
      </c>
      <c r="AQ130" s="181" t="n">
        <v>735</v>
      </c>
      <c r="AR130" s="16"/>
      <c r="AS130" s="51"/>
      <c r="AT130" s="16"/>
      <c r="AU130" s="16"/>
      <c r="AV130" s="16"/>
    </row>
    <row r="131" customFormat="false" ht="12.8" hidden="true" customHeight="false" outlineLevel="0" collapsed="false">
      <c r="A131" s="36" t="s">
        <v>53</v>
      </c>
      <c r="B131" s="35" t="s">
        <v>81</v>
      </c>
      <c r="C131" s="35" t="s">
        <v>247</v>
      </c>
      <c r="D131" s="35" t="s">
        <v>248</v>
      </c>
      <c r="E131" s="34" t="s">
        <v>89</v>
      </c>
      <c r="F131" s="35" t="s">
        <v>148</v>
      </c>
      <c r="G131" s="157" t="s">
        <v>972</v>
      </c>
      <c r="H131" s="147" t="s">
        <v>843</v>
      </c>
      <c r="I131" s="16"/>
      <c r="J131" s="154" t="s">
        <v>725</v>
      </c>
      <c r="K131" s="148" t="s">
        <v>92</v>
      </c>
      <c r="L131" s="150"/>
      <c r="M131" s="16"/>
      <c r="N131" s="16"/>
      <c r="O131" s="16"/>
      <c r="P131" s="16"/>
      <c r="Q131" s="17" t="s">
        <v>92</v>
      </c>
      <c r="R131" s="16"/>
      <c r="S131" s="16"/>
      <c r="T131" s="16"/>
      <c r="U131" s="16" t="n">
        <v>1</v>
      </c>
      <c r="V131" s="16" t="n">
        <v>2</v>
      </c>
      <c r="W131" s="16" t="n">
        <v>3</v>
      </c>
      <c r="X131" s="16" t="n">
        <v>4</v>
      </c>
      <c r="Y131" s="16"/>
      <c r="Z131" s="16"/>
      <c r="AA131" s="16"/>
      <c r="AB131" s="16"/>
      <c r="AC131" s="16"/>
      <c r="AD131" s="16"/>
      <c r="AE131" s="148" t="s">
        <v>44</v>
      </c>
      <c r="AF131" s="148" t="s">
        <v>844</v>
      </c>
      <c r="AG131" s="181" t="n">
        <v>25</v>
      </c>
      <c r="AH131" s="179" t="n">
        <f aca="false">AP131/60*(AM131+AN131)/AJ131/AK131/AL131</f>
        <v>0</v>
      </c>
      <c r="AI131" s="179" t="n">
        <f aca="false">AQ131/60*(AM131+AN131)/AJ131/AK131/AL131</f>
        <v>0</v>
      </c>
      <c r="AJ131" s="141" t="n">
        <v>2</v>
      </c>
      <c r="AK131" s="141" t="n">
        <v>1</v>
      </c>
      <c r="AL131" s="141" t="n">
        <v>2</v>
      </c>
      <c r="AM131" s="141" t="n">
        <v>1</v>
      </c>
      <c r="AN131" s="141" t="n">
        <v>5</v>
      </c>
      <c r="AO131" s="179" t="n">
        <f aca="false">AG131*AJ131*AK131*AL131/(AM131+AN131)*60</f>
        <v>0</v>
      </c>
      <c r="AP131" s="181" t="n">
        <v>800</v>
      </c>
      <c r="AQ131" s="181" t="n">
        <v>40</v>
      </c>
      <c r="AR131" s="16"/>
      <c r="AS131" s="51"/>
      <c r="AT131" s="16"/>
      <c r="AU131" s="16"/>
      <c r="AV131" s="16"/>
    </row>
    <row r="132" customFormat="false" ht="12.8" hidden="true" customHeight="false" outlineLevel="0" collapsed="false">
      <c r="A132" s="36" t="s">
        <v>53</v>
      </c>
      <c r="B132" s="35" t="s">
        <v>81</v>
      </c>
      <c r="C132" s="35" t="s">
        <v>247</v>
      </c>
      <c r="D132" s="35" t="s">
        <v>248</v>
      </c>
      <c r="E132" s="34" t="s">
        <v>89</v>
      </c>
      <c r="F132" s="35" t="s">
        <v>148</v>
      </c>
      <c r="G132" s="157" t="s">
        <v>973</v>
      </c>
      <c r="H132" s="154" t="s">
        <v>974</v>
      </c>
      <c r="I132" s="17" t="s">
        <v>92</v>
      </c>
      <c r="J132" s="154" t="s">
        <v>700</v>
      </c>
      <c r="K132" s="150"/>
      <c r="L132" s="150"/>
      <c r="M132" s="16"/>
      <c r="N132" s="16"/>
      <c r="O132" s="16"/>
      <c r="P132" s="16"/>
      <c r="Q132" s="17" t="s">
        <v>92</v>
      </c>
      <c r="R132" s="16"/>
      <c r="S132" s="16"/>
      <c r="T132" s="16"/>
      <c r="U132" s="16" t="n">
        <v>1</v>
      </c>
      <c r="V132" s="16" t="n">
        <v>2</v>
      </c>
      <c r="W132" s="16" t="n">
        <v>3</v>
      </c>
      <c r="X132" s="16" t="n">
        <v>4</v>
      </c>
      <c r="Y132" s="16"/>
      <c r="Z132" s="16"/>
      <c r="AA132" s="16"/>
      <c r="AB132" s="16"/>
      <c r="AC132" s="16"/>
      <c r="AD132" s="16"/>
      <c r="AE132" s="148" t="s">
        <v>44</v>
      </c>
      <c r="AF132" s="148" t="s">
        <v>844</v>
      </c>
      <c r="AG132" s="181" t="n">
        <v>20</v>
      </c>
      <c r="AH132" s="179" t="n">
        <f aca="false">AP132/60*(AM132+AN132)/AJ132/AK132/AL132</f>
        <v>0</v>
      </c>
      <c r="AI132" s="179" t="n">
        <f aca="false">AQ132/60*(AM132+AN132)/AJ132/AK132/AL132</f>
        <v>0</v>
      </c>
      <c r="AJ132" s="141" t="n">
        <v>4</v>
      </c>
      <c r="AK132" s="141" t="n">
        <v>1</v>
      </c>
      <c r="AL132" s="141" t="n">
        <v>3</v>
      </c>
      <c r="AM132" s="141" t="n">
        <v>3</v>
      </c>
      <c r="AN132" s="141" t="n">
        <v>3</v>
      </c>
      <c r="AO132" s="183" t="n">
        <f aca="false">AG132*AJ132*AK132*AL132/(AM132+AN132)*60</f>
        <v>0</v>
      </c>
      <c r="AP132" s="181" t="n">
        <v>1440</v>
      </c>
      <c r="AQ132" s="181" t="n">
        <v>0</v>
      </c>
      <c r="AR132" s="16"/>
      <c r="AS132" s="51"/>
      <c r="AT132" s="16"/>
      <c r="AU132" s="16"/>
      <c r="AV132" s="16"/>
    </row>
    <row r="133" customFormat="false" ht="12.8" hidden="false" customHeight="false" outlineLevel="0" collapsed="false">
      <c r="A133" s="16" t="s">
        <v>258</v>
      </c>
      <c r="B133" s="17" t="s">
        <v>81</v>
      </c>
      <c r="C133" s="16" t="s">
        <v>292</v>
      </c>
      <c r="D133" s="16" t="s">
        <v>293</v>
      </c>
      <c r="E133" s="156" t="s">
        <v>89</v>
      </c>
      <c r="F133" s="16" t="s">
        <v>106</v>
      </c>
      <c r="G133" s="154" t="s">
        <v>975</v>
      </c>
      <c r="H133" s="154" t="s">
        <v>971</v>
      </c>
      <c r="I133" s="17" t="s">
        <v>92</v>
      </c>
      <c r="J133" s="154" t="s">
        <v>725</v>
      </c>
      <c r="K133" s="148" t="s">
        <v>92</v>
      </c>
      <c r="L133" s="150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 t="n">
        <v>1</v>
      </c>
      <c r="X133" s="16" t="n">
        <v>2</v>
      </c>
      <c r="Y133" s="16"/>
      <c r="Z133" s="16" t="n">
        <v>3</v>
      </c>
      <c r="AA133" s="16"/>
      <c r="AB133" s="16" t="n">
        <v>4</v>
      </c>
      <c r="AC133" s="16" t="n">
        <v>5</v>
      </c>
      <c r="AD133" s="16"/>
      <c r="AE133" s="148" t="s">
        <v>44</v>
      </c>
      <c r="AF133" s="148" t="s">
        <v>844</v>
      </c>
      <c r="AG133" s="181" t="n">
        <v>350</v>
      </c>
      <c r="AH133" s="179" t="n">
        <f aca="false">AP133/60*(AM133+AN133)/AJ133/AK133/AL133</f>
        <v>0</v>
      </c>
      <c r="AI133" s="179" t="n">
        <f aca="false">AQ133/60*(AM133+AN133)/AJ133/AK133/AL133</f>
        <v>0</v>
      </c>
      <c r="AJ133" s="141" t="n">
        <v>3</v>
      </c>
      <c r="AK133" s="141" t="n">
        <v>2</v>
      </c>
      <c r="AL133" s="141" t="n">
        <v>1</v>
      </c>
      <c r="AM133" s="141" t="n">
        <v>0</v>
      </c>
      <c r="AN133" s="141" t="n">
        <v>16</v>
      </c>
      <c r="AO133" s="179" t="n">
        <f aca="false">AG133*AJ133*AK133*AL133/(AM133+AN133)*60</f>
        <v>0</v>
      </c>
      <c r="AP133" s="181" t="n">
        <v>0</v>
      </c>
      <c r="AQ133" s="181" t="n">
        <v>1102</v>
      </c>
      <c r="AR133" s="16"/>
      <c r="AS133" s="51"/>
      <c r="AT133" s="16"/>
      <c r="AU133" s="16"/>
      <c r="AV133" s="16"/>
    </row>
    <row r="134" customFormat="false" ht="12.8" hidden="false" customHeight="false" outlineLevel="0" collapsed="false">
      <c r="A134" s="16" t="s">
        <v>258</v>
      </c>
      <c r="B134" s="17" t="s">
        <v>81</v>
      </c>
      <c r="C134" s="16" t="s">
        <v>292</v>
      </c>
      <c r="D134" s="16" t="s">
        <v>293</v>
      </c>
      <c r="E134" s="156" t="s">
        <v>89</v>
      </c>
      <c r="F134" s="16" t="s">
        <v>106</v>
      </c>
      <c r="G134" s="157" t="s">
        <v>972</v>
      </c>
      <c r="H134" s="147" t="s">
        <v>843</v>
      </c>
      <c r="I134" s="16"/>
      <c r="J134" s="154" t="s">
        <v>725</v>
      </c>
      <c r="K134" s="148" t="s">
        <v>92</v>
      </c>
      <c r="L134" s="150"/>
      <c r="M134" s="16"/>
      <c r="N134" s="16"/>
      <c r="O134" s="16"/>
      <c r="P134" s="16"/>
      <c r="Q134" s="16"/>
      <c r="R134" s="16"/>
      <c r="S134" s="16"/>
      <c r="T134" s="16"/>
      <c r="U134" s="16" t="n">
        <v>1</v>
      </c>
      <c r="V134" s="16" t="n">
        <v>2</v>
      </c>
      <c r="W134" s="16" t="n">
        <v>3</v>
      </c>
      <c r="X134" s="16" t="n">
        <v>4</v>
      </c>
      <c r="Y134" s="16"/>
      <c r="Z134" s="16"/>
      <c r="AA134" s="16"/>
      <c r="AB134" s="16"/>
      <c r="AC134" s="16"/>
      <c r="AD134" s="16"/>
      <c r="AE134" s="148" t="s">
        <v>44</v>
      </c>
      <c r="AF134" s="148" t="s">
        <v>844</v>
      </c>
      <c r="AG134" s="181" t="n">
        <v>25</v>
      </c>
      <c r="AH134" s="179" t="n">
        <f aca="false">AP134/60*(AM134+AN134)/AJ134/AK134/AL134</f>
        <v>0</v>
      </c>
      <c r="AI134" s="179" t="n">
        <f aca="false">AQ134/60*(AM134+AN134)/AJ134/AK134/AL134</f>
        <v>0</v>
      </c>
      <c r="AJ134" s="141" t="n">
        <v>4</v>
      </c>
      <c r="AK134" s="141" t="n">
        <v>1</v>
      </c>
      <c r="AL134" s="141" t="n">
        <v>2</v>
      </c>
      <c r="AM134" s="141" t="n">
        <v>1</v>
      </c>
      <c r="AN134" s="141" t="n">
        <v>5</v>
      </c>
      <c r="AO134" s="179" t="n">
        <f aca="false">AG134*AJ134*AK134*AL134/(AM134+AN134)*60</f>
        <v>0</v>
      </c>
      <c r="AP134" s="181" t="n">
        <v>1200</v>
      </c>
      <c r="AQ134" s="181" t="n">
        <v>80</v>
      </c>
      <c r="AR134" s="16"/>
      <c r="AS134" s="51"/>
      <c r="AT134" s="16"/>
      <c r="AU134" s="16"/>
      <c r="AV134" s="16"/>
    </row>
    <row r="135" customFormat="false" ht="12.8" hidden="false" customHeight="false" outlineLevel="0" collapsed="false">
      <c r="A135" s="16" t="s">
        <v>258</v>
      </c>
      <c r="B135" s="17" t="s">
        <v>81</v>
      </c>
      <c r="C135" s="16" t="s">
        <v>292</v>
      </c>
      <c r="D135" s="16" t="s">
        <v>293</v>
      </c>
      <c r="E135" s="156" t="s">
        <v>89</v>
      </c>
      <c r="F135" s="16" t="s">
        <v>106</v>
      </c>
      <c r="G135" s="154" t="s">
        <v>976</v>
      </c>
      <c r="H135" s="154" t="s">
        <v>977</v>
      </c>
      <c r="I135" s="17" t="s">
        <v>92</v>
      </c>
      <c r="J135" s="154" t="s">
        <v>623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 t="n">
        <v>1</v>
      </c>
      <c r="X135" s="16" t="n">
        <v>2</v>
      </c>
      <c r="Y135" s="16"/>
      <c r="Z135" s="16" t="n">
        <v>3</v>
      </c>
      <c r="AA135" s="16"/>
      <c r="AB135" s="16" t="n">
        <v>4</v>
      </c>
      <c r="AC135" s="16" t="n">
        <v>5</v>
      </c>
      <c r="AD135" s="16"/>
      <c r="AE135" s="17" t="s">
        <v>45</v>
      </c>
      <c r="AF135" s="17" t="s">
        <v>844</v>
      </c>
      <c r="AG135" s="181" t="n">
        <v>280</v>
      </c>
      <c r="AH135" s="179" t="n">
        <f aca="false">AP135/60*(AM135+AN135)/AJ135/AK135/AL135</f>
        <v>0</v>
      </c>
      <c r="AI135" s="179" t="n">
        <f aca="false">AQ135/60*(AM135+AN135)/AJ135/AK135/AL135</f>
        <v>0</v>
      </c>
      <c r="AJ135" s="141" t="n">
        <v>1</v>
      </c>
      <c r="AK135" s="141" t="n">
        <v>1</v>
      </c>
      <c r="AL135" s="141" t="n">
        <v>12</v>
      </c>
      <c r="AM135" s="141" t="n">
        <v>12</v>
      </c>
      <c r="AN135" s="141" t="n">
        <v>22</v>
      </c>
      <c r="AO135" s="179" t="n">
        <f aca="false">AG135*AJ135*AK135*AL135/(AM135+AN135)*60</f>
        <v>0</v>
      </c>
      <c r="AP135" s="181" t="n">
        <v>0</v>
      </c>
      <c r="AQ135" s="181" t="n">
        <v>711</v>
      </c>
      <c r="AR135" s="16"/>
      <c r="AS135" s="51"/>
      <c r="AT135" s="16"/>
      <c r="AU135" s="16"/>
      <c r="AV135" s="16"/>
    </row>
    <row r="136" customFormat="false" ht="12.8" hidden="false" customHeight="false" outlineLevel="0" collapsed="false">
      <c r="A136" s="16" t="s">
        <v>258</v>
      </c>
      <c r="B136" s="17" t="s">
        <v>81</v>
      </c>
      <c r="C136" s="16" t="s">
        <v>292</v>
      </c>
      <c r="D136" s="16" t="s">
        <v>294</v>
      </c>
      <c r="E136" s="156" t="s">
        <v>87</v>
      </c>
      <c r="F136" s="16" t="s">
        <v>137</v>
      </c>
      <c r="G136" s="186"/>
      <c r="H136" s="186"/>
      <c r="I136" s="16"/>
      <c r="J136" s="18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81"/>
      <c r="AH136" s="179" t="n">
        <f aca="false">AP136/60*(AM136+AN136)/AJ136/AK136/AL136</f>
        <v>0</v>
      </c>
      <c r="AI136" s="179" t="n">
        <f aca="false">AQ136/60*(AM136+AN136)/AJ136/AK136/AL136</f>
        <v>0</v>
      </c>
      <c r="AJ136" s="141" t="n">
        <v>1</v>
      </c>
      <c r="AK136" s="141" t="n">
        <v>1</v>
      </c>
      <c r="AL136" s="141" t="n">
        <v>1</v>
      </c>
      <c r="AM136" s="141" t="n">
        <v>0</v>
      </c>
      <c r="AN136" s="141" t="n">
        <v>1</v>
      </c>
      <c r="AO136" s="179" t="n">
        <f aca="false">AG136*AJ136*AK136*AL136/(AM136+AN136)*60</f>
        <v>0</v>
      </c>
      <c r="AP136" s="181" t="n">
        <v>0</v>
      </c>
      <c r="AQ136" s="181" t="n">
        <v>0</v>
      </c>
      <c r="AR136" s="16"/>
      <c r="AS136" s="51"/>
      <c r="AT136" s="16"/>
      <c r="AU136" s="16"/>
      <c r="AV136" s="16"/>
    </row>
    <row r="137" customFormat="false" ht="12.8" hidden="false" customHeight="false" outlineLevel="0" collapsed="false">
      <c r="A137" s="16" t="s">
        <v>258</v>
      </c>
      <c r="B137" s="17" t="s">
        <v>81</v>
      </c>
      <c r="C137" s="16" t="s">
        <v>292</v>
      </c>
      <c r="D137" s="16" t="s">
        <v>295</v>
      </c>
      <c r="E137" s="156" t="s">
        <v>88</v>
      </c>
      <c r="F137" s="16" t="s">
        <v>180</v>
      </c>
      <c r="G137" s="186"/>
      <c r="H137" s="186"/>
      <c r="I137" s="16"/>
      <c r="J137" s="18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81"/>
      <c r="AH137" s="179" t="n">
        <f aca="false">AP137/60*(AM137+AN137)/AJ137/AK137/AL137</f>
        <v>0</v>
      </c>
      <c r="AI137" s="179" t="n">
        <f aca="false">AQ137/60*(AM137+AN137)/AJ137/AK137/AL137</f>
        <v>0</v>
      </c>
      <c r="AJ137" s="141" t="n">
        <v>1</v>
      </c>
      <c r="AK137" s="141" t="n">
        <v>1</v>
      </c>
      <c r="AL137" s="141" t="n">
        <v>1</v>
      </c>
      <c r="AM137" s="141" t="n">
        <v>0</v>
      </c>
      <c r="AN137" s="141" t="n">
        <v>1</v>
      </c>
      <c r="AO137" s="179" t="n">
        <f aca="false">AG137*AJ137*AK137*AL137/(AM137+AN137)*60</f>
        <v>0</v>
      </c>
      <c r="AP137" s="181" t="n">
        <v>0</v>
      </c>
      <c r="AQ137" s="181" t="n">
        <v>0</v>
      </c>
      <c r="AR137" s="16"/>
      <c r="AS137" s="51"/>
      <c r="AT137" s="16"/>
      <c r="AU137" s="16"/>
      <c r="AV137" s="16"/>
    </row>
    <row r="138" customFormat="false" ht="12.8" hidden="false" customHeight="false" outlineLevel="0" collapsed="false">
      <c r="A138" s="16" t="s">
        <v>258</v>
      </c>
      <c r="B138" s="17" t="s">
        <v>81</v>
      </c>
      <c r="C138" s="16" t="s">
        <v>288</v>
      </c>
      <c r="D138" s="16" t="s">
        <v>289</v>
      </c>
      <c r="E138" s="156" t="s">
        <v>89</v>
      </c>
      <c r="F138" s="16" t="s">
        <v>148</v>
      </c>
      <c r="G138" s="157" t="s">
        <v>978</v>
      </c>
      <c r="H138" s="154" t="s">
        <v>977</v>
      </c>
      <c r="I138" s="17" t="s">
        <v>92</v>
      </c>
      <c r="J138" s="154" t="s">
        <v>744</v>
      </c>
      <c r="K138" s="148" t="s">
        <v>92</v>
      </c>
      <c r="L138" s="150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 t="n">
        <v>1</v>
      </c>
      <c r="X138" s="16" t="n">
        <v>2</v>
      </c>
      <c r="Y138" s="16"/>
      <c r="Z138" s="16" t="n">
        <v>3</v>
      </c>
      <c r="AA138" s="16"/>
      <c r="AB138" s="16" t="n">
        <v>4</v>
      </c>
      <c r="AC138" s="16" t="n">
        <v>5</v>
      </c>
      <c r="AD138" s="16"/>
      <c r="AE138" s="17" t="s">
        <v>45</v>
      </c>
      <c r="AF138" s="17" t="s">
        <v>844</v>
      </c>
      <c r="AG138" s="181" t="n">
        <v>280</v>
      </c>
      <c r="AH138" s="179" t="n">
        <f aca="false">AP138/60*(AM138+AN138)/AJ138/AK138/AL138</f>
        <v>0</v>
      </c>
      <c r="AI138" s="179" t="n">
        <f aca="false">AQ138/60*(AM138+AN138)/AJ138/AK138/AL138</f>
        <v>0</v>
      </c>
      <c r="AJ138" s="141" t="n">
        <v>2</v>
      </c>
      <c r="AK138" s="141" t="n">
        <v>1</v>
      </c>
      <c r="AL138" s="141" t="n">
        <v>8</v>
      </c>
      <c r="AM138" s="141" t="n">
        <v>8</v>
      </c>
      <c r="AN138" s="141" t="n">
        <v>24</v>
      </c>
      <c r="AO138" s="179" t="n">
        <f aca="false">AG138*AJ138*AK138*AL138/(AM138+AN138)*60</f>
        <v>0</v>
      </c>
      <c r="AP138" s="181" t="n">
        <v>0</v>
      </c>
      <c r="AQ138" s="181" t="n">
        <v>840</v>
      </c>
      <c r="AR138" s="16"/>
      <c r="AS138" s="51"/>
      <c r="AT138" s="16"/>
      <c r="AU138" s="16"/>
      <c r="AV138" s="16"/>
    </row>
    <row r="139" customFormat="false" ht="12.8" hidden="false" customHeight="false" outlineLevel="0" collapsed="false">
      <c r="A139" s="16" t="s">
        <v>258</v>
      </c>
      <c r="B139" s="17" t="s">
        <v>81</v>
      </c>
      <c r="C139" s="16" t="s">
        <v>288</v>
      </c>
      <c r="D139" s="16" t="s">
        <v>289</v>
      </c>
      <c r="E139" s="156" t="s">
        <v>89</v>
      </c>
      <c r="F139" s="16" t="s">
        <v>148</v>
      </c>
      <c r="G139" s="157" t="s">
        <v>979</v>
      </c>
      <c r="H139" s="154" t="s">
        <v>980</v>
      </c>
      <c r="I139" s="16"/>
      <c r="J139" s="154" t="s">
        <v>744</v>
      </c>
      <c r="K139" s="148" t="s">
        <v>92</v>
      </c>
      <c r="L139" s="150"/>
      <c r="M139" s="16"/>
      <c r="N139" s="16"/>
      <c r="O139" s="16"/>
      <c r="P139" s="17" t="s">
        <v>92</v>
      </c>
      <c r="Q139" s="130"/>
      <c r="R139" s="16"/>
      <c r="S139" s="16"/>
      <c r="T139" s="16"/>
      <c r="U139" s="16" t="n">
        <v>1</v>
      </c>
      <c r="V139" s="16" t="n">
        <v>2</v>
      </c>
      <c r="W139" s="16" t="n">
        <v>3</v>
      </c>
      <c r="X139" s="16" t="n">
        <v>4</v>
      </c>
      <c r="Y139" s="16"/>
      <c r="Z139" s="16"/>
      <c r="AA139" s="16"/>
      <c r="AB139" s="16"/>
      <c r="AC139" s="16"/>
      <c r="AD139" s="16"/>
      <c r="AE139" s="17" t="s">
        <v>45</v>
      </c>
      <c r="AF139" s="17" t="s">
        <v>844</v>
      </c>
      <c r="AG139" s="184" t="n">
        <v>33</v>
      </c>
      <c r="AH139" s="179" t="n">
        <f aca="false">AP139/60*(AM139+AN139)/AJ139/AK139/AL139</f>
        <v>0</v>
      </c>
      <c r="AI139" s="179" t="n">
        <f aca="false">AQ139/60*(AM139+AN139)/AJ139/AK139/AL139</f>
        <v>0</v>
      </c>
      <c r="AJ139" s="141" t="n">
        <v>2</v>
      </c>
      <c r="AK139" s="141" t="n">
        <v>1</v>
      </c>
      <c r="AL139" s="141" t="n">
        <v>1</v>
      </c>
      <c r="AM139" s="141" t="n">
        <v>0</v>
      </c>
      <c r="AN139" s="141" t="n">
        <v>7</v>
      </c>
      <c r="AO139" s="183" t="n">
        <f aca="false">AG139*AJ139*AK139*AL139/(AM139+AN139)*60</f>
        <v>0</v>
      </c>
      <c r="AP139" s="181" t="n">
        <v>460</v>
      </c>
      <c r="AQ139" s="181" t="n">
        <v>82</v>
      </c>
      <c r="AR139" s="16"/>
      <c r="AS139" s="51"/>
      <c r="AT139" s="16"/>
      <c r="AU139" s="16"/>
      <c r="AV139" s="16"/>
    </row>
    <row r="140" customFormat="false" ht="12.8" hidden="false" customHeight="false" outlineLevel="0" collapsed="false">
      <c r="A140" s="16" t="s">
        <v>258</v>
      </c>
      <c r="B140" s="17" t="s">
        <v>81</v>
      </c>
      <c r="C140" s="16" t="s">
        <v>288</v>
      </c>
      <c r="D140" s="16" t="s">
        <v>289</v>
      </c>
      <c r="E140" s="156" t="s">
        <v>89</v>
      </c>
      <c r="F140" s="16" t="s">
        <v>148</v>
      </c>
      <c r="G140" s="157" t="s">
        <v>972</v>
      </c>
      <c r="H140" s="154" t="s">
        <v>843</v>
      </c>
      <c r="I140" s="17" t="s">
        <v>92</v>
      </c>
      <c r="J140" s="154" t="s">
        <v>748</v>
      </c>
      <c r="K140" s="150"/>
      <c r="L140" s="150"/>
      <c r="M140" s="16"/>
      <c r="N140" s="16"/>
      <c r="O140" s="16"/>
      <c r="P140" s="17" t="s">
        <v>92</v>
      </c>
      <c r="Q140" s="130"/>
      <c r="R140" s="16"/>
      <c r="S140" s="16"/>
      <c r="T140" s="16"/>
      <c r="U140" s="16" t="n">
        <v>1</v>
      </c>
      <c r="V140" s="16" t="n">
        <v>2</v>
      </c>
      <c r="W140" s="16" t="n">
        <v>3</v>
      </c>
      <c r="X140" s="16" t="n">
        <v>4</v>
      </c>
      <c r="Y140" s="16"/>
      <c r="Z140" s="16"/>
      <c r="AA140" s="16"/>
      <c r="AB140" s="16"/>
      <c r="AC140" s="16"/>
      <c r="AD140" s="16"/>
      <c r="AE140" s="148" t="s">
        <v>44</v>
      </c>
      <c r="AF140" s="148" t="s">
        <v>844</v>
      </c>
      <c r="AG140" s="181" t="n">
        <v>25</v>
      </c>
      <c r="AH140" s="179" t="n">
        <f aca="false">AP140/60*(AM140+AN140)/AJ140/AK140/AL140</f>
        <v>0</v>
      </c>
      <c r="AI140" s="179" t="n">
        <f aca="false">AQ140/60*(AM140+AN140)/AJ140/AK140/AL140</f>
        <v>0</v>
      </c>
      <c r="AJ140" s="141" t="n">
        <v>4</v>
      </c>
      <c r="AK140" s="141" t="n">
        <v>2</v>
      </c>
      <c r="AL140" s="141" t="n">
        <v>1</v>
      </c>
      <c r="AM140" s="141" t="n">
        <v>0</v>
      </c>
      <c r="AN140" s="141" t="n">
        <v>4</v>
      </c>
      <c r="AO140" s="179" t="n">
        <f aca="false">AG140*AJ140*AK140*AL140/(AM140+AN140)*60</f>
        <v>0</v>
      </c>
      <c r="AP140" s="181" t="n">
        <v>720</v>
      </c>
      <c r="AQ140" s="181" t="n">
        <v>150</v>
      </c>
      <c r="AR140" s="16"/>
      <c r="AS140" s="51"/>
      <c r="AT140" s="16"/>
      <c r="AU140" s="16"/>
      <c r="AV140" s="16"/>
    </row>
    <row r="141" customFormat="false" ht="12.8" hidden="false" customHeight="false" outlineLevel="0" collapsed="false">
      <c r="A141" s="16" t="s">
        <v>258</v>
      </c>
      <c r="B141" s="17" t="s">
        <v>81</v>
      </c>
      <c r="C141" s="16" t="s">
        <v>288</v>
      </c>
      <c r="D141" s="16" t="s">
        <v>290</v>
      </c>
      <c r="E141" s="156" t="s">
        <v>87</v>
      </c>
      <c r="F141" s="16" t="s">
        <v>163</v>
      </c>
      <c r="G141" s="186"/>
      <c r="H141" s="186"/>
      <c r="I141" s="16"/>
      <c r="J141" s="18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81"/>
      <c r="AH141" s="179" t="n">
        <f aca="false">AP141/60*(AM141+AN141)/AJ141/AK141/AL141</f>
        <v>0</v>
      </c>
      <c r="AI141" s="179" t="n">
        <f aca="false">AQ141/60*(AM141+AN141)/AJ141/AK141/AL141</f>
        <v>0</v>
      </c>
      <c r="AJ141" s="141" t="n">
        <v>1</v>
      </c>
      <c r="AK141" s="141" t="n">
        <v>1</v>
      </c>
      <c r="AL141" s="141" t="n">
        <v>1</v>
      </c>
      <c r="AM141" s="141" t="n">
        <v>0</v>
      </c>
      <c r="AN141" s="141" t="n">
        <v>1</v>
      </c>
      <c r="AO141" s="179" t="n">
        <f aca="false">AG141*AJ141*AK141*AL141/(AM141+AN141)*60</f>
        <v>0</v>
      </c>
      <c r="AP141" s="181" t="n">
        <v>0</v>
      </c>
      <c r="AQ141" s="181" t="n">
        <v>0</v>
      </c>
      <c r="AR141" s="16"/>
      <c r="AS141" s="51"/>
      <c r="AT141" s="16"/>
      <c r="AU141" s="16"/>
      <c r="AV141" s="16"/>
    </row>
    <row r="142" customFormat="false" ht="12.8" hidden="false" customHeight="false" outlineLevel="0" collapsed="false">
      <c r="A142" s="16" t="s">
        <v>258</v>
      </c>
      <c r="B142" s="17" t="s">
        <v>81</v>
      </c>
      <c r="C142" s="16" t="s">
        <v>288</v>
      </c>
      <c r="D142" s="16" t="s">
        <v>291</v>
      </c>
      <c r="E142" s="156" t="s">
        <v>88</v>
      </c>
      <c r="F142" s="16" t="s">
        <v>170</v>
      </c>
      <c r="G142" s="186"/>
      <c r="H142" s="186"/>
      <c r="I142" s="16"/>
      <c r="J142" s="18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81"/>
      <c r="AH142" s="179" t="n">
        <f aca="false">AP142/60*(AM142+AN142)/AJ142/AK142/AL142</f>
        <v>0</v>
      </c>
      <c r="AI142" s="179" t="n">
        <f aca="false">AQ142/60*(AM142+AN142)/AJ142/AK142/AL142</f>
        <v>0</v>
      </c>
      <c r="AJ142" s="141" t="n">
        <v>1</v>
      </c>
      <c r="AK142" s="141" t="n">
        <v>1</v>
      </c>
      <c r="AL142" s="141" t="n">
        <v>1</v>
      </c>
      <c r="AM142" s="141" t="n">
        <v>0</v>
      </c>
      <c r="AN142" s="141" t="n">
        <v>1</v>
      </c>
      <c r="AO142" s="179" t="n">
        <f aca="false">AG142*AJ142*AK142*AL142/(AM142+AN142)*60</f>
        <v>0</v>
      </c>
      <c r="AP142" s="181" t="n">
        <v>0</v>
      </c>
      <c r="AQ142" s="181" t="n">
        <v>0</v>
      </c>
      <c r="AR142" s="16"/>
      <c r="AS142" s="51"/>
      <c r="AT142" s="16"/>
      <c r="AU142" s="16"/>
      <c r="AV142" s="16"/>
    </row>
    <row r="143" customFormat="false" ht="12.8" hidden="false" customHeight="false" outlineLevel="0" collapsed="false">
      <c r="A143" s="16" t="s">
        <v>258</v>
      </c>
      <c r="B143" s="16" t="s">
        <v>158</v>
      </c>
      <c r="C143" s="16" t="s">
        <v>280</v>
      </c>
      <c r="D143" s="16" t="s">
        <v>281</v>
      </c>
      <c r="E143" s="156" t="s">
        <v>89</v>
      </c>
      <c r="F143" s="16" t="s">
        <v>143</v>
      </c>
      <c r="G143" s="154" t="s">
        <v>981</v>
      </c>
      <c r="H143" s="154" t="s">
        <v>914</v>
      </c>
      <c r="I143" s="17" t="s">
        <v>92</v>
      </c>
      <c r="J143" s="154" t="s">
        <v>742</v>
      </c>
      <c r="K143" s="148" t="s">
        <v>92</v>
      </c>
      <c r="L143" s="150"/>
      <c r="M143" s="16"/>
      <c r="N143" s="16"/>
      <c r="O143" s="16"/>
      <c r="P143" s="16"/>
      <c r="Q143" s="16"/>
      <c r="R143" s="16"/>
      <c r="S143" s="17" t="s">
        <v>92</v>
      </c>
      <c r="T143" s="16"/>
      <c r="U143" s="16" t="n">
        <v>6</v>
      </c>
      <c r="V143" s="16" t="n">
        <v>7</v>
      </c>
      <c r="W143" s="16"/>
      <c r="X143" s="16"/>
      <c r="Y143" s="16" t="n">
        <v>1</v>
      </c>
      <c r="Z143" s="16" t="n">
        <v>2</v>
      </c>
      <c r="AA143" s="16" t="n">
        <v>3</v>
      </c>
      <c r="AB143" s="16" t="n">
        <v>4</v>
      </c>
      <c r="AC143" s="16" t="n">
        <v>5</v>
      </c>
      <c r="AD143" s="16"/>
      <c r="AE143" s="17" t="s">
        <v>46</v>
      </c>
      <c r="AF143" s="17" t="s">
        <v>844</v>
      </c>
      <c r="AG143" s="181" t="n">
        <v>350</v>
      </c>
      <c r="AH143" s="179" t="n">
        <f aca="false">AP143/60*(AM143+AN143)/AJ143/AK143/AL143</f>
        <v>0</v>
      </c>
      <c r="AI143" s="179" t="n">
        <f aca="false">AQ143/60*(AM143+AN143)/AJ143/AK143/AL143</f>
        <v>0</v>
      </c>
      <c r="AJ143" s="141" t="n">
        <v>1</v>
      </c>
      <c r="AK143" s="141" t="n">
        <v>4</v>
      </c>
      <c r="AL143" s="141" t="n">
        <v>8</v>
      </c>
      <c r="AM143" s="141" t="n">
        <v>16</v>
      </c>
      <c r="AN143" s="141" t="n">
        <v>32</v>
      </c>
      <c r="AO143" s="179" t="n">
        <f aca="false">AG143*AJ143*AK143*AL143/(AM143+AN143)*60</f>
        <v>0</v>
      </c>
      <c r="AP143" s="181" t="n">
        <v>560</v>
      </c>
      <c r="AQ143" s="181" t="n">
        <v>3920</v>
      </c>
      <c r="AR143" s="16"/>
      <c r="AS143" s="51"/>
      <c r="AT143" s="16"/>
      <c r="AU143" s="16"/>
      <c r="AV143" s="16"/>
    </row>
    <row r="144" customFormat="false" ht="12.8" hidden="false" customHeight="false" outlineLevel="0" collapsed="false">
      <c r="A144" s="16" t="s">
        <v>258</v>
      </c>
      <c r="B144" s="16" t="s">
        <v>158</v>
      </c>
      <c r="C144" s="16" t="s">
        <v>280</v>
      </c>
      <c r="D144" s="16" t="s">
        <v>281</v>
      </c>
      <c r="E144" s="156" t="s">
        <v>89</v>
      </c>
      <c r="F144" s="16" t="s">
        <v>143</v>
      </c>
      <c r="G144" s="157" t="s">
        <v>982</v>
      </c>
      <c r="H144" s="154" t="s">
        <v>886</v>
      </c>
      <c r="I144" s="16"/>
      <c r="J144" s="154" t="s">
        <v>645</v>
      </c>
      <c r="K144" s="150"/>
      <c r="L144" s="150"/>
      <c r="M144" s="16"/>
      <c r="N144" s="16"/>
      <c r="O144" s="16"/>
      <c r="P144" s="16"/>
      <c r="Q144" s="16"/>
      <c r="R144" s="16"/>
      <c r="S144" s="16"/>
      <c r="T144" s="16"/>
      <c r="U144" s="16" t="n">
        <v>1</v>
      </c>
      <c r="V144" s="16" t="n">
        <v>2</v>
      </c>
      <c r="W144" s="16" t="n">
        <v>3</v>
      </c>
      <c r="X144" s="16" t="n">
        <v>4</v>
      </c>
      <c r="Y144" s="16"/>
      <c r="Z144" s="16"/>
      <c r="AA144" s="16"/>
      <c r="AB144" s="16"/>
      <c r="AC144" s="16"/>
      <c r="AD144" s="16"/>
      <c r="AE144" s="148" t="s">
        <v>44</v>
      </c>
      <c r="AF144" s="148" t="s">
        <v>844</v>
      </c>
      <c r="AG144" s="181" t="n">
        <v>35</v>
      </c>
      <c r="AH144" s="179" t="n">
        <f aca="false">AP144/60*(AM144+AN144)/AJ144/AK144/AL144</f>
        <v>0</v>
      </c>
      <c r="AI144" s="179" t="n">
        <f aca="false">AQ144/60*(AM144+AN144)/AJ144/AK144/AL144</f>
        <v>0</v>
      </c>
      <c r="AJ144" s="141" t="n">
        <v>2</v>
      </c>
      <c r="AK144" s="141" t="n">
        <v>1</v>
      </c>
      <c r="AL144" s="141" t="n">
        <v>1</v>
      </c>
      <c r="AM144" s="141" t="n">
        <v>0</v>
      </c>
      <c r="AN144" s="141" t="n">
        <v>4</v>
      </c>
      <c r="AO144" s="179" t="n">
        <f aca="false">AG144*AJ144*AK144*AL144/(AM144+AN144)*60</f>
        <v>0</v>
      </c>
      <c r="AP144" s="181" t="n">
        <v>840</v>
      </c>
      <c r="AQ144" s="181" t="n">
        <v>63</v>
      </c>
      <c r="AR144" s="16"/>
      <c r="AS144" s="51"/>
      <c r="AT144" s="16"/>
      <c r="AU144" s="16"/>
      <c r="AV144" s="16"/>
    </row>
    <row r="145" customFormat="false" ht="12.8" hidden="false" customHeight="false" outlineLevel="0" collapsed="false">
      <c r="A145" s="16" t="s">
        <v>258</v>
      </c>
      <c r="B145" s="16" t="s">
        <v>158</v>
      </c>
      <c r="C145" s="16" t="s">
        <v>280</v>
      </c>
      <c r="D145" s="16" t="s">
        <v>282</v>
      </c>
      <c r="E145" s="156" t="s">
        <v>87</v>
      </c>
      <c r="F145" s="16" t="s">
        <v>116</v>
      </c>
      <c r="G145" s="154" t="s">
        <v>983</v>
      </c>
      <c r="H145" s="154" t="s">
        <v>984</v>
      </c>
      <c r="I145" s="16"/>
      <c r="J145" s="18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7" t="s">
        <v>46</v>
      </c>
      <c r="AF145" s="17" t="s">
        <v>844</v>
      </c>
      <c r="AG145" s="181"/>
      <c r="AH145" s="179" t="n">
        <f aca="false">AP145/60*(AM145+AN145)/AJ145/AK145/AL145</f>
        <v>0</v>
      </c>
      <c r="AI145" s="179" t="n">
        <f aca="false">AQ145/60*(AM145+AN145)/AJ145/AK145/AL145</f>
        <v>0</v>
      </c>
      <c r="AJ145" s="141" t="n">
        <v>1</v>
      </c>
      <c r="AK145" s="141" t="n">
        <v>1</v>
      </c>
      <c r="AL145" s="141" t="n">
        <v>1</v>
      </c>
      <c r="AM145" s="141" t="n">
        <v>16</v>
      </c>
      <c r="AN145" s="141" t="n">
        <v>1</v>
      </c>
      <c r="AO145" s="179" t="n">
        <f aca="false">AG145*AJ145*AK145*AL145/(AM145+AN145)*60</f>
        <v>0</v>
      </c>
      <c r="AP145" s="181" t="n">
        <v>0</v>
      </c>
      <c r="AQ145" s="181" t="n">
        <v>0</v>
      </c>
      <c r="AR145" s="16"/>
      <c r="AS145" s="51"/>
      <c r="AT145" s="16"/>
      <c r="AU145" s="16"/>
      <c r="AV145" s="16"/>
    </row>
    <row r="146" customFormat="false" ht="12.8" hidden="false" customHeight="false" outlineLevel="0" collapsed="false">
      <c r="A146" s="16" t="s">
        <v>258</v>
      </c>
      <c r="B146" s="16" t="s">
        <v>158</v>
      </c>
      <c r="C146" s="16" t="s">
        <v>280</v>
      </c>
      <c r="D146" s="17" t="s">
        <v>283</v>
      </c>
      <c r="E146" s="130" t="s">
        <v>88</v>
      </c>
      <c r="F146" s="16" t="s">
        <v>188</v>
      </c>
      <c r="G146" s="186"/>
      <c r="H146" s="186"/>
      <c r="I146" s="16"/>
      <c r="J146" s="18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81"/>
      <c r="AH146" s="179" t="n">
        <f aca="false">AP146/60*(AM146+AN146)/AJ146/AK146/AL146</f>
        <v>0</v>
      </c>
      <c r="AI146" s="179" t="n">
        <f aca="false">AQ146/60*(AM146+AN146)/AJ146/AK146/AL146</f>
        <v>0</v>
      </c>
      <c r="AJ146" s="141" t="n">
        <v>1</v>
      </c>
      <c r="AK146" s="141" t="n">
        <v>1</v>
      </c>
      <c r="AL146" s="141" t="n">
        <v>1</v>
      </c>
      <c r="AM146" s="141" t="n">
        <v>0</v>
      </c>
      <c r="AN146" s="141" t="n">
        <v>1</v>
      </c>
      <c r="AO146" s="179" t="n">
        <f aca="false">AG146*AJ146*AK146*AL146/(AM146+AN146)*60</f>
        <v>0</v>
      </c>
      <c r="AP146" s="181" t="n">
        <v>0</v>
      </c>
      <c r="AQ146" s="181" t="n">
        <v>0</v>
      </c>
      <c r="AR146" s="16"/>
      <c r="AS146" s="51"/>
      <c r="AT146" s="16"/>
      <c r="AU146" s="16"/>
      <c r="AV146" s="16"/>
    </row>
    <row r="147" customFormat="false" ht="12.8" hidden="false" customHeight="false" outlineLevel="0" collapsed="false">
      <c r="A147" s="16" t="s">
        <v>258</v>
      </c>
      <c r="B147" s="16" t="s">
        <v>98</v>
      </c>
      <c r="C147" s="16" t="s">
        <v>262</v>
      </c>
      <c r="D147" s="17" t="s">
        <v>263</v>
      </c>
      <c r="E147" s="156" t="s">
        <v>89</v>
      </c>
      <c r="F147" s="16" t="s">
        <v>148</v>
      </c>
      <c r="G147" s="157" t="s">
        <v>985</v>
      </c>
      <c r="H147" s="157" t="s">
        <v>986</v>
      </c>
      <c r="I147" s="17" t="s">
        <v>92</v>
      </c>
      <c r="J147" s="154" t="s">
        <v>649</v>
      </c>
      <c r="K147" s="148" t="s">
        <v>92</v>
      </c>
      <c r="L147" s="150"/>
      <c r="M147" s="16"/>
      <c r="N147" s="16"/>
      <c r="O147" s="16"/>
      <c r="P147" s="16"/>
      <c r="Q147" s="16"/>
      <c r="R147" s="16"/>
      <c r="S147" s="16"/>
      <c r="T147" s="16"/>
      <c r="U147" s="16" t="n">
        <v>1</v>
      </c>
      <c r="V147" s="16" t="n">
        <v>2</v>
      </c>
      <c r="W147" s="16" t="n">
        <v>3</v>
      </c>
      <c r="X147" s="16" t="n">
        <v>4</v>
      </c>
      <c r="Y147" s="16"/>
      <c r="Z147" s="16"/>
      <c r="AA147" s="16"/>
      <c r="AB147" s="16"/>
      <c r="AC147" s="16"/>
      <c r="AD147" s="16"/>
      <c r="AE147" s="17" t="s">
        <v>45</v>
      </c>
      <c r="AF147" s="17" t="s">
        <v>844</v>
      </c>
      <c r="AG147" s="181" t="n">
        <v>65</v>
      </c>
      <c r="AH147" s="179" t="n">
        <f aca="false">AP147/60*(AM147+AN147)/AJ147/AK147/AL147</f>
        <v>0</v>
      </c>
      <c r="AI147" s="179" t="n">
        <f aca="false">AQ147/60*(AM147+AN147)/AJ147/AK147/AL147</f>
        <v>0</v>
      </c>
      <c r="AJ147" s="141" t="n">
        <v>2</v>
      </c>
      <c r="AK147" s="141" t="n">
        <v>1</v>
      </c>
      <c r="AL147" s="141" t="n">
        <v>8</v>
      </c>
      <c r="AM147" s="141" t="n">
        <v>6</v>
      </c>
      <c r="AN147" s="141" t="n">
        <v>15</v>
      </c>
      <c r="AO147" s="179" t="n">
        <f aca="false">AG147*AJ147*AK147*AL147/(AM147+AN147)*60</f>
        <v>0</v>
      </c>
      <c r="AP147" s="181" t="n">
        <v>712</v>
      </c>
      <c r="AQ147" s="181" t="n">
        <v>59</v>
      </c>
      <c r="AR147" s="16"/>
      <c r="AS147" s="51"/>
      <c r="AT147" s="16"/>
      <c r="AU147" s="16"/>
      <c r="AV147" s="16"/>
    </row>
    <row r="148" customFormat="false" ht="12.8" hidden="false" customHeight="false" outlineLevel="0" collapsed="false">
      <c r="A148" s="16" t="s">
        <v>258</v>
      </c>
      <c r="B148" s="16" t="s">
        <v>98</v>
      </c>
      <c r="C148" s="16" t="s">
        <v>262</v>
      </c>
      <c r="D148" s="17" t="s">
        <v>263</v>
      </c>
      <c r="E148" s="156" t="s">
        <v>89</v>
      </c>
      <c r="F148" s="16" t="s">
        <v>148</v>
      </c>
      <c r="G148" s="157" t="s">
        <v>987</v>
      </c>
      <c r="H148" s="147" t="s">
        <v>843</v>
      </c>
      <c r="I148" s="17" t="s">
        <v>92</v>
      </c>
      <c r="J148" s="154" t="s">
        <v>732</v>
      </c>
      <c r="K148" s="150"/>
      <c r="L148" s="150"/>
      <c r="M148" s="16"/>
      <c r="N148" s="16"/>
      <c r="O148" s="16"/>
      <c r="P148" s="16"/>
      <c r="Q148" s="16"/>
      <c r="R148" s="16"/>
      <c r="S148" s="16"/>
      <c r="T148" s="16"/>
      <c r="U148" s="16" t="n">
        <v>1</v>
      </c>
      <c r="V148" s="16" t="n">
        <v>2</v>
      </c>
      <c r="W148" s="16" t="n">
        <v>3</v>
      </c>
      <c r="X148" s="16" t="n">
        <v>4</v>
      </c>
      <c r="Y148" s="16"/>
      <c r="Z148" s="16"/>
      <c r="AA148" s="16"/>
      <c r="AB148" s="16"/>
      <c r="AC148" s="16"/>
      <c r="AD148" s="16"/>
      <c r="AE148" s="148" t="s">
        <v>44</v>
      </c>
      <c r="AF148" s="148" t="s">
        <v>844</v>
      </c>
      <c r="AG148" s="181" t="n">
        <v>20</v>
      </c>
      <c r="AH148" s="179" t="n">
        <f aca="false">AP148/60*(AM148+AN148)/AJ148/AK148/AL148</f>
        <v>0</v>
      </c>
      <c r="AI148" s="179" t="n">
        <f aca="false">AQ148/60*(AM148+AN148)/AJ148/AK148/AL148</f>
        <v>0</v>
      </c>
      <c r="AJ148" s="141" t="n">
        <v>4</v>
      </c>
      <c r="AK148" s="141" t="n">
        <v>1</v>
      </c>
      <c r="AL148" s="141" t="n">
        <v>1</v>
      </c>
      <c r="AM148" s="141" t="n">
        <v>0</v>
      </c>
      <c r="AN148" s="141" t="n">
        <v>4</v>
      </c>
      <c r="AO148" s="179" t="n">
        <f aca="false">AG148*AJ148*AK148*AL148/(AM148+AN148)*60</f>
        <v>0</v>
      </c>
      <c r="AP148" s="181" t="n">
        <v>1440</v>
      </c>
      <c r="AQ148" s="181" t="n">
        <v>60</v>
      </c>
      <c r="AR148" s="16"/>
      <c r="AS148" s="51"/>
      <c r="AT148" s="16"/>
      <c r="AU148" s="16"/>
      <c r="AV148" s="16"/>
    </row>
    <row r="149" customFormat="false" ht="12.8" hidden="false" customHeight="false" outlineLevel="0" collapsed="false">
      <c r="A149" s="16" t="s">
        <v>258</v>
      </c>
      <c r="B149" s="16" t="s">
        <v>98</v>
      </c>
      <c r="C149" s="16" t="s">
        <v>262</v>
      </c>
      <c r="D149" s="16" t="s">
        <v>264</v>
      </c>
      <c r="E149" s="156" t="s">
        <v>87</v>
      </c>
      <c r="F149" s="16" t="s">
        <v>238</v>
      </c>
      <c r="G149" s="186"/>
      <c r="H149" s="186"/>
      <c r="I149" s="16"/>
      <c r="J149" s="18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81"/>
      <c r="AH149" s="179" t="n">
        <f aca="false">AP149/60*(AM149+AN149)/AJ149/AK149/AL149</f>
        <v>0</v>
      </c>
      <c r="AI149" s="179" t="n">
        <f aca="false">AQ149/60*(AM149+AN149)/AJ149/AK149/AL149</f>
        <v>0</v>
      </c>
      <c r="AJ149" s="141" t="n">
        <v>1</v>
      </c>
      <c r="AK149" s="141" t="n">
        <v>1</v>
      </c>
      <c r="AL149" s="141" t="n">
        <v>1</v>
      </c>
      <c r="AM149" s="141" t="n">
        <v>0</v>
      </c>
      <c r="AN149" s="141" t="n">
        <v>1</v>
      </c>
      <c r="AO149" s="179" t="n">
        <f aca="false">AG149*AJ149*AK149*AL149/(AM149+AN149)*60</f>
        <v>0</v>
      </c>
      <c r="AP149" s="181" t="n">
        <v>0</v>
      </c>
      <c r="AQ149" s="181" t="n">
        <v>0</v>
      </c>
      <c r="AR149" s="16"/>
      <c r="AS149" s="51"/>
      <c r="AT149" s="16"/>
      <c r="AU149" s="16"/>
      <c r="AV149" s="16"/>
    </row>
    <row r="150" customFormat="false" ht="12.8" hidden="false" customHeight="false" outlineLevel="0" collapsed="false">
      <c r="A150" s="16" t="s">
        <v>258</v>
      </c>
      <c r="B150" s="16" t="s">
        <v>98</v>
      </c>
      <c r="C150" s="16" t="s">
        <v>262</v>
      </c>
      <c r="D150" s="16" t="s">
        <v>265</v>
      </c>
      <c r="E150" s="156" t="s">
        <v>88</v>
      </c>
      <c r="F150" s="16" t="s">
        <v>163</v>
      </c>
      <c r="G150" s="186"/>
      <c r="H150" s="186"/>
      <c r="I150" s="16"/>
      <c r="J150" s="18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81"/>
      <c r="AH150" s="179" t="n">
        <f aca="false">AP150/60*(AM150+AN150)/AJ150/AK150/AL150</f>
        <v>0</v>
      </c>
      <c r="AI150" s="179" t="n">
        <f aca="false">AQ150/60*(AM150+AN150)/AJ150/AK150/AL150</f>
        <v>0</v>
      </c>
      <c r="AJ150" s="141" t="n">
        <v>1</v>
      </c>
      <c r="AK150" s="141" t="n">
        <v>1</v>
      </c>
      <c r="AL150" s="141" t="n">
        <v>1</v>
      </c>
      <c r="AM150" s="141" t="n">
        <v>0</v>
      </c>
      <c r="AN150" s="141" t="n">
        <v>1</v>
      </c>
      <c r="AO150" s="179" t="n">
        <f aca="false">AG150*AJ150*AK150*AL150/(AM150+AN150)*60</f>
        <v>0</v>
      </c>
      <c r="AP150" s="181" t="n">
        <v>0</v>
      </c>
      <c r="AQ150" s="181" t="n">
        <v>0</v>
      </c>
      <c r="AR150" s="16"/>
      <c r="AS150" s="51"/>
      <c r="AT150" s="16"/>
      <c r="AU150" s="16"/>
      <c r="AV150" s="16"/>
    </row>
    <row r="151" customFormat="false" ht="12.8" hidden="false" customHeight="false" outlineLevel="0" collapsed="false">
      <c r="A151" s="16" t="s">
        <v>258</v>
      </c>
      <c r="B151" s="16" t="s">
        <v>158</v>
      </c>
      <c r="C151" s="16" t="s">
        <v>276</v>
      </c>
      <c r="D151" s="16" t="s">
        <v>277</v>
      </c>
      <c r="E151" s="156" t="s">
        <v>89</v>
      </c>
      <c r="F151" s="16" t="s">
        <v>178</v>
      </c>
      <c r="G151" s="154" t="s">
        <v>988</v>
      </c>
      <c r="H151" s="154" t="s">
        <v>989</v>
      </c>
      <c r="I151" s="17" t="s">
        <v>92</v>
      </c>
      <c r="J151" s="154" t="s">
        <v>738</v>
      </c>
      <c r="K151" s="148" t="s">
        <v>92</v>
      </c>
      <c r="L151" s="150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 t="n">
        <v>1</v>
      </c>
      <c r="Z151" s="16" t="n">
        <v>2</v>
      </c>
      <c r="AA151" s="16" t="n">
        <v>3</v>
      </c>
      <c r="AB151" s="16" t="n">
        <v>4</v>
      </c>
      <c r="AC151" s="16" t="n">
        <v>5</v>
      </c>
      <c r="AD151" s="16"/>
      <c r="AE151" s="17" t="s">
        <v>734</v>
      </c>
      <c r="AF151" s="17" t="s">
        <v>54</v>
      </c>
      <c r="AG151" s="181" t="n">
        <v>600</v>
      </c>
      <c r="AH151" s="179" t="n">
        <f aca="false">AP151/60*(AM151+AN151)/AJ151/AK151/AL151</f>
        <v>0</v>
      </c>
      <c r="AI151" s="179" t="n">
        <f aca="false">AQ151/60*(AM151+AN151)/AJ151/AK151/AL151</f>
        <v>0</v>
      </c>
      <c r="AJ151" s="141" t="n">
        <v>1</v>
      </c>
      <c r="AK151" s="141" t="n">
        <v>2</v>
      </c>
      <c r="AL151" s="141" t="n">
        <v>4</v>
      </c>
      <c r="AM151" s="141" t="n">
        <v>8</v>
      </c>
      <c r="AN151" s="141" t="n">
        <v>12</v>
      </c>
      <c r="AO151" s="179" t="n">
        <f aca="false">AG151*AJ151*AK151*AL151/(AM151+AN151)*60</f>
        <v>0</v>
      </c>
      <c r="AP151" s="181" t="n">
        <v>0</v>
      </c>
      <c r="AQ151" s="181" t="n">
        <v>3456</v>
      </c>
      <c r="AR151" s="16"/>
      <c r="AS151" s="51"/>
      <c r="AT151" s="16"/>
      <c r="AU151" s="16"/>
      <c r="AV151" s="16"/>
    </row>
    <row r="152" customFormat="false" ht="12.8" hidden="false" customHeight="false" outlineLevel="0" collapsed="false">
      <c r="A152" s="16" t="s">
        <v>258</v>
      </c>
      <c r="B152" s="16" t="s">
        <v>158</v>
      </c>
      <c r="C152" s="16" t="s">
        <v>276</v>
      </c>
      <c r="D152" s="16" t="s">
        <v>277</v>
      </c>
      <c r="E152" s="156" t="s">
        <v>89</v>
      </c>
      <c r="F152" s="16" t="s">
        <v>178</v>
      </c>
      <c r="G152" s="157" t="s">
        <v>990</v>
      </c>
      <c r="H152" s="154" t="s">
        <v>977</v>
      </c>
      <c r="I152" s="17" t="s">
        <v>92</v>
      </c>
      <c r="J152" s="154" t="s">
        <v>741</v>
      </c>
      <c r="K152" s="150"/>
      <c r="L152" s="150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 t="n">
        <v>1</v>
      </c>
      <c r="X152" s="16" t="n">
        <v>2</v>
      </c>
      <c r="Y152" s="16"/>
      <c r="Z152" s="16"/>
      <c r="AA152" s="16"/>
      <c r="AB152" s="16"/>
      <c r="AC152" s="16"/>
      <c r="AD152" s="16"/>
      <c r="AE152" s="17" t="s">
        <v>45</v>
      </c>
      <c r="AF152" s="17" t="s">
        <v>844</v>
      </c>
      <c r="AG152" s="181" t="n">
        <v>100</v>
      </c>
      <c r="AH152" s="179" t="n">
        <f aca="false">AP152/60*(AM152+AN152)/AJ152/AK152/AL152</f>
        <v>0</v>
      </c>
      <c r="AI152" s="179" t="n">
        <f aca="false">AQ152/60*(AM152+AN152)/AJ152/AK152/AL152</f>
        <v>0</v>
      </c>
      <c r="AJ152" s="141" t="n">
        <v>2</v>
      </c>
      <c r="AK152" s="141" t="n">
        <v>1</v>
      </c>
      <c r="AL152" s="141" t="n">
        <v>8</v>
      </c>
      <c r="AM152" s="141" t="n">
        <v>8</v>
      </c>
      <c r="AN152" s="141" t="n">
        <v>20</v>
      </c>
      <c r="AO152" s="179" t="n">
        <f aca="false">AG152*AJ152*AK152*AL152/(AM152+AN152)*60</f>
        <v>0</v>
      </c>
      <c r="AP152" s="181" t="n">
        <v>0</v>
      </c>
      <c r="AQ152" s="181" t="n">
        <v>171</v>
      </c>
      <c r="AR152" s="16"/>
      <c r="AS152" s="51"/>
      <c r="AT152" s="16"/>
      <c r="AU152" s="16"/>
      <c r="AV152" s="16"/>
    </row>
    <row r="153" customFormat="false" ht="12.8" hidden="false" customHeight="false" outlineLevel="0" collapsed="false">
      <c r="A153" s="16" t="s">
        <v>258</v>
      </c>
      <c r="B153" s="16" t="s">
        <v>158</v>
      </c>
      <c r="C153" s="16" t="s">
        <v>276</v>
      </c>
      <c r="D153" s="16" t="s">
        <v>277</v>
      </c>
      <c r="E153" s="156" t="s">
        <v>89</v>
      </c>
      <c r="F153" s="16" t="s">
        <v>178</v>
      </c>
      <c r="G153" s="157" t="s">
        <v>982</v>
      </c>
      <c r="H153" s="154" t="s">
        <v>886</v>
      </c>
      <c r="I153" s="17" t="s">
        <v>92</v>
      </c>
      <c r="J153" s="154" t="s">
        <v>731</v>
      </c>
      <c r="K153" s="150"/>
      <c r="L153" s="150"/>
      <c r="M153" s="16"/>
      <c r="N153" s="16"/>
      <c r="O153" s="16"/>
      <c r="P153" s="16"/>
      <c r="Q153" s="16"/>
      <c r="R153" s="16"/>
      <c r="S153" s="16"/>
      <c r="T153" s="16"/>
      <c r="U153" s="16" t="n">
        <v>1</v>
      </c>
      <c r="V153" s="16" t="n">
        <v>2</v>
      </c>
      <c r="W153" s="16" t="n">
        <v>3</v>
      </c>
      <c r="X153" s="16" t="n">
        <v>4</v>
      </c>
      <c r="Y153" s="16"/>
      <c r="Z153" s="16"/>
      <c r="AA153" s="16"/>
      <c r="AB153" s="16"/>
      <c r="AC153" s="16"/>
      <c r="AD153" s="16"/>
      <c r="AE153" s="148" t="s">
        <v>44</v>
      </c>
      <c r="AF153" s="148" t="s">
        <v>844</v>
      </c>
      <c r="AG153" s="181" t="n">
        <v>35</v>
      </c>
      <c r="AH153" s="179" t="n">
        <f aca="false">AP153/60*(AM153+AN153)/AJ153/AK153/AL153</f>
        <v>0</v>
      </c>
      <c r="AI153" s="179" t="n">
        <f aca="false">AQ153/60*(AM153+AN153)/AJ153/AK153/AL153</f>
        <v>0</v>
      </c>
      <c r="AJ153" s="141" t="n">
        <v>4</v>
      </c>
      <c r="AK153" s="141" t="n">
        <v>1</v>
      </c>
      <c r="AL153" s="141" t="n">
        <v>1</v>
      </c>
      <c r="AM153" s="141" t="n">
        <v>0</v>
      </c>
      <c r="AN153" s="141" t="n">
        <v>4</v>
      </c>
      <c r="AO153" s="179" t="n">
        <f aca="false">AG153*AJ153*AK153*AL153/(AM153+AN153)*60</f>
        <v>0</v>
      </c>
      <c r="AP153" s="181" t="n">
        <v>1260</v>
      </c>
      <c r="AQ153" s="181" t="n">
        <v>126</v>
      </c>
      <c r="AR153" s="16"/>
      <c r="AS153" s="51"/>
      <c r="AT153" s="16"/>
      <c r="AU153" s="16"/>
      <c r="AV153" s="16"/>
    </row>
    <row r="154" customFormat="false" ht="12.8" hidden="false" customHeight="false" outlineLevel="0" collapsed="false">
      <c r="A154" s="16" t="s">
        <v>258</v>
      </c>
      <c r="B154" s="16" t="s">
        <v>158</v>
      </c>
      <c r="C154" s="16" t="s">
        <v>276</v>
      </c>
      <c r="D154" s="16" t="s">
        <v>278</v>
      </c>
      <c r="E154" s="156" t="s">
        <v>87</v>
      </c>
      <c r="F154" s="16" t="s">
        <v>116</v>
      </c>
      <c r="G154" s="186"/>
      <c r="H154" s="186"/>
      <c r="I154" s="16"/>
      <c r="J154" s="18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81"/>
      <c r="AH154" s="179" t="n">
        <f aca="false">AP154/60*(AM154+AN154)/AJ154/AK154/AL154</f>
        <v>0</v>
      </c>
      <c r="AI154" s="179" t="n">
        <f aca="false">AQ154/60*(AM154+AN154)/AJ154/AK154/AL154</f>
        <v>0</v>
      </c>
      <c r="AJ154" s="141" t="n">
        <v>1</v>
      </c>
      <c r="AK154" s="141" t="n">
        <v>1</v>
      </c>
      <c r="AL154" s="141" t="n">
        <v>1</v>
      </c>
      <c r="AM154" s="141" t="n">
        <v>0</v>
      </c>
      <c r="AN154" s="141" t="n">
        <v>1</v>
      </c>
      <c r="AO154" s="179" t="n">
        <f aca="false">AG154*AJ154*AK154*AL154/(AM154+AN154)*60</f>
        <v>0</v>
      </c>
      <c r="AP154" s="181" t="n">
        <v>0</v>
      </c>
      <c r="AQ154" s="181" t="n">
        <v>0</v>
      </c>
      <c r="AR154" s="16"/>
      <c r="AS154" s="51"/>
      <c r="AT154" s="16"/>
      <c r="AU154" s="16"/>
      <c r="AV154" s="16"/>
    </row>
    <row r="155" customFormat="false" ht="12.8" hidden="false" customHeight="false" outlineLevel="0" collapsed="false">
      <c r="A155" s="16" t="s">
        <v>258</v>
      </c>
      <c r="B155" s="16" t="s">
        <v>158</v>
      </c>
      <c r="C155" s="16" t="s">
        <v>276</v>
      </c>
      <c r="D155" s="16" t="s">
        <v>279</v>
      </c>
      <c r="E155" s="156" t="s">
        <v>88</v>
      </c>
      <c r="F155" s="16" t="s">
        <v>153</v>
      </c>
      <c r="G155" s="186"/>
      <c r="H155" s="186"/>
      <c r="I155" s="16"/>
      <c r="J155" s="18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81"/>
      <c r="AH155" s="179" t="n">
        <f aca="false">AP155/60*(AM155+AN155)/AJ155/AK155/AL155</f>
        <v>0</v>
      </c>
      <c r="AI155" s="179" t="n">
        <f aca="false">AQ155/60*(AM155+AN155)/AJ155/AK155/AL155</f>
        <v>0</v>
      </c>
      <c r="AJ155" s="141" t="n">
        <v>1</v>
      </c>
      <c r="AK155" s="141" t="n">
        <v>1</v>
      </c>
      <c r="AL155" s="141" t="n">
        <v>1</v>
      </c>
      <c r="AM155" s="141" t="n">
        <v>0</v>
      </c>
      <c r="AN155" s="141" t="n">
        <v>1</v>
      </c>
      <c r="AO155" s="179" t="n">
        <f aca="false">AG155*AJ155*AK155*AL155/(AM155+AN155)*60</f>
        <v>0</v>
      </c>
      <c r="AP155" s="181" t="n">
        <v>0</v>
      </c>
      <c r="AQ155" s="181" t="n">
        <v>0</v>
      </c>
      <c r="AR155" s="16"/>
      <c r="AS155" s="51"/>
      <c r="AT155" s="16"/>
      <c r="AU155" s="16"/>
      <c r="AV155" s="16"/>
    </row>
    <row r="156" customFormat="false" ht="12.8" hidden="false" customHeight="false" outlineLevel="0" collapsed="false">
      <c r="A156" s="16" t="s">
        <v>258</v>
      </c>
      <c r="B156" s="17" t="s">
        <v>93</v>
      </c>
      <c r="C156" s="130" t="s">
        <v>296</v>
      </c>
      <c r="D156" s="16" t="s">
        <v>297</v>
      </c>
      <c r="E156" s="156" t="s">
        <v>89</v>
      </c>
      <c r="F156" s="16" t="s">
        <v>165</v>
      </c>
      <c r="G156" s="157" t="s">
        <v>991</v>
      </c>
      <c r="H156" s="157" t="s">
        <v>992</v>
      </c>
      <c r="I156" s="17" t="s">
        <v>92</v>
      </c>
      <c r="J156" s="154" t="s">
        <v>751</v>
      </c>
      <c r="K156" s="148" t="s">
        <v>92</v>
      </c>
      <c r="L156" s="150"/>
      <c r="M156" s="16"/>
      <c r="N156" s="16"/>
      <c r="O156" s="16"/>
      <c r="P156" s="16"/>
      <c r="Q156" s="16"/>
      <c r="R156" s="16"/>
      <c r="S156" s="17" t="s">
        <v>92</v>
      </c>
      <c r="T156" s="16"/>
      <c r="U156" s="16"/>
      <c r="V156" s="16"/>
      <c r="W156" s="16"/>
      <c r="X156" s="16"/>
      <c r="Y156" s="16"/>
      <c r="Z156" s="16" t="n">
        <v>1</v>
      </c>
      <c r="AA156" s="16"/>
      <c r="AB156" s="16" t="n">
        <v>2</v>
      </c>
      <c r="AC156" s="16" t="n">
        <v>3</v>
      </c>
      <c r="AD156" s="16"/>
      <c r="AE156" s="17" t="s">
        <v>46</v>
      </c>
      <c r="AF156" s="17" t="s">
        <v>844</v>
      </c>
      <c r="AG156" s="181" t="n">
        <v>420</v>
      </c>
      <c r="AH156" s="179" t="n">
        <f aca="false">AP156/60*(AM156+AN156)/AJ156/AK156/AL156</f>
        <v>0</v>
      </c>
      <c r="AI156" s="179" t="n">
        <f aca="false">AQ156/60*(AM156+AN156)/AJ156/AK156/AL156</f>
        <v>0</v>
      </c>
      <c r="AJ156" s="141" t="n">
        <v>1</v>
      </c>
      <c r="AK156" s="141" t="n">
        <v>1</v>
      </c>
      <c r="AL156" s="141" t="n">
        <v>8</v>
      </c>
      <c r="AM156" s="141" t="n">
        <v>8</v>
      </c>
      <c r="AN156" s="141" t="n">
        <v>35</v>
      </c>
      <c r="AO156" s="179" t="n">
        <f aca="false">AG156*AJ156*AK156*AL156/(AM156+AN156)*60</f>
        <v>0</v>
      </c>
      <c r="AP156" s="181" t="n">
        <v>0</v>
      </c>
      <c r="AQ156" s="181" t="n">
        <v>1922</v>
      </c>
      <c r="AR156" s="17" t="s">
        <v>20</v>
      </c>
      <c r="AS156" s="51" t="n">
        <v>0.03</v>
      </c>
      <c r="AT156" s="17" t="s">
        <v>915</v>
      </c>
      <c r="AU156" s="150" t="s">
        <v>846</v>
      </c>
      <c r="AV156" s="16" t="n">
        <v>3</v>
      </c>
    </row>
    <row r="157" customFormat="false" ht="12.8" hidden="false" customHeight="false" outlineLevel="0" collapsed="false">
      <c r="A157" s="16" t="s">
        <v>258</v>
      </c>
      <c r="B157" s="17" t="s">
        <v>93</v>
      </c>
      <c r="C157" s="130" t="s">
        <v>296</v>
      </c>
      <c r="D157" s="16" t="s">
        <v>297</v>
      </c>
      <c r="E157" s="156" t="s">
        <v>89</v>
      </c>
      <c r="F157" s="16" t="s">
        <v>165</v>
      </c>
      <c r="G157" s="192" t="s">
        <v>993</v>
      </c>
      <c r="H157" s="154" t="s">
        <v>994</v>
      </c>
      <c r="I157" s="17" t="s">
        <v>92</v>
      </c>
      <c r="J157" s="154" t="s">
        <v>750</v>
      </c>
      <c r="K157" s="150"/>
      <c r="L157" s="150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 t="n">
        <v>1</v>
      </c>
      <c r="X157" s="16" t="n">
        <v>2</v>
      </c>
      <c r="Y157" s="16"/>
      <c r="Z157" s="16" t="n">
        <v>3</v>
      </c>
      <c r="AA157" s="16"/>
      <c r="AB157" s="16" t="n">
        <v>4</v>
      </c>
      <c r="AC157" s="16" t="n">
        <v>5</v>
      </c>
      <c r="AD157" s="16"/>
      <c r="AE157" s="148" t="s">
        <v>44</v>
      </c>
      <c r="AF157" s="148" t="s">
        <v>844</v>
      </c>
      <c r="AG157" s="181" t="n">
        <v>300</v>
      </c>
      <c r="AH157" s="179" t="n">
        <f aca="false">AP157/60*(AM157+AN157)/AJ157/AK157/AL157</f>
        <v>0</v>
      </c>
      <c r="AI157" s="179" t="n">
        <f aca="false">AQ157/60*(AM157+AN157)/AJ157/AK157/AL157</f>
        <v>0</v>
      </c>
      <c r="AJ157" s="141" t="n">
        <v>2</v>
      </c>
      <c r="AK157" s="141" t="n">
        <v>2</v>
      </c>
      <c r="AL157" s="141" t="n">
        <v>1</v>
      </c>
      <c r="AM157" s="141" t="n">
        <v>0</v>
      </c>
      <c r="AN157" s="141" t="n">
        <v>16</v>
      </c>
      <c r="AO157" s="179" t="n">
        <f aca="false">AG157*AJ157*AK157*AL157/(AM157+AN157)*60</f>
        <v>0</v>
      </c>
      <c r="AP157" s="181" t="n">
        <v>0</v>
      </c>
      <c r="AQ157" s="181" t="n">
        <v>1305</v>
      </c>
      <c r="AR157" s="17" t="s">
        <v>20</v>
      </c>
      <c r="AS157" s="51" t="n">
        <v>0.03</v>
      </c>
      <c r="AT157" s="148" t="s">
        <v>845</v>
      </c>
      <c r="AU157" s="150" t="s">
        <v>846</v>
      </c>
      <c r="AV157" s="16" t="n">
        <v>3</v>
      </c>
    </row>
    <row r="158" customFormat="false" ht="12.8" hidden="false" customHeight="false" outlineLevel="0" collapsed="false">
      <c r="A158" s="16" t="s">
        <v>258</v>
      </c>
      <c r="B158" s="17" t="s">
        <v>93</v>
      </c>
      <c r="C158" s="130" t="s">
        <v>296</v>
      </c>
      <c r="D158" s="16" t="s">
        <v>297</v>
      </c>
      <c r="E158" s="156" t="s">
        <v>89</v>
      </c>
      <c r="F158" s="16" t="s">
        <v>165</v>
      </c>
      <c r="G158" s="157" t="s">
        <v>995</v>
      </c>
      <c r="H158" s="154" t="s">
        <v>843</v>
      </c>
      <c r="I158" s="16"/>
      <c r="J158" s="154" t="s">
        <v>750</v>
      </c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 t="n">
        <v>1</v>
      </c>
      <c r="V158" s="16" t="n">
        <v>2</v>
      </c>
      <c r="W158" s="16" t="n">
        <v>3</v>
      </c>
      <c r="X158" s="16" t="n">
        <v>4</v>
      </c>
      <c r="Y158" s="16"/>
      <c r="Z158" s="16"/>
      <c r="AA158" s="16"/>
      <c r="AB158" s="16"/>
      <c r="AC158" s="16"/>
      <c r="AD158" s="16"/>
      <c r="AE158" s="148" t="s">
        <v>44</v>
      </c>
      <c r="AF158" s="148" t="s">
        <v>844</v>
      </c>
      <c r="AG158" s="181" t="n">
        <v>40</v>
      </c>
      <c r="AH158" s="179" t="n">
        <f aca="false">AP158/60*(AM158+AN158)/AJ158/AK158/AL158</f>
        <v>0</v>
      </c>
      <c r="AI158" s="179" t="n">
        <f aca="false">AQ158/60*(AM158+AN158)/AJ158/AK158/AL158</f>
        <v>0</v>
      </c>
      <c r="AJ158" s="141" t="n">
        <v>4</v>
      </c>
      <c r="AK158" s="141" t="n">
        <v>1</v>
      </c>
      <c r="AL158" s="141" t="n">
        <v>1</v>
      </c>
      <c r="AM158" s="141" t="n">
        <v>0</v>
      </c>
      <c r="AN158" s="141" t="n">
        <v>4</v>
      </c>
      <c r="AO158" s="179" t="n">
        <f aca="false">AG158*AJ158*AK158*AL158/(AM158+AN158)*60</f>
        <v>0</v>
      </c>
      <c r="AP158" s="181" t="n">
        <v>1440</v>
      </c>
      <c r="AQ158" s="181" t="n">
        <v>72</v>
      </c>
      <c r="AR158" s="17" t="s">
        <v>20</v>
      </c>
      <c r="AS158" s="51" t="n">
        <v>0.04</v>
      </c>
      <c r="AT158" s="148" t="s">
        <v>845</v>
      </c>
      <c r="AU158" s="150" t="s">
        <v>846</v>
      </c>
      <c r="AV158" s="16" t="n">
        <v>1</v>
      </c>
    </row>
    <row r="159" customFormat="false" ht="12.8" hidden="false" customHeight="false" outlineLevel="0" collapsed="false">
      <c r="A159" s="16" t="s">
        <v>258</v>
      </c>
      <c r="B159" s="17" t="s">
        <v>93</v>
      </c>
      <c r="C159" s="156" t="s">
        <v>298</v>
      </c>
      <c r="D159" s="16" t="s">
        <v>299</v>
      </c>
      <c r="E159" s="156" t="s">
        <v>87</v>
      </c>
      <c r="F159" s="16" t="s">
        <v>300</v>
      </c>
      <c r="G159" s="192"/>
      <c r="H159" s="192"/>
      <c r="I159" s="16"/>
      <c r="J159" s="154" t="s">
        <v>752</v>
      </c>
      <c r="K159" s="148" t="s">
        <v>92</v>
      </c>
      <c r="L159" s="150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81"/>
      <c r="AH159" s="179" t="n">
        <f aca="false">AP159/60*(AM159+AN159)/AJ159/AK159/AL159</f>
        <v>0</v>
      </c>
      <c r="AI159" s="179" t="n">
        <f aca="false">AQ159/60*(AM159+AN159)/AJ159/AK159/AL159</f>
        <v>0</v>
      </c>
      <c r="AJ159" s="141" t="n">
        <v>1</v>
      </c>
      <c r="AK159" s="141" t="n">
        <v>1</v>
      </c>
      <c r="AL159" s="141" t="n">
        <v>1</v>
      </c>
      <c r="AM159" s="141" t="n">
        <v>0</v>
      </c>
      <c r="AN159" s="141" t="n">
        <v>1</v>
      </c>
      <c r="AO159" s="179" t="n">
        <f aca="false">AG159*AJ159*AK159*AL159/(AM159+AN159)*60</f>
        <v>0</v>
      </c>
      <c r="AP159" s="181" t="n">
        <v>0</v>
      </c>
      <c r="AQ159" s="181" t="n">
        <v>0</v>
      </c>
      <c r="AR159" s="16"/>
      <c r="AS159" s="51"/>
      <c r="AT159" s="16"/>
      <c r="AU159" s="16"/>
      <c r="AV159" s="16"/>
    </row>
    <row r="160" customFormat="false" ht="12.8" hidden="false" customHeight="false" outlineLevel="0" collapsed="false">
      <c r="A160" s="16" t="s">
        <v>258</v>
      </c>
      <c r="B160" s="17" t="s">
        <v>93</v>
      </c>
      <c r="C160" s="156" t="s">
        <v>298</v>
      </c>
      <c r="D160" s="16" t="s">
        <v>299</v>
      </c>
      <c r="E160" s="156" t="s">
        <v>87</v>
      </c>
      <c r="F160" s="16" t="s">
        <v>300</v>
      </c>
      <c r="G160" s="192"/>
      <c r="H160" s="192"/>
      <c r="I160" s="16"/>
      <c r="J160" s="154" t="s">
        <v>748</v>
      </c>
      <c r="K160" s="150"/>
      <c r="L160" s="150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81"/>
      <c r="AH160" s="179" t="n">
        <f aca="false">AP160/60*(AM160+AN160)/AJ160/AK160/AL160</f>
        <v>0</v>
      </c>
      <c r="AI160" s="179" t="n">
        <f aca="false">AQ160/60*(AM160+AN160)/AJ160/AK160/AL160</f>
        <v>0</v>
      </c>
      <c r="AJ160" s="141" t="n">
        <v>1</v>
      </c>
      <c r="AK160" s="141" t="n">
        <v>1</v>
      </c>
      <c r="AL160" s="141" t="n">
        <v>1</v>
      </c>
      <c r="AM160" s="141" t="n">
        <v>0</v>
      </c>
      <c r="AN160" s="141" t="n">
        <v>1</v>
      </c>
      <c r="AO160" s="179" t="n">
        <f aca="false">AG160*AJ160*AK160*AL160/(AM160+AN160)*60</f>
        <v>0</v>
      </c>
      <c r="AP160" s="181"/>
      <c r="AQ160" s="181"/>
      <c r="AR160" s="16"/>
      <c r="AS160" s="51"/>
      <c r="AT160" s="16"/>
      <c r="AU160" s="16"/>
      <c r="AV160" s="16"/>
    </row>
    <row r="161" customFormat="false" ht="12.8" hidden="false" customHeight="false" outlineLevel="0" collapsed="false">
      <c r="A161" s="16" t="s">
        <v>258</v>
      </c>
      <c r="B161" s="17" t="s">
        <v>93</v>
      </c>
      <c r="C161" s="156" t="s">
        <v>298</v>
      </c>
      <c r="D161" s="16" t="s">
        <v>263</v>
      </c>
      <c r="E161" s="156" t="s">
        <v>88</v>
      </c>
      <c r="F161" s="16" t="s">
        <v>237</v>
      </c>
      <c r="G161" s="192"/>
      <c r="H161" s="192"/>
      <c r="I161" s="16"/>
      <c r="J161" s="154" t="s">
        <v>750</v>
      </c>
      <c r="K161" s="150"/>
      <c r="L161" s="150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81"/>
      <c r="AH161" s="179" t="n">
        <f aca="false">AP161/60*(AM161+AN161)/AJ161/AK161/AL161</f>
        <v>0</v>
      </c>
      <c r="AI161" s="179" t="n">
        <f aca="false">AQ161/60*(AM161+AN161)/AJ161/AK161/AL161</f>
        <v>0</v>
      </c>
      <c r="AJ161" s="141" t="n">
        <v>1</v>
      </c>
      <c r="AK161" s="141" t="n">
        <v>1</v>
      </c>
      <c r="AL161" s="141" t="n">
        <v>1</v>
      </c>
      <c r="AM161" s="141" t="n">
        <v>0</v>
      </c>
      <c r="AN161" s="141" t="n">
        <v>1</v>
      </c>
      <c r="AO161" s="179" t="n">
        <f aca="false">AG161*AJ161*AK161*AL161/(AM161+AN161)*60</f>
        <v>0</v>
      </c>
      <c r="AP161" s="181" t="n">
        <v>0</v>
      </c>
      <c r="AQ161" s="181" t="n">
        <v>0</v>
      </c>
      <c r="AR161" s="16"/>
      <c r="AS161" s="51"/>
      <c r="AT161" s="16"/>
      <c r="AU161" s="16"/>
      <c r="AV161" s="16"/>
    </row>
    <row r="162" customFormat="false" ht="12.8" hidden="false" customHeight="false" outlineLevel="0" collapsed="false">
      <c r="A162" s="16" t="s">
        <v>258</v>
      </c>
      <c r="B162" s="17" t="s">
        <v>93</v>
      </c>
      <c r="C162" s="130" t="s">
        <v>301</v>
      </c>
      <c r="D162" s="16" t="s">
        <v>302</v>
      </c>
      <c r="E162" s="156" t="s">
        <v>89</v>
      </c>
      <c r="F162" s="16" t="s">
        <v>165</v>
      </c>
      <c r="G162" s="157" t="s">
        <v>996</v>
      </c>
      <c r="H162" s="157" t="s">
        <v>997</v>
      </c>
      <c r="I162" s="17" t="s">
        <v>92</v>
      </c>
      <c r="J162" s="154" t="s">
        <v>753</v>
      </c>
      <c r="K162" s="148" t="s">
        <v>92</v>
      </c>
      <c r="L162" s="150"/>
      <c r="M162" s="16"/>
      <c r="N162" s="16"/>
      <c r="O162" s="16"/>
      <c r="P162" s="16"/>
      <c r="Q162" s="16"/>
      <c r="R162" s="16"/>
      <c r="S162" s="16"/>
      <c r="T162" s="16"/>
      <c r="U162" s="16" t="n">
        <v>3</v>
      </c>
      <c r="V162" s="16" t="n">
        <v>4</v>
      </c>
      <c r="W162" s="16" t="n">
        <v>1</v>
      </c>
      <c r="X162" s="16" t="n">
        <v>2</v>
      </c>
      <c r="Y162" s="16"/>
      <c r="Z162" s="16"/>
      <c r="AA162" s="16"/>
      <c r="AB162" s="16"/>
      <c r="AC162" s="16"/>
      <c r="AD162" s="16"/>
      <c r="AE162" s="17" t="s">
        <v>45</v>
      </c>
      <c r="AF162" s="17" t="s">
        <v>844</v>
      </c>
      <c r="AG162" s="181" t="n">
        <v>250</v>
      </c>
      <c r="AH162" s="179" t="n">
        <f aca="false">AP162/60*(AM162+AN162)/AJ162/AK162/AL162</f>
        <v>0</v>
      </c>
      <c r="AI162" s="179" t="n">
        <f aca="false">AQ162/60*(AM162+AN162)/AJ162/AK162/AL162</f>
        <v>0</v>
      </c>
      <c r="AJ162" s="141" t="n">
        <v>1</v>
      </c>
      <c r="AK162" s="141" t="n">
        <v>1</v>
      </c>
      <c r="AL162" s="141" t="n">
        <v>16</v>
      </c>
      <c r="AM162" s="141" t="n">
        <v>16</v>
      </c>
      <c r="AN162" s="141" t="n">
        <v>40</v>
      </c>
      <c r="AO162" s="179" t="n">
        <f aca="false">AG162*AJ162*AK162*AL162/(AM162+AN162)*60</f>
        <v>0</v>
      </c>
      <c r="AP162" s="181" t="n">
        <v>600</v>
      </c>
      <c r="AQ162" s="181" t="n">
        <v>428</v>
      </c>
      <c r="AR162" s="17" t="s">
        <v>20</v>
      </c>
      <c r="AS162" s="51" t="n">
        <v>0.03</v>
      </c>
      <c r="AT162" s="17" t="s">
        <v>47</v>
      </c>
      <c r="AU162" s="150" t="s">
        <v>846</v>
      </c>
      <c r="AV162" s="16" t="n">
        <v>3</v>
      </c>
    </row>
    <row r="163" customFormat="false" ht="12.8" hidden="false" customHeight="false" outlineLevel="0" collapsed="false">
      <c r="A163" s="16" t="s">
        <v>258</v>
      </c>
      <c r="B163" s="17" t="s">
        <v>93</v>
      </c>
      <c r="C163" s="130" t="s">
        <v>301</v>
      </c>
      <c r="D163" s="16" t="s">
        <v>302</v>
      </c>
      <c r="E163" s="156" t="s">
        <v>89</v>
      </c>
      <c r="F163" s="16" t="s">
        <v>165</v>
      </c>
      <c r="G163" s="157" t="s">
        <v>998</v>
      </c>
      <c r="H163" s="154" t="s">
        <v>999</v>
      </c>
      <c r="I163" s="16"/>
      <c r="J163" s="154" t="s">
        <v>753</v>
      </c>
      <c r="K163" s="148" t="s">
        <v>92</v>
      </c>
      <c r="L163" s="150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 t="n">
        <v>1</v>
      </c>
      <c r="Z163" s="16" t="n">
        <v>2</v>
      </c>
      <c r="AA163" s="16" t="n">
        <v>3</v>
      </c>
      <c r="AB163" s="16" t="n">
        <v>4</v>
      </c>
      <c r="AC163" s="16" t="n">
        <v>5</v>
      </c>
      <c r="AD163" s="16"/>
      <c r="AE163" s="17" t="s">
        <v>46</v>
      </c>
      <c r="AF163" s="17" t="s">
        <v>844</v>
      </c>
      <c r="AG163" s="181" t="n">
        <v>420</v>
      </c>
      <c r="AH163" s="179" t="n">
        <f aca="false">AP163/60*(AM163+AN163)/AJ163/AK163/AL163</f>
        <v>0</v>
      </c>
      <c r="AI163" s="179" t="n">
        <f aca="false">AQ163/60*(AM163+AN163)/AJ163/AK163/AL163</f>
        <v>0</v>
      </c>
      <c r="AJ163" s="141" t="n">
        <v>1</v>
      </c>
      <c r="AK163" s="141" t="n">
        <v>1</v>
      </c>
      <c r="AL163" s="141" t="n">
        <v>3</v>
      </c>
      <c r="AM163" s="141" t="n">
        <v>6</v>
      </c>
      <c r="AN163" s="141" t="n">
        <v>20</v>
      </c>
      <c r="AO163" s="179" t="n">
        <f aca="false">AG163*AJ163*AK163*AL163/(AM163+AN163)*60</f>
        <v>0</v>
      </c>
      <c r="AP163" s="181" t="n">
        <v>0</v>
      </c>
      <c r="AQ163" s="181" t="n">
        <v>1453</v>
      </c>
      <c r="AR163" s="17" t="s">
        <v>20</v>
      </c>
      <c r="AS163" s="51" t="n">
        <v>0.04</v>
      </c>
      <c r="AT163" s="17" t="s">
        <v>915</v>
      </c>
      <c r="AU163" s="150" t="s">
        <v>846</v>
      </c>
      <c r="AV163" s="16" t="n">
        <v>2</v>
      </c>
    </row>
    <row r="164" customFormat="false" ht="12.8" hidden="false" customHeight="false" outlineLevel="0" collapsed="false">
      <c r="A164" s="16" t="s">
        <v>258</v>
      </c>
      <c r="B164" s="17" t="s">
        <v>93</v>
      </c>
      <c r="C164" s="130" t="s">
        <v>301</v>
      </c>
      <c r="D164" s="16" t="s">
        <v>302</v>
      </c>
      <c r="E164" s="156" t="s">
        <v>89</v>
      </c>
      <c r="F164" s="16" t="s">
        <v>165</v>
      </c>
      <c r="G164" s="157" t="s">
        <v>1000</v>
      </c>
      <c r="H164" s="154" t="s">
        <v>843</v>
      </c>
      <c r="I164" s="17" t="s">
        <v>92</v>
      </c>
      <c r="J164" s="154" t="s">
        <v>645</v>
      </c>
      <c r="K164" s="150"/>
      <c r="L164" s="150"/>
      <c r="M164" s="16"/>
      <c r="N164" s="16"/>
      <c r="O164" s="16"/>
      <c r="P164" s="16"/>
      <c r="Q164" s="16"/>
      <c r="R164" s="16"/>
      <c r="S164" s="16"/>
      <c r="T164" s="16"/>
      <c r="U164" s="16" t="n">
        <v>1</v>
      </c>
      <c r="V164" s="16" t="n">
        <v>2</v>
      </c>
      <c r="W164" s="16" t="n">
        <v>3</v>
      </c>
      <c r="X164" s="16" t="n">
        <v>4</v>
      </c>
      <c r="Y164" s="16"/>
      <c r="Z164" s="16"/>
      <c r="AA164" s="16"/>
      <c r="AB164" s="16"/>
      <c r="AC164" s="16"/>
      <c r="AD164" s="16"/>
      <c r="AE164" s="148" t="s">
        <v>44</v>
      </c>
      <c r="AF164" s="148" t="s">
        <v>844</v>
      </c>
      <c r="AG164" s="181" t="n">
        <v>30</v>
      </c>
      <c r="AH164" s="179" t="n">
        <f aca="false">AP164/60*(AM164+AN164)/AJ164/AK164/AL164</f>
        <v>0</v>
      </c>
      <c r="AI164" s="179" t="n">
        <f aca="false">AQ164/60*(AM164+AN164)/AJ164/AK164/AL164</f>
        <v>0</v>
      </c>
      <c r="AJ164" s="141" t="n">
        <v>1</v>
      </c>
      <c r="AK164" s="141" t="n">
        <v>1</v>
      </c>
      <c r="AL164" s="141" t="n">
        <v>1</v>
      </c>
      <c r="AM164" s="141" t="n">
        <v>0</v>
      </c>
      <c r="AN164" s="141" t="n">
        <v>3</v>
      </c>
      <c r="AO164" s="179" t="n">
        <f aca="false">AG164*AJ164*AK164*AL164/(AM164+AN164)*60</f>
        <v>0</v>
      </c>
      <c r="AP164" s="181" t="n">
        <v>498</v>
      </c>
      <c r="AQ164" s="181" t="n">
        <v>30</v>
      </c>
      <c r="AR164" s="17" t="s">
        <v>20</v>
      </c>
      <c r="AS164" s="51" t="n">
        <v>0.06</v>
      </c>
      <c r="AT164" s="148" t="s">
        <v>845</v>
      </c>
      <c r="AU164" s="150" t="s">
        <v>846</v>
      </c>
      <c r="AV164" s="16" t="n">
        <v>1</v>
      </c>
    </row>
    <row r="165" customFormat="false" ht="12.8" hidden="false" customHeight="false" outlineLevel="0" collapsed="false">
      <c r="A165" s="16" t="s">
        <v>258</v>
      </c>
      <c r="B165" s="17" t="s">
        <v>93</v>
      </c>
      <c r="C165" s="130" t="s">
        <v>301</v>
      </c>
      <c r="D165" s="16" t="s">
        <v>302</v>
      </c>
      <c r="E165" s="156" t="s">
        <v>89</v>
      </c>
      <c r="F165" s="16" t="s">
        <v>165</v>
      </c>
      <c r="G165" s="157" t="s">
        <v>995</v>
      </c>
      <c r="H165" s="154" t="s">
        <v>843</v>
      </c>
      <c r="I165" s="16"/>
      <c r="J165" s="154" t="s">
        <v>645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 t="n">
        <v>1</v>
      </c>
      <c r="V165" s="16" t="n">
        <v>2</v>
      </c>
      <c r="W165" s="16" t="n">
        <v>3</v>
      </c>
      <c r="X165" s="16" t="n">
        <v>4</v>
      </c>
      <c r="Y165" s="16"/>
      <c r="Z165" s="16"/>
      <c r="AA165" s="16"/>
      <c r="AB165" s="16"/>
      <c r="AC165" s="16"/>
      <c r="AD165" s="16"/>
      <c r="AE165" s="148" t="s">
        <v>44</v>
      </c>
      <c r="AF165" s="148" t="s">
        <v>844</v>
      </c>
      <c r="AG165" s="181" t="n">
        <v>40</v>
      </c>
      <c r="AH165" s="179" t="n">
        <f aca="false">AP165/60*(AM165+AN165)/AJ165/AK165/AL165</f>
        <v>0</v>
      </c>
      <c r="AI165" s="179" t="n">
        <f aca="false">AQ165/60*(AM165+AN165)/AJ165/AK165/AL165</f>
        <v>0</v>
      </c>
      <c r="AJ165" s="141" t="n">
        <v>3</v>
      </c>
      <c r="AK165" s="141" t="n">
        <v>1</v>
      </c>
      <c r="AL165" s="141" t="n">
        <v>1</v>
      </c>
      <c r="AM165" s="141" t="n">
        <v>0</v>
      </c>
      <c r="AN165" s="141" t="n">
        <v>4</v>
      </c>
      <c r="AO165" s="179" t="n">
        <f aca="false">AG165*AJ165*AK165*AL165/(AM165+AN165)*60</f>
        <v>0</v>
      </c>
      <c r="AP165" s="181" t="n">
        <v>1260</v>
      </c>
      <c r="AQ165" s="181" t="n">
        <v>54</v>
      </c>
      <c r="AR165" s="17" t="s">
        <v>20</v>
      </c>
      <c r="AS165" s="51" t="n">
        <v>0.04</v>
      </c>
      <c r="AT165" s="148" t="s">
        <v>845</v>
      </c>
      <c r="AU165" s="150" t="s">
        <v>846</v>
      </c>
      <c r="AV165" s="16" t="n">
        <v>1</v>
      </c>
    </row>
    <row r="166" customFormat="false" ht="12.8" hidden="false" customHeight="false" outlineLevel="0" collapsed="false">
      <c r="A166" s="16" t="s">
        <v>258</v>
      </c>
      <c r="B166" s="17" t="s">
        <v>93</v>
      </c>
      <c r="C166" s="156" t="s">
        <v>301</v>
      </c>
      <c r="D166" s="16" t="s">
        <v>303</v>
      </c>
      <c r="E166" s="156" t="s">
        <v>87</v>
      </c>
      <c r="F166" s="16" t="s">
        <v>109</v>
      </c>
      <c r="G166" s="192"/>
      <c r="H166" s="192"/>
      <c r="I166" s="16"/>
      <c r="J166" s="192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81"/>
      <c r="AH166" s="179" t="n">
        <f aca="false">AP166/60*(AM166+AN166)/AJ166/AK166/AL166</f>
        <v>0</v>
      </c>
      <c r="AI166" s="179" t="n">
        <f aca="false">AQ166/60*(AM166+AN166)/AJ166/AK166/AL166</f>
        <v>0</v>
      </c>
      <c r="AJ166" s="141" t="n">
        <v>1</v>
      </c>
      <c r="AK166" s="141" t="n">
        <v>1</v>
      </c>
      <c r="AL166" s="141" t="n">
        <v>1</v>
      </c>
      <c r="AM166" s="141" t="n">
        <v>0</v>
      </c>
      <c r="AN166" s="141" t="n">
        <v>1</v>
      </c>
      <c r="AO166" s="179" t="n">
        <f aca="false">AG166*AJ166*AK166*AL166/(AM166+AN166)*60</f>
        <v>0</v>
      </c>
      <c r="AP166" s="181" t="n">
        <v>0</v>
      </c>
      <c r="AQ166" s="181" t="n">
        <v>0</v>
      </c>
      <c r="AR166" s="16"/>
      <c r="AS166" s="51"/>
      <c r="AT166" s="16"/>
      <c r="AU166" s="16"/>
      <c r="AV166" s="16"/>
    </row>
    <row r="167" customFormat="false" ht="12.8" hidden="false" customHeight="false" outlineLevel="0" collapsed="false">
      <c r="A167" s="16" t="s">
        <v>258</v>
      </c>
      <c r="B167" s="17" t="s">
        <v>93</v>
      </c>
      <c r="C167" s="156" t="s">
        <v>301</v>
      </c>
      <c r="D167" s="16" t="s">
        <v>304</v>
      </c>
      <c r="E167" s="156" t="s">
        <v>88</v>
      </c>
      <c r="F167" s="16" t="s">
        <v>176</v>
      </c>
      <c r="G167" s="192"/>
      <c r="H167" s="192"/>
      <c r="I167" s="16"/>
      <c r="J167" s="192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81"/>
      <c r="AH167" s="179" t="n">
        <f aca="false">AP167/60*(AM167+AN167)/AJ167/AK167/AL167</f>
        <v>0</v>
      </c>
      <c r="AI167" s="179" t="n">
        <f aca="false">AQ167/60*(AM167+AN167)/AJ167/AK167/AL167</f>
        <v>0</v>
      </c>
      <c r="AJ167" s="141" t="n">
        <v>1</v>
      </c>
      <c r="AK167" s="141" t="n">
        <v>1</v>
      </c>
      <c r="AL167" s="141" t="n">
        <v>1</v>
      </c>
      <c r="AM167" s="141" t="n">
        <v>0</v>
      </c>
      <c r="AN167" s="141" t="n">
        <v>1</v>
      </c>
      <c r="AO167" s="179" t="n">
        <f aca="false">AG167*AJ167*AK167*AL167/(AM167+AN167)*60</f>
        <v>0</v>
      </c>
      <c r="AP167" s="181" t="n">
        <v>0</v>
      </c>
      <c r="AQ167" s="181" t="n">
        <v>0</v>
      </c>
      <c r="AR167" s="16"/>
      <c r="AS167" s="51"/>
      <c r="AT167" s="16"/>
      <c r="AU167" s="16"/>
      <c r="AV167" s="16"/>
    </row>
    <row r="168" customFormat="false" ht="12.8" hidden="false" customHeight="false" outlineLevel="0" collapsed="false">
      <c r="A168" s="16" t="s">
        <v>258</v>
      </c>
      <c r="B168" s="17" t="s">
        <v>93</v>
      </c>
      <c r="C168" s="156" t="s">
        <v>301</v>
      </c>
      <c r="D168" s="16" t="s">
        <v>305</v>
      </c>
      <c r="E168" s="156" t="s">
        <v>255</v>
      </c>
      <c r="F168" s="16" t="s">
        <v>237</v>
      </c>
      <c r="G168" s="157" t="s">
        <v>996</v>
      </c>
      <c r="H168" s="157" t="s">
        <v>997</v>
      </c>
      <c r="I168" s="17" t="s">
        <v>92</v>
      </c>
      <c r="J168" s="154" t="s">
        <v>755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 t="n">
        <v>3</v>
      </c>
      <c r="V168" s="16" t="n">
        <v>4</v>
      </c>
      <c r="W168" s="16" t="n">
        <v>1</v>
      </c>
      <c r="X168" s="16" t="n">
        <v>2</v>
      </c>
      <c r="Y168" s="16"/>
      <c r="Z168" s="16"/>
      <c r="AA168" s="16"/>
      <c r="AB168" s="16"/>
      <c r="AC168" s="16"/>
      <c r="AD168" s="16"/>
      <c r="AE168" s="17" t="s">
        <v>45</v>
      </c>
      <c r="AF168" s="17" t="s">
        <v>844</v>
      </c>
      <c r="AG168" s="181" t="n">
        <v>250</v>
      </c>
      <c r="AH168" s="179" t="n">
        <f aca="false">AP168/60*(AM168+AN168)/AJ168/AK168/AL168</f>
        <v>0</v>
      </c>
      <c r="AI168" s="179" t="n">
        <f aca="false">AQ168/60*(AM168+AN168)/AJ168/AK168/AL168</f>
        <v>0</v>
      </c>
      <c r="AJ168" s="141" t="n">
        <v>1</v>
      </c>
      <c r="AK168" s="141" t="n">
        <v>1</v>
      </c>
      <c r="AL168" s="141" t="n">
        <v>16</v>
      </c>
      <c r="AM168" s="141" t="n">
        <v>16</v>
      </c>
      <c r="AN168" s="141" t="n">
        <v>40</v>
      </c>
      <c r="AO168" s="179" t="n">
        <f aca="false">AG168*AJ168*AK168*AL168/(AM168+AN168)*60</f>
        <v>0</v>
      </c>
      <c r="AP168" s="181" t="n">
        <v>600</v>
      </c>
      <c r="AQ168" s="181" t="n">
        <v>428</v>
      </c>
      <c r="AR168" s="17" t="s">
        <v>20</v>
      </c>
      <c r="AS168" s="51" t="n">
        <v>0.03</v>
      </c>
      <c r="AT168" s="17" t="s">
        <v>47</v>
      </c>
      <c r="AU168" s="150" t="s">
        <v>846</v>
      </c>
      <c r="AV168" s="16" t="n">
        <v>3</v>
      </c>
    </row>
    <row r="169" customFormat="false" ht="12.8" hidden="false" customHeight="false" outlineLevel="0" collapsed="false">
      <c r="A169" s="16" t="s">
        <v>258</v>
      </c>
      <c r="B169" s="17" t="s">
        <v>93</v>
      </c>
      <c r="C169" s="156" t="s">
        <v>301</v>
      </c>
      <c r="D169" s="16" t="s">
        <v>305</v>
      </c>
      <c r="E169" s="156" t="s">
        <v>255</v>
      </c>
      <c r="F169" s="16" t="s">
        <v>237</v>
      </c>
      <c r="G169" s="157" t="s">
        <v>995</v>
      </c>
      <c r="H169" s="154" t="s">
        <v>843</v>
      </c>
      <c r="I169" s="17" t="s">
        <v>92</v>
      </c>
      <c r="J169" s="154" t="s">
        <v>645</v>
      </c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 t="n">
        <v>1</v>
      </c>
      <c r="V169" s="16" t="n">
        <v>2</v>
      </c>
      <c r="W169" s="16" t="n">
        <v>3</v>
      </c>
      <c r="X169" s="16" t="n">
        <v>4</v>
      </c>
      <c r="Y169" s="16"/>
      <c r="Z169" s="16"/>
      <c r="AA169" s="16"/>
      <c r="AB169" s="16"/>
      <c r="AC169" s="16"/>
      <c r="AD169" s="16"/>
      <c r="AE169" s="148" t="s">
        <v>44</v>
      </c>
      <c r="AF169" s="148" t="s">
        <v>844</v>
      </c>
      <c r="AG169" s="181" t="n">
        <v>40</v>
      </c>
      <c r="AH169" s="179" t="n">
        <f aca="false">AP169/60*(AM169+AN169)/AJ169/AK169/AL169</f>
        <v>0</v>
      </c>
      <c r="AI169" s="179" t="n">
        <f aca="false">AQ169/60*(AM169+AN169)/AJ169/AK169/AL169</f>
        <v>0</v>
      </c>
      <c r="AJ169" s="141" t="n">
        <v>2</v>
      </c>
      <c r="AK169" s="141" t="n">
        <v>1</v>
      </c>
      <c r="AL169" s="141" t="n">
        <v>1</v>
      </c>
      <c r="AM169" s="141" t="n">
        <v>0</v>
      </c>
      <c r="AN169" s="141" t="n">
        <v>4</v>
      </c>
      <c r="AO169" s="179" t="n">
        <f aca="false">AG169*AJ169*AK169*AL169/(AM169+AN169)*60</f>
        <v>0</v>
      </c>
      <c r="AP169" s="181" t="n">
        <v>960</v>
      </c>
      <c r="AQ169" s="181" t="n">
        <v>36</v>
      </c>
      <c r="AR169" s="17" t="s">
        <v>20</v>
      </c>
      <c r="AS169" s="51" t="n">
        <v>0.04</v>
      </c>
      <c r="AT169" s="148" t="s">
        <v>845</v>
      </c>
      <c r="AU169" s="150" t="s">
        <v>846</v>
      </c>
      <c r="AV169" s="16" t="n">
        <v>1</v>
      </c>
    </row>
    <row r="170" customFormat="false" ht="12.8" hidden="false" customHeight="false" outlineLevel="0" collapsed="false">
      <c r="A170" s="16" t="s">
        <v>258</v>
      </c>
      <c r="B170" s="17" t="s">
        <v>113</v>
      </c>
      <c r="C170" s="17" t="s">
        <v>272</v>
      </c>
      <c r="D170" s="17" t="s">
        <v>273</v>
      </c>
      <c r="E170" s="130" t="s">
        <v>89</v>
      </c>
      <c r="F170" s="16" t="s">
        <v>148</v>
      </c>
      <c r="G170" s="157" t="s">
        <v>1001</v>
      </c>
      <c r="H170" s="154" t="s">
        <v>888</v>
      </c>
      <c r="I170" s="17" t="s">
        <v>92</v>
      </c>
      <c r="J170" s="154" t="s">
        <v>732</v>
      </c>
      <c r="K170" s="16"/>
      <c r="L170" s="16"/>
      <c r="M170" s="16"/>
      <c r="N170" s="16"/>
      <c r="O170" s="16"/>
      <c r="P170" s="16"/>
      <c r="Q170" s="17" t="s">
        <v>92</v>
      </c>
      <c r="R170" s="16"/>
      <c r="S170" s="16"/>
      <c r="T170" s="16"/>
      <c r="U170" s="16" t="n">
        <v>1</v>
      </c>
      <c r="V170" s="16" t="n">
        <v>2</v>
      </c>
      <c r="W170" s="16" t="n">
        <v>3</v>
      </c>
      <c r="X170" s="16" t="n">
        <v>4</v>
      </c>
      <c r="Y170" s="16"/>
      <c r="Z170" s="16"/>
      <c r="AA170" s="16"/>
      <c r="AB170" s="16"/>
      <c r="AC170" s="16"/>
      <c r="AD170" s="16"/>
      <c r="AE170" s="148" t="s">
        <v>44</v>
      </c>
      <c r="AF170" s="148" t="s">
        <v>844</v>
      </c>
      <c r="AG170" s="181" t="n">
        <v>40</v>
      </c>
      <c r="AH170" s="179" t="n">
        <f aca="false">AP170/60*(AM170+AN170)/AJ170/AK170/AL170</f>
        <v>0</v>
      </c>
      <c r="AI170" s="179" t="n">
        <f aca="false">AQ170/60*(AM170+AN170)/AJ170/AK170/AL170</f>
        <v>0</v>
      </c>
      <c r="AJ170" s="141" t="n">
        <v>2</v>
      </c>
      <c r="AK170" s="141" t="n">
        <v>2</v>
      </c>
      <c r="AL170" s="141" t="n">
        <v>3</v>
      </c>
      <c r="AM170" s="141" t="n">
        <v>3</v>
      </c>
      <c r="AN170" s="141" t="n">
        <v>6</v>
      </c>
      <c r="AO170" s="179" t="n">
        <f aca="false">AG170*AJ170*AK170*AL170/(AM170+AN170)*60</f>
        <v>0</v>
      </c>
      <c r="AP170" s="181" t="n">
        <v>1920</v>
      </c>
      <c r="AQ170" s="181" t="n">
        <v>256</v>
      </c>
      <c r="AR170" s="16"/>
      <c r="AS170" s="51"/>
      <c r="AT170" s="16"/>
      <c r="AU170" s="16"/>
      <c r="AV170" s="16"/>
    </row>
    <row r="171" customFormat="false" ht="12.8" hidden="false" customHeight="false" outlineLevel="0" collapsed="false">
      <c r="A171" s="16" t="s">
        <v>258</v>
      </c>
      <c r="B171" s="17" t="s">
        <v>113</v>
      </c>
      <c r="C171" s="17" t="s">
        <v>272</v>
      </c>
      <c r="D171" s="17" t="s">
        <v>274</v>
      </c>
      <c r="E171" s="156" t="s">
        <v>87</v>
      </c>
      <c r="F171" s="16" t="s">
        <v>237</v>
      </c>
      <c r="G171" s="157" t="s">
        <v>1001</v>
      </c>
      <c r="H171" s="154" t="s">
        <v>888</v>
      </c>
      <c r="I171" s="17" t="s">
        <v>92</v>
      </c>
      <c r="J171" s="154" t="s">
        <v>732</v>
      </c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 t="n">
        <v>1</v>
      </c>
      <c r="V171" s="16" t="n">
        <v>2</v>
      </c>
      <c r="W171" s="16" t="n">
        <v>3</v>
      </c>
      <c r="X171" s="16" t="n">
        <v>4</v>
      </c>
      <c r="Y171" s="16"/>
      <c r="Z171" s="16"/>
      <c r="AA171" s="16"/>
      <c r="AB171" s="16"/>
      <c r="AC171" s="16"/>
      <c r="AD171" s="16"/>
      <c r="AE171" s="148" t="s">
        <v>44</v>
      </c>
      <c r="AF171" s="148" t="s">
        <v>844</v>
      </c>
      <c r="AG171" s="181" t="n">
        <v>40</v>
      </c>
      <c r="AH171" s="179" t="n">
        <f aca="false">AP171/60*(AM171+AN171)/AJ171/AK171/AL171</f>
        <v>0</v>
      </c>
      <c r="AI171" s="179" t="n">
        <f aca="false">AQ171/60*(AM171+AN171)/AJ171/AK171/AL171</f>
        <v>0</v>
      </c>
      <c r="AJ171" s="141" t="n">
        <v>2</v>
      </c>
      <c r="AK171" s="141" t="n">
        <v>2</v>
      </c>
      <c r="AL171" s="141" t="n">
        <v>3</v>
      </c>
      <c r="AM171" s="141" t="n">
        <v>3</v>
      </c>
      <c r="AN171" s="141" t="n">
        <v>6</v>
      </c>
      <c r="AO171" s="179" t="n">
        <f aca="false">AG171*AJ171*AK171*AL171/(AM171+AN171)*60</f>
        <v>0</v>
      </c>
      <c r="AP171" s="181" t="n">
        <v>1920</v>
      </c>
      <c r="AQ171" s="181" t="n">
        <v>256</v>
      </c>
      <c r="AR171" s="16"/>
      <c r="AS171" s="51"/>
      <c r="AT171" s="16"/>
      <c r="AU171" s="16"/>
      <c r="AV171" s="16"/>
    </row>
    <row r="172" customFormat="false" ht="12.8" hidden="false" customHeight="false" outlineLevel="0" collapsed="false">
      <c r="A172" s="36" t="s">
        <v>258</v>
      </c>
      <c r="B172" s="35" t="s">
        <v>113</v>
      </c>
      <c r="C172" s="35" t="s">
        <v>272</v>
      </c>
      <c r="D172" s="35" t="s">
        <v>275</v>
      </c>
      <c r="E172" s="34" t="s">
        <v>88</v>
      </c>
      <c r="F172" s="36" t="s">
        <v>237</v>
      </c>
      <c r="G172" s="157" t="s">
        <v>1001</v>
      </c>
      <c r="H172" s="154" t="s">
        <v>888</v>
      </c>
      <c r="I172" s="17" t="s">
        <v>92</v>
      </c>
      <c r="J172" s="154" t="s">
        <v>732</v>
      </c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 t="n">
        <v>1</v>
      </c>
      <c r="V172" s="16" t="n">
        <v>2</v>
      </c>
      <c r="W172" s="16" t="n">
        <v>3</v>
      </c>
      <c r="X172" s="16" t="n">
        <v>4</v>
      </c>
      <c r="Y172" s="16"/>
      <c r="Z172" s="16"/>
      <c r="AA172" s="16"/>
      <c r="AB172" s="16"/>
      <c r="AC172" s="16"/>
      <c r="AD172" s="16"/>
      <c r="AE172" s="148" t="s">
        <v>44</v>
      </c>
      <c r="AF172" s="148" t="s">
        <v>844</v>
      </c>
      <c r="AG172" s="181" t="n">
        <v>40</v>
      </c>
      <c r="AH172" s="179" t="n">
        <f aca="false">AP172/60*(AM172+AN172)/AJ172/AK172/AL172</f>
        <v>0</v>
      </c>
      <c r="AI172" s="179" t="n">
        <f aca="false">AQ172/60*(AM172+AN172)/AJ172/AK172/AL172</f>
        <v>0</v>
      </c>
      <c r="AJ172" s="141" t="n">
        <v>2</v>
      </c>
      <c r="AK172" s="141" t="n">
        <v>2</v>
      </c>
      <c r="AL172" s="141" t="n">
        <v>3</v>
      </c>
      <c r="AM172" s="141" t="n">
        <v>3</v>
      </c>
      <c r="AN172" s="141" t="n">
        <v>6</v>
      </c>
      <c r="AO172" s="179" t="n">
        <f aca="false">AG172*AJ172*AK172*AL172/(AM172+AN172)*60</f>
        <v>0</v>
      </c>
      <c r="AP172" s="181" t="n">
        <v>1920</v>
      </c>
      <c r="AQ172" s="181" t="n">
        <v>256</v>
      </c>
      <c r="AR172" s="16"/>
      <c r="AS172" s="51"/>
      <c r="AT172" s="16"/>
      <c r="AU172" s="16"/>
      <c r="AV172" s="16"/>
    </row>
    <row r="173" customFormat="false" ht="12.8" hidden="false" customHeight="false" outlineLevel="0" collapsed="false">
      <c r="A173" s="16" t="s">
        <v>258</v>
      </c>
      <c r="B173" s="17" t="s">
        <v>113</v>
      </c>
      <c r="C173" s="17" t="s">
        <v>266</v>
      </c>
      <c r="D173" s="17" t="s">
        <v>267</v>
      </c>
      <c r="E173" s="130" t="s">
        <v>89</v>
      </c>
      <c r="F173" s="16" t="s">
        <v>178</v>
      </c>
      <c r="G173" s="157" t="s">
        <v>1002</v>
      </c>
      <c r="H173" s="154" t="s">
        <v>989</v>
      </c>
      <c r="I173" s="17" t="s">
        <v>92</v>
      </c>
      <c r="J173" s="154" t="s">
        <v>733</v>
      </c>
      <c r="K173" s="17" t="s">
        <v>92</v>
      </c>
      <c r="L173" s="130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 t="n">
        <v>1</v>
      </c>
      <c r="Z173" s="16" t="n">
        <v>2</v>
      </c>
      <c r="AA173" s="16" t="n">
        <v>3</v>
      </c>
      <c r="AB173" s="16" t="n">
        <v>4</v>
      </c>
      <c r="AC173" s="16" t="n">
        <v>5</v>
      </c>
      <c r="AD173" s="16"/>
      <c r="AE173" s="17" t="s">
        <v>734</v>
      </c>
      <c r="AF173" s="17" t="s">
        <v>54</v>
      </c>
      <c r="AG173" s="181" t="n">
        <v>450</v>
      </c>
      <c r="AH173" s="179" t="n">
        <f aca="false">AP173/60*(AM173+AN173)/AJ173/AK173/AL173</f>
        <v>0</v>
      </c>
      <c r="AI173" s="179" t="n">
        <f aca="false">AQ173/60*(AM173+AN173)/AJ173/AK173/AL173</f>
        <v>0</v>
      </c>
      <c r="AJ173" s="141" t="n">
        <v>1</v>
      </c>
      <c r="AK173" s="141" t="n">
        <v>2</v>
      </c>
      <c r="AL173" s="141" t="n">
        <v>3</v>
      </c>
      <c r="AM173" s="141" t="n">
        <v>6</v>
      </c>
      <c r="AN173" s="141" t="n">
        <v>10</v>
      </c>
      <c r="AO173" s="179" t="n">
        <f aca="false">AG173*AJ173*AK173*AL173/(AM173+AN173)*60</f>
        <v>0</v>
      </c>
      <c r="AP173" s="181" t="n">
        <v>0</v>
      </c>
      <c r="AQ173" s="181" t="n">
        <v>1721</v>
      </c>
      <c r="AR173" s="16"/>
      <c r="AS173" s="51"/>
      <c r="AT173" s="16"/>
      <c r="AU173" s="16"/>
      <c r="AV173" s="16"/>
    </row>
    <row r="174" customFormat="false" ht="12.8" hidden="false" customHeight="false" outlineLevel="0" collapsed="false">
      <c r="A174" s="16" t="s">
        <v>258</v>
      </c>
      <c r="B174" s="17" t="s">
        <v>113</v>
      </c>
      <c r="C174" s="17" t="s">
        <v>266</v>
      </c>
      <c r="D174" s="17" t="s">
        <v>267</v>
      </c>
      <c r="E174" s="130" t="s">
        <v>89</v>
      </c>
      <c r="F174" s="16" t="s">
        <v>178</v>
      </c>
      <c r="G174" s="186" t="s">
        <v>1003</v>
      </c>
      <c r="H174" s="154" t="s">
        <v>974</v>
      </c>
      <c r="I174" s="17" t="s">
        <v>92</v>
      </c>
      <c r="J174" s="154" t="s">
        <v>737</v>
      </c>
      <c r="K174" s="16"/>
      <c r="L174" s="16"/>
      <c r="M174" s="16"/>
      <c r="N174" s="16"/>
      <c r="O174" s="16"/>
      <c r="P174" s="16"/>
      <c r="Q174" s="17" t="s">
        <v>92</v>
      </c>
      <c r="R174" s="16"/>
      <c r="S174" s="16"/>
      <c r="T174" s="16"/>
      <c r="U174" s="16" t="n">
        <v>1</v>
      </c>
      <c r="V174" s="16" t="n">
        <v>2</v>
      </c>
      <c r="W174" s="16" t="n">
        <v>3</v>
      </c>
      <c r="X174" s="16" t="n">
        <v>4</v>
      </c>
      <c r="Y174" s="16"/>
      <c r="Z174" s="16"/>
      <c r="AA174" s="16"/>
      <c r="AB174" s="16"/>
      <c r="AC174" s="16"/>
      <c r="AD174" s="16"/>
      <c r="AE174" s="148" t="s">
        <v>44</v>
      </c>
      <c r="AF174" s="148" t="s">
        <v>844</v>
      </c>
      <c r="AG174" s="184" t="n">
        <v>70</v>
      </c>
      <c r="AH174" s="179" t="n">
        <f aca="false">AP174/60*(AM174+AN174)/AJ174/AK174/AL174</f>
        <v>0</v>
      </c>
      <c r="AI174" s="179" t="n">
        <f aca="false">AQ174/60*(AM174+AN174)/AJ174/AK174/AL174</f>
        <v>0</v>
      </c>
      <c r="AJ174" s="141" t="n">
        <v>3</v>
      </c>
      <c r="AK174" s="141" t="n">
        <v>1</v>
      </c>
      <c r="AL174" s="141" t="n">
        <v>3</v>
      </c>
      <c r="AM174" s="141" t="n">
        <v>2</v>
      </c>
      <c r="AN174" s="141" t="n">
        <v>6</v>
      </c>
      <c r="AO174" s="183" t="n">
        <f aca="false">AG174*AJ174*AK174*AL174/(AM174+AN174)*60</f>
        <v>0</v>
      </c>
      <c r="AP174" s="181" t="n">
        <v>3307</v>
      </c>
      <c r="AQ174" s="181" t="n">
        <v>0</v>
      </c>
      <c r="AR174" s="16"/>
      <c r="AS174" s="51"/>
      <c r="AT174" s="16"/>
      <c r="AU174" s="16"/>
      <c r="AV174" s="16"/>
    </row>
    <row r="175" customFormat="false" ht="12.8" hidden="false" customHeight="false" outlineLevel="0" collapsed="false">
      <c r="A175" s="36" t="s">
        <v>258</v>
      </c>
      <c r="B175" s="35" t="s">
        <v>113</v>
      </c>
      <c r="C175" s="34" t="s">
        <v>268</v>
      </c>
      <c r="D175" s="35" t="s">
        <v>269</v>
      </c>
      <c r="E175" s="130" t="s">
        <v>89</v>
      </c>
      <c r="F175" s="36" t="s">
        <v>270</v>
      </c>
      <c r="G175" s="157" t="s">
        <v>1004</v>
      </c>
      <c r="H175" s="154" t="s">
        <v>843</v>
      </c>
      <c r="I175" s="17" t="s">
        <v>92</v>
      </c>
      <c r="J175" s="154" t="s">
        <v>732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 t="n">
        <v>1</v>
      </c>
      <c r="X175" s="16" t="n">
        <v>2</v>
      </c>
      <c r="Y175" s="16"/>
      <c r="Z175" s="16"/>
      <c r="AA175" s="16"/>
      <c r="AB175" s="16"/>
      <c r="AC175" s="16"/>
      <c r="AD175" s="16"/>
      <c r="AE175" s="148" t="s">
        <v>44</v>
      </c>
      <c r="AF175" s="148" t="s">
        <v>844</v>
      </c>
      <c r="AG175" s="181" t="n">
        <v>90</v>
      </c>
      <c r="AH175" s="179" t="n">
        <f aca="false">AP175/60*(AM175+AN175)/AJ175/AK175/AL175</f>
        <v>0</v>
      </c>
      <c r="AI175" s="179" t="n">
        <f aca="false">AQ175/60*(AM175+AN175)/AJ175/AK175/AL175</f>
        <v>0</v>
      </c>
      <c r="AJ175" s="141" t="n">
        <v>3</v>
      </c>
      <c r="AK175" s="141" t="n">
        <v>1</v>
      </c>
      <c r="AL175" s="141" t="n">
        <v>1</v>
      </c>
      <c r="AM175" s="141" t="n">
        <v>0</v>
      </c>
      <c r="AN175" s="141" t="n">
        <v>5</v>
      </c>
      <c r="AO175" s="179" t="n">
        <f aca="false">AG175*AJ175*AK175*AL175/(AM175+AN175)*60</f>
        <v>0</v>
      </c>
      <c r="AP175" s="181" t="n">
        <v>0</v>
      </c>
      <c r="AQ175" s="181" t="n">
        <v>97</v>
      </c>
      <c r="AR175" s="16"/>
      <c r="AS175" s="51"/>
      <c r="AT175" s="16"/>
      <c r="AU175" s="16"/>
      <c r="AV175" s="16"/>
    </row>
    <row r="176" customFormat="false" ht="12.8" hidden="false" customHeight="false" outlineLevel="0" collapsed="false">
      <c r="A176" s="36" t="s">
        <v>258</v>
      </c>
      <c r="B176" s="35" t="s">
        <v>113</v>
      </c>
      <c r="C176" s="34" t="s">
        <v>268</v>
      </c>
      <c r="D176" s="35" t="s">
        <v>271</v>
      </c>
      <c r="E176" s="156" t="s">
        <v>87</v>
      </c>
      <c r="F176" s="36" t="s">
        <v>188</v>
      </c>
      <c r="G176" s="192"/>
      <c r="H176" s="192"/>
      <c r="I176" s="16"/>
      <c r="J176" s="192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81"/>
      <c r="AH176" s="179" t="n">
        <f aca="false">AP176/60*(AM176+AN176)/AJ176/AK176/AL176</f>
        <v>0</v>
      </c>
      <c r="AI176" s="179" t="n">
        <f aca="false">AQ176/60*(AM176+AN176)/AJ176/AK176/AL176</f>
        <v>0</v>
      </c>
      <c r="AJ176" s="141" t="n">
        <v>1</v>
      </c>
      <c r="AK176" s="141" t="n">
        <v>1</v>
      </c>
      <c r="AL176" s="141" t="n">
        <v>1</v>
      </c>
      <c r="AM176" s="141" t="n">
        <v>0</v>
      </c>
      <c r="AN176" s="141" t="n">
        <v>1</v>
      </c>
      <c r="AO176" s="179" t="n">
        <f aca="false">AG176*AJ176*AK176*AL176/(AM176+AN176)*60</f>
        <v>0</v>
      </c>
      <c r="AP176" s="181" t="n">
        <v>0</v>
      </c>
      <c r="AQ176" s="181" t="n">
        <v>0</v>
      </c>
      <c r="AR176" s="16"/>
      <c r="AS176" s="51"/>
      <c r="AT176" s="16"/>
      <c r="AU176" s="16"/>
      <c r="AV176" s="16"/>
    </row>
    <row r="177" customFormat="false" ht="12.8" hidden="false" customHeight="false" outlineLevel="0" collapsed="false">
      <c r="A177" s="36" t="s">
        <v>258</v>
      </c>
      <c r="B177" s="35" t="s">
        <v>113</v>
      </c>
      <c r="C177" s="34" t="s">
        <v>268</v>
      </c>
      <c r="D177" s="35" t="s">
        <v>263</v>
      </c>
      <c r="E177" s="34" t="s">
        <v>88</v>
      </c>
      <c r="F177" s="36" t="s">
        <v>237</v>
      </c>
      <c r="G177" s="157" t="s">
        <v>1005</v>
      </c>
      <c r="H177" s="154" t="s">
        <v>994</v>
      </c>
      <c r="I177" s="17" t="s">
        <v>92</v>
      </c>
      <c r="J177" s="154" t="s">
        <v>732</v>
      </c>
      <c r="K177" s="16"/>
      <c r="L177" s="16"/>
      <c r="M177" s="16"/>
      <c r="N177" s="16"/>
      <c r="O177" s="16"/>
      <c r="P177" s="16"/>
      <c r="Q177" s="17" t="s">
        <v>92</v>
      </c>
      <c r="R177" s="16"/>
      <c r="S177" s="16"/>
      <c r="T177" s="16"/>
      <c r="U177" s="16" t="n">
        <v>1</v>
      </c>
      <c r="V177" s="16" t="n">
        <v>2</v>
      </c>
      <c r="W177" s="16" t="n">
        <v>3</v>
      </c>
      <c r="X177" s="16" t="n">
        <v>4</v>
      </c>
      <c r="Y177" s="16"/>
      <c r="Z177" s="16"/>
      <c r="AA177" s="16"/>
      <c r="AB177" s="16"/>
      <c r="AC177" s="16"/>
      <c r="AD177" s="16"/>
      <c r="AE177" s="148" t="s">
        <v>44</v>
      </c>
      <c r="AF177" s="148" t="s">
        <v>844</v>
      </c>
      <c r="AG177" s="181" t="n">
        <v>80</v>
      </c>
      <c r="AH177" s="179" t="n">
        <f aca="false">AP177/60*(AM177+AN177)/AJ177/AK177/AL177</f>
        <v>0</v>
      </c>
      <c r="AI177" s="179" t="n">
        <f aca="false">AQ177/60*(AM177+AN177)/AJ177/AK177/AL177</f>
        <v>0</v>
      </c>
      <c r="AJ177" s="141" t="n">
        <v>3</v>
      </c>
      <c r="AK177" s="141" t="n">
        <v>2</v>
      </c>
      <c r="AL177" s="141" t="n">
        <v>1</v>
      </c>
      <c r="AM177" s="141" t="n">
        <v>0</v>
      </c>
      <c r="AN177" s="141" t="n">
        <v>7</v>
      </c>
      <c r="AO177" s="179" t="n">
        <f aca="false">AG177*AJ177*AK177*AL177/(AM177+AN177)*60</f>
        <v>0</v>
      </c>
      <c r="AP177" s="181" t="n">
        <v>345</v>
      </c>
      <c r="AQ177" s="181" t="n">
        <v>288</v>
      </c>
      <c r="AR177" s="16"/>
      <c r="AS177" s="51"/>
      <c r="AT177" s="16"/>
      <c r="AU177" s="16"/>
      <c r="AV177" s="16"/>
    </row>
    <row r="178" customFormat="false" ht="12.8" hidden="false" customHeight="false" outlineLevel="0" collapsed="false">
      <c r="A178" s="36" t="s">
        <v>258</v>
      </c>
      <c r="B178" s="36" t="s">
        <v>98</v>
      </c>
      <c r="C178" s="35" t="s">
        <v>259</v>
      </c>
      <c r="D178" s="35" t="s">
        <v>260</v>
      </c>
      <c r="E178" s="58" t="s">
        <v>89</v>
      </c>
      <c r="F178" s="35" t="s">
        <v>188</v>
      </c>
      <c r="G178" s="157" t="s">
        <v>1006</v>
      </c>
      <c r="H178" s="154" t="s">
        <v>994</v>
      </c>
      <c r="I178" s="17" t="s">
        <v>92</v>
      </c>
      <c r="J178" s="154" t="s">
        <v>731</v>
      </c>
      <c r="K178" s="148" t="s">
        <v>92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 t="n">
        <v>3</v>
      </c>
      <c r="V178" s="16" t="n">
        <v>4</v>
      </c>
      <c r="W178" s="16" t="n">
        <v>1</v>
      </c>
      <c r="X178" s="16" t="n">
        <v>2</v>
      </c>
      <c r="Y178" s="16"/>
      <c r="Z178" s="16"/>
      <c r="AA178" s="16"/>
      <c r="AB178" s="16"/>
      <c r="AC178" s="16"/>
      <c r="AD178" s="16"/>
      <c r="AE178" s="148" t="s">
        <v>44</v>
      </c>
      <c r="AF178" s="148" t="s">
        <v>844</v>
      </c>
      <c r="AG178" s="181" t="n">
        <v>100</v>
      </c>
      <c r="AH178" s="179" t="n">
        <f aca="false">AP178/60*(AM178+AN178)/AJ178/AK178/AL178</f>
        <v>0</v>
      </c>
      <c r="AI178" s="179" t="n">
        <f aca="false">AQ178/60*(AM178+AN178)/AJ178/AK178/AL178</f>
        <v>0</v>
      </c>
      <c r="AJ178" s="141" t="n">
        <v>2</v>
      </c>
      <c r="AK178" s="141" t="n">
        <v>1</v>
      </c>
      <c r="AL178" s="141" t="n">
        <v>2</v>
      </c>
      <c r="AM178" s="141" t="n">
        <v>0</v>
      </c>
      <c r="AN178" s="141" t="n">
        <v>9</v>
      </c>
      <c r="AO178" s="179" t="n">
        <f aca="false">AG178*AJ178*AK178*AL178/(AM178+AN178)*60</f>
        <v>0</v>
      </c>
      <c r="AP178" s="181" t="n">
        <v>212</v>
      </c>
      <c r="AQ178" s="181" t="n">
        <v>213</v>
      </c>
      <c r="AR178" s="16"/>
      <c r="AS178" s="51"/>
      <c r="AT178" s="16"/>
      <c r="AU178" s="16"/>
      <c r="AV178" s="16"/>
    </row>
    <row r="179" customFormat="false" ht="12.8" hidden="false" customHeight="false" outlineLevel="0" collapsed="false">
      <c r="A179" s="36" t="s">
        <v>258</v>
      </c>
      <c r="B179" s="36" t="s">
        <v>98</v>
      </c>
      <c r="C179" s="35" t="s">
        <v>259</v>
      </c>
      <c r="D179" s="35" t="s">
        <v>260</v>
      </c>
      <c r="E179" s="58" t="s">
        <v>89</v>
      </c>
      <c r="F179" s="35" t="s">
        <v>188</v>
      </c>
      <c r="G179" s="157" t="s">
        <v>987</v>
      </c>
      <c r="H179" s="154" t="s">
        <v>843</v>
      </c>
      <c r="I179" s="16"/>
      <c r="J179" s="154" t="s">
        <v>731</v>
      </c>
      <c r="K179" s="148" t="s">
        <v>92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 t="n">
        <v>1</v>
      </c>
      <c r="V179" s="16" t="n">
        <v>2</v>
      </c>
      <c r="W179" s="16" t="n">
        <v>3</v>
      </c>
      <c r="X179" s="16" t="n">
        <v>4</v>
      </c>
      <c r="Y179" s="16"/>
      <c r="Z179" s="16"/>
      <c r="AA179" s="16"/>
      <c r="AB179" s="16"/>
      <c r="AC179" s="16"/>
      <c r="AD179" s="16"/>
      <c r="AE179" s="148" t="s">
        <v>44</v>
      </c>
      <c r="AF179" s="148" t="s">
        <v>844</v>
      </c>
      <c r="AG179" s="181" t="n">
        <v>20</v>
      </c>
      <c r="AH179" s="179" t="n">
        <f aca="false">AP179/60*(AM179+AN179)/AJ179/AK179/AL179</f>
        <v>0</v>
      </c>
      <c r="AI179" s="179" t="n">
        <f aca="false">AQ179/60*(AM179+AN179)/AJ179/AK179/AL179</f>
        <v>0</v>
      </c>
      <c r="AJ179" s="141" t="n">
        <v>4</v>
      </c>
      <c r="AK179" s="141" t="n">
        <v>1</v>
      </c>
      <c r="AL179" s="141" t="n">
        <v>1</v>
      </c>
      <c r="AM179" s="141" t="n">
        <v>0</v>
      </c>
      <c r="AN179" s="141" t="n">
        <v>4</v>
      </c>
      <c r="AO179" s="179" t="n">
        <f aca="false">AG179*AJ179*AK179*AL179/(AM179+AN179)*60</f>
        <v>0</v>
      </c>
      <c r="AP179" s="181" t="n">
        <v>1440</v>
      </c>
      <c r="AQ179" s="181" t="n">
        <v>60</v>
      </c>
      <c r="AR179" s="16"/>
      <c r="AS179" s="51"/>
      <c r="AT179" s="16"/>
      <c r="AU179" s="16"/>
      <c r="AV179" s="16"/>
    </row>
    <row r="180" customFormat="false" ht="12.8" hidden="false" customHeight="false" outlineLevel="0" collapsed="false">
      <c r="A180" s="36" t="s">
        <v>258</v>
      </c>
      <c r="B180" s="36" t="s">
        <v>98</v>
      </c>
      <c r="C180" s="35" t="s">
        <v>259</v>
      </c>
      <c r="D180" s="35" t="s">
        <v>261</v>
      </c>
      <c r="E180" s="58" t="s">
        <v>87</v>
      </c>
      <c r="F180" s="35" t="s">
        <v>116</v>
      </c>
      <c r="G180" s="192"/>
      <c r="H180" s="192"/>
      <c r="I180" s="16"/>
      <c r="J180" s="192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81"/>
      <c r="AH180" s="179" t="n">
        <f aca="false">AP180/60*(AM180+AN180)/AJ180/AK180/AL180</f>
        <v>0</v>
      </c>
      <c r="AI180" s="179" t="n">
        <f aca="false">AQ180/60*(AM180+AN180)/AJ180/AK180/AL180</f>
        <v>0</v>
      </c>
      <c r="AJ180" s="141" t="n">
        <v>1</v>
      </c>
      <c r="AK180" s="141" t="n">
        <v>1</v>
      </c>
      <c r="AL180" s="141" t="n">
        <v>1</v>
      </c>
      <c r="AM180" s="141" t="n">
        <v>0</v>
      </c>
      <c r="AN180" s="141" t="n">
        <v>1</v>
      </c>
      <c r="AO180" s="179" t="n">
        <f aca="false">AG180*AJ180*AK180*AL180/(AM180+AN180)*60</f>
        <v>0</v>
      </c>
      <c r="AP180" s="181" t="n">
        <v>0</v>
      </c>
      <c r="AQ180" s="181" t="n">
        <v>0</v>
      </c>
      <c r="AR180" s="16"/>
      <c r="AS180" s="51"/>
      <c r="AT180" s="16"/>
      <c r="AU180" s="16"/>
      <c r="AV180" s="16"/>
    </row>
    <row r="181" customFormat="false" ht="12.8" hidden="false" customHeight="false" outlineLevel="0" collapsed="false">
      <c r="A181" s="36" t="s">
        <v>258</v>
      </c>
      <c r="B181" s="36" t="s">
        <v>158</v>
      </c>
      <c r="C181" s="35" t="s">
        <v>284</v>
      </c>
      <c r="D181" s="35" t="s">
        <v>285</v>
      </c>
      <c r="E181" s="34" t="s">
        <v>89</v>
      </c>
      <c r="F181" s="35" t="s">
        <v>176</v>
      </c>
      <c r="G181" s="157" t="s">
        <v>1007</v>
      </c>
      <c r="H181" s="154" t="s">
        <v>965</v>
      </c>
      <c r="I181" s="17" t="s">
        <v>92</v>
      </c>
      <c r="J181" s="154" t="s">
        <v>651</v>
      </c>
      <c r="K181" s="148" t="s">
        <v>92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 t="n">
        <v>1</v>
      </c>
      <c r="Z181" s="16" t="n">
        <v>2</v>
      </c>
      <c r="AA181" s="16" t="n">
        <v>3</v>
      </c>
      <c r="AB181" s="16" t="n">
        <v>4</v>
      </c>
      <c r="AC181" s="16" t="n">
        <v>5</v>
      </c>
      <c r="AD181" s="16"/>
      <c r="AE181" s="17" t="s">
        <v>652</v>
      </c>
      <c r="AF181" s="17" t="s">
        <v>844</v>
      </c>
      <c r="AG181" s="181" t="n">
        <v>1200</v>
      </c>
      <c r="AH181" s="179" t="n">
        <f aca="false">AP181/60*(AM181+AN181)/AJ181/AK181/AL181</f>
        <v>0</v>
      </c>
      <c r="AI181" s="179" t="n">
        <f aca="false">AQ181/60*(AM181+AN181)/AJ181/AK181/AL181</f>
        <v>0</v>
      </c>
      <c r="AJ181" s="141" t="n">
        <v>1</v>
      </c>
      <c r="AK181" s="141" t="n">
        <v>2</v>
      </c>
      <c r="AL181" s="141" t="n">
        <v>1</v>
      </c>
      <c r="AM181" s="141" t="n">
        <v>0</v>
      </c>
      <c r="AN181" s="141" t="n">
        <v>12</v>
      </c>
      <c r="AO181" s="179" t="n">
        <f aca="false">AG181*AJ181*AK181*AL181/(AM181+AN181)*60</f>
        <v>0</v>
      </c>
      <c r="AP181" s="181" t="n">
        <v>0</v>
      </c>
      <c r="AQ181" s="181" t="n">
        <v>1320</v>
      </c>
      <c r="AR181" s="16"/>
      <c r="AS181" s="51"/>
      <c r="AT181" s="16"/>
      <c r="AU181" s="16"/>
      <c r="AV181" s="16"/>
    </row>
    <row r="182" customFormat="false" ht="12.8" hidden="false" customHeight="false" outlineLevel="0" collapsed="false">
      <c r="A182" s="36" t="s">
        <v>258</v>
      </c>
      <c r="B182" s="36" t="s">
        <v>158</v>
      </c>
      <c r="C182" s="35" t="s">
        <v>284</v>
      </c>
      <c r="D182" s="35" t="s">
        <v>285</v>
      </c>
      <c r="E182" s="34" t="s">
        <v>89</v>
      </c>
      <c r="F182" s="35" t="s">
        <v>176</v>
      </c>
      <c r="G182" s="157" t="s">
        <v>1008</v>
      </c>
      <c r="H182" s="154" t="s">
        <v>1009</v>
      </c>
      <c r="I182" s="17" t="s">
        <v>92</v>
      </c>
      <c r="J182" s="154" t="s">
        <v>737</v>
      </c>
      <c r="K182" s="150"/>
      <c r="L182" s="16"/>
      <c r="M182" s="16"/>
      <c r="N182" s="16"/>
      <c r="O182" s="16"/>
      <c r="P182" s="16"/>
      <c r="Q182" s="17" t="s">
        <v>92</v>
      </c>
      <c r="R182" s="16"/>
      <c r="S182" s="16"/>
      <c r="T182" s="16"/>
      <c r="U182" s="16" t="n">
        <v>1</v>
      </c>
      <c r="V182" s="16" t="n">
        <v>2</v>
      </c>
      <c r="W182" s="16" t="n">
        <v>3</v>
      </c>
      <c r="X182" s="16" t="n">
        <v>4</v>
      </c>
      <c r="Y182" s="16"/>
      <c r="Z182" s="16"/>
      <c r="AA182" s="16"/>
      <c r="AB182" s="16"/>
      <c r="AC182" s="16"/>
      <c r="AD182" s="16"/>
      <c r="AE182" s="17" t="s">
        <v>45</v>
      </c>
      <c r="AF182" s="17" t="s">
        <v>844</v>
      </c>
      <c r="AG182" s="181" t="n">
        <v>80</v>
      </c>
      <c r="AH182" s="179" t="n">
        <f aca="false">AP182/60*(AM182+AN182)/AJ182/AK182/AL182</f>
        <v>0</v>
      </c>
      <c r="AI182" s="179" t="n">
        <f aca="false">AQ182/60*(AM182+AN182)/AJ182/AK182/AL182</f>
        <v>0</v>
      </c>
      <c r="AJ182" s="141" t="n">
        <v>2</v>
      </c>
      <c r="AK182" s="141" t="n">
        <v>1</v>
      </c>
      <c r="AL182" s="141" t="n">
        <v>4</v>
      </c>
      <c r="AM182" s="141" t="n">
        <v>4</v>
      </c>
      <c r="AN182" s="141" t="n">
        <v>6</v>
      </c>
      <c r="AO182" s="183" t="n">
        <f aca="false">AG182*AJ182*AK182*AL182/(AM182+AN182)*60</f>
        <v>0</v>
      </c>
      <c r="AP182" s="181" t="n">
        <v>3072</v>
      </c>
      <c r="AQ182" s="181" t="n">
        <v>0</v>
      </c>
      <c r="AR182" s="16"/>
      <c r="AS182" s="51"/>
      <c r="AT182" s="16"/>
      <c r="AU182" s="16"/>
      <c r="AV182" s="16"/>
    </row>
    <row r="183" customFormat="false" ht="12.8" hidden="true" customHeight="false" outlineLevel="0" collapsed="false">
      <c r="A183" s="152" t="s">
        <v>311</v>
      </c>
      <c r="B183" s="153" t="s">
        <v>81</v>
      </c>
      <c r="C183" s="153" t="s">
        <v>322</v>
      </c>
      <c r="D183" s="153" t="s">
        <v>323</v>
      </c>
      <c r="E183" s="130" t="s">
        <v>84</v>
      </c>
      <c r="F183" s="17" t="s">
        <v>85</v>
      </c>
      <c r="G183" s="154" t="s">
        <v>1010</v>
      </c>
      <c r="H183" s="154" t="s">
        <v>1011</v>
      </c>
      <c r="I183" s="17" t="s">
        <v>92</v>
      </c>
      <c r="J183" s="154" t="s">
        <v>651</v>
      </c>
      <c r="K183" s="148" t="s">
        <v>92</v>
      </c>
      <c r="L183" s="150" t="s">
        <v>760</v>
      </c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 t="n">
        <v>1</v>
      </c>
      <c r="Z183" s="16" t="n">
        <v>2</v>
      </c>
      <c r="AA183" s="16" t="n">
        <v>3</v>
      </c>
      <c r="AB183" s="16" t="n">
        <v>4</v>
      </c>
      <c r="AC183" s="16" t="n">
        <v>5</v>
      </c>
      <c r="AD183" s="16"/>
      <c r="AE183" s="17" t="s">
        <v>652</v>
      </c>
      <c r="AF183" s="17" t="s">
        <v>844</v>
      </c>
      <c r="AG183" s="181" t="n">
        <v>2600</v>
      </c>
      <c r="AH183" s="179" t="n">
        <f aca="false">AP183/60*(AM183+AN183)/AJ183/AK183/AL183</f>
        <v>0</v>
      </c>
      <c r="AI183" s="179" t="n">
        <f aca="false">AQ183/60*(AM183+AN183)/AJ183/AK183/AL183</f>
        <v>0</v>
      </c>
      <c r="AJ183" s="141" t="n">
        <v>1</v>
      </c>
      <c r="AK183" s="141" t="n">
        <v>1</v>
      </c>
      <c r="AL183" s="141" t="n">
        <v>1</v>
      </c>
      <c r="AM183" s="141" t="n">
        <v>0</v>
      </c>
      <c r="AN183" s="141" t="n">
        <v>12</v>
      </c>
      <c r="AO183" s="179" t="n">
        <f aca="false">AG183*AJ183*AK183*AL183/(AM183+AN183)*60</f>
        <v>0</v>
      </c>
      <c r="AP183" s="181" t="n">
        <v>0</v>
      </c>
      <c r="AQ183" s="181" t="n">
        <v>11310</v>
      </c>
      <c r="AR183" s="16"/>
      <c r="AS183" s="51"/>
      <c r="AT183" s="16"/>
      <c r="AU183" s="16"/>
      <c r="AV183" s="16"/>
    </row>
    <row r="184" customFormat="false" ht="12.8" hidden="true" customHeight="false" outlineLevel="0" collapsed="false">
      <c r="A184" s="152" t="s">
        <v>311</v>
      </c>
      <c r="B184" s="153" t="s">
        <v>81</v>
      </c>
      <c r="C184" s="153" t="s">
        <v>322</v>
      </c>
      <c r="D184" s="153" t="s">
        <v>323</v>
      </c>
      <c r="E184" s="130" t="s">
        <v>84</v>
      </c>
      <c r="F184" s="17" t="s">
        <v>85</v>
      </c>
      <c r="G184" s="157" t="s">
        <v>1012</v>
      </c>
      <c r="H184" s="154" t="s">
        <v>1013</v>
      </c>
      <c r="I184" s="17" t="s">
        <v>92</v>
      </c>
      <c r="J184" s="154" t="s">
        <v>781</v>
      </c>
      <c r="K184" s="150"/>
      <c r="L184" s="150" t="s">
        <v>553</v>
      </c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 t="n">
        <v>1</v>
      </c>
      <c r="Z184" s="16" t="n">
        <v>2</v>
      </c>
      <c r="AA184" s="16" t="n">
        <v>3</v>
      </c>
      <c r="AB184" s="16" t="n">
        <v>4</v>
      </c>
      <c r="AC184" s="16" t="n">
        <v>5</v>
      </c>
      <c r="AD184" s="16"/>
      <c r="AE184" s="148" t="s">
        <v>44</v>
      </c>
      <c r="AF184" s="148" t="s">
        <v>844</v>
      </c>
      <c r="AG184" s="181" t="n">
        <v>950</v>
      </c>
      <c r="AH184" s="179" t="n">
        <f aca="false">AP184/60*(AM184+AN184)/AJ184/AK184/AL184</f>
        <v>0</v>
      </c>
      <c r="AI184" s="179" t="n">
        <f aca="false">AQ184/60*(AM184+AN184)/AJ184/AK184/AL184</f>
        <v>0</v>
      </c>
      <c r="AJ184" s="141" t="n">
        <v>2</v>
      </c>
      <c r="AK184" s="141" t="n">
        <v>1</v>
      </c>
      <c r="AL184" s="141" t="n">
        <v>1</v>
      </c>
      <c r="AM184" s="141" t="n">
        <v>0</v>
      </c>
      <c r="AN184" s="141" t="n">
        <v>12</v>
      </c>
      <c r="AO184" s="179" t="n">
        <f aca="false">AG184*AJ184*AK184*AL184/(AM184+AN184)*60</f>
        <v>0</v>
      </c>
      <c r="AP184" s="181" t="n">
        <v>0</v>
      </c>
      <c r="AQ184" s="181" t="n">
        <v>2755</v>
      </c>
      <c r="AR184" s="16"/>
      <c r="AS184" s="51"/>
      <c r="AT184" s="16"/>
      <c r="AU184" s="16"/>
      <c r="AV184" s="16"/>
    </row>
    <row r="185" customFormat="false" ht="12.8" hidden="true" customHeight="false" outlineLevel="0" collapsed="false">
      <c r="A185" s="152" t="s">
        <v>311</v>
      </c>
      <c r="B185" s="153" t="s">
        <v>81</v>
      </c>
      <c r="C185" s="153" t="s">
        <v>322</v>
      </c>
      <c r="D185" s="153" t="s">
        <v>323</v>
      </c>
      <c r="E185" s="130" t="s">
        <v>84</v>
      </c>
      <c r="F185" s="17" t="s">
        <v>85</v>
      </c>
      <c r="G185" s="157" t="s">
        <v>1014</v>
      </c>
      <c r="H185" s="154" t="s">
        <v>994</v>
      </c>
      <c r="I185" s="130"/>
      <c r="J185" s="157"/>
      <c r="K185" s="150"/>
      <c r="L185" s="150" t="s">
        <v>553</v>
      </c>
      <c r="M185" s="16"/>
      <c r="N185" s="16"/>
      <c r="O185" s="16"/>
      <c r="P185" s="16"/>
      <c r="Q185" s="16"/>
      <c r="R185" s="16"/>
      <c r="S185" s="16"/>
      <c r="T185" s="16"/>
      <c r="U185" s="16" t="n">
        <v>3</v>
      </c>
      <c r="V185" s="16" t="n">
        <v>4</v>
      </c>
      <c r="W185" s="16" t="n">
        <v>1</v>
      </c>
      <c r="X185" s="16" t="n">
        <v>2</v>
      </c>
      <c r="Y185" s="16"/>
      <c r="Z185" s="16"/>
      <c r="AA185" s="16"/>
      <c r="AB185" s="16"/>
      <c r="AC185" s="16"/>
      <c r="AD185" s="16"/>
      <c r="AE185" s="148" t="s">
        <v>44</v>
      </c>
      <c r="AF185" s="148" t="s">
        <v>844</v>
      </c>
      <c r="AG185" s="181" t="n">
        <v>100</v>
      </c>
      <c r="AH185" s="179" t="n">
        <f aca="false">AP185/60*(AM185+AN185)/AJ185/AK185/AL185</f>
        <v>0</v>
      </c>
      <c r="AI185" s="179" t="n">
        <f aca="false">AQ185/60*(AM185+AN185)/AJ185/AK185/AL185</f>
        <v>0</v>
      </c>
      <c r="AJ185" s="141" t="n">
        <v>3</v>
      </c>
      <c r="AK185" s="141" t="n">
        <v>2</v>
      </c>
      <c r="AL185" s="141" t="n">
        <v>1</v>
      </c>
      <c r="AM185" s="141" t="n">
        <v>0</v>
      </c>
      <c r="AN185" s="141" t="n">
        <v>9</v>
      </c>
      <c r="AO185" s="179" t="n">
        <f aca="false">AG185*AJ185*AK185*AL185/(AM185+AN185)*60</f>
        <v>0</v>
      </c>
      <c r="AP185" s="181" t="n">
        <v>280</v>
      </c>
      <c r="AQ185" s="181" t="n">
        <v>320</v>
      </c>
      <c r="AR185" s="16"/>
      <c r="AS185" s="51"/>
      <c r="AT185" s="16"/>
      <c r="AU185" s="16"/>
      <c r="AV185" s="16"/>
    </row>
    <row r="186" customFormat="false" ht="12.8" hidden="true" customHeight="false" outlineLevel="0" collapsed="false">
      <c r="A186" s="152" t="s">
        <v>311</v>
      </c>
      <c r="B186" s="153" t="s">
        <v>81</v>
      </c>
      <c r="C186" s="153" t="s">
        <v>322</v>
      </c>
      <c r="D186" s="153" t="s">
        <v>323</v>
      </c>
      <c r="E186" s="130" t="s">
        <v>84</v>
      </c>
      <c r="F186" s="17" t="s">
        <v>85</v>
      </c>
      <c r="G186" s="157" t="s">
        <v>973</v>
      </c>
      <c r="H186" s="154" t="s">
        <v>974</v>
      </c>
      <c r="I186" s="130"/>
      <c r="J186" s="157"/>
      <c r="K186" s="150"/>
      <c r="L186" s="150" t="s">
        <v>553</v>
      </c>
      <c r="M186" s="16"/>
      <c r="N186" s="16"/>
      <c r="O186" s="16"/>
      <c r="P186" s="16"/>
      <c r="Q186" s="16"/>
      <c r="R186" s="16"/>
      <c r="S186" s="16"/>
      <c r="T186" s="16"/>
      <c r="U186" s="16" t="n">
        <v>1</v>
      </c>
      <c r="V186" s="16" t="n">
        <v>2</v>
      </c>
      <c r="W186" s="16" t="n">
        <v>3</v>
      </c>
      <c r="X186" s="16" t="n">
        <v>4</v>
      </c>
      <c r="Y186" s="16"/>
      <c r="Z186" s="16"/>
      <c r="AA186" s="16"/>
      <c r="AB186" s="16"/>
      <c r="AC186" s="16"/>
      <c r="AD186" s="16"/>
      <c r="AE186" s="148" t="s">
        <v>44</v>
      </c>
      <c r="AF186" s="148" t="s">
        <v>844</v>
      </c>
      <c r="AG186" s="181" t="n">
        <v>20</v>
      </c>
      <c r="AH186" s="179" t="n">
        <f aca="false">AP186/60*(AM186+AN186)/AJ186/AK186/AL186</f>
        <v>0</v>
      </c>
      <c r="AI186" s="179" t="n">
        <f aca="false">AQ186/60*(AM186+AN186)/AJ186/AK186/AL186</f>
        <v>0</v>
      </c>
      <c r="AJ186" s="141" t="n">
        <v>4</v>
      </c>
      <c r="AK186" s="141" t="n">
        <v>1</v>
      </c>
      <c r="AL186" s="141" t="n">
        <v>3</v>
      </c>
      <c r="AM186" s="141" t="n">
        <v>3</v>
      </c>
      <c r="AN186" s="141" t="n">
        <v>3</v>
      </c>
      <c r="AO186" s="183" t="n">
        <f aca="false">AG186*AJ186*AK186*AL186/(AM186+AN186)*60</f>
        <v>0</v>
      </c>
      <c r="AP186" s="181" t="n">
        <v>1440</v>
      </c>
      <c r="AQ186" s="181" t="n">
        <v>0</v>
      </c>
      <c r="AR186" s="16"/>
      <c r="AS186" s="51"/>
      <c r="AT186" s="16"/>
      <c r="AU186" s="16"/>
      <c r="AV186" s="16"/>
    </row>
    <row r="187" customFormat="false" ht="12.8" hidden="true" customHeight="false" outlineLevel="0" collapsed="false">
      <c r="A187" s="153" t="s">
        <v>311</v>
      </c>
      <c r="B187" s="153" t="s">
        <v>98</v>
      </c>
      <c r="C187" s="153" t="s">
        <v>312</v>
      </c>
      <c r="D187" s="153" t="s">
        <v>313</v>
      </c>
      <c r="E187" s="130" t="s">
        <v>84</v>
      </c>
      <c r="F187" s="17" t="s">
        <v>85</v>
      </c>
      <c r="G187" s="154" t="s">
        <v>1015</v>
      </c>
      <c r="H187" s="157" t="s">
        <v>1016</v>
      </c>
      <c r="I187" s="17" t="s">
        <v>92</v>
      </c>
      <c r="J187" s="154" t="s">
        <v>759</v>
      </c>
      <c r="K187" s="148" t="s">
        <v>92</v>
      </c>
      <c r="L187" s="150" t="s">
        <v>760</v>
      </c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 t="n">
        <v>1</v>
      </c>
      <c r="AA187" s="16"/>
      <c r="AB187" s="16" t="n">
        <v>2</v>
      </c>
      <c r="AC187" s="16" t="n">
        <v>3</v>
      </c>
      <c r="AD187" s="16"/>
      <c r="AE187" s="17" t="s">
        <v>734</v>
      </c>
      <c r="AF187" s="17" t="s">
        <v>54</v>
      </c>
      <c r="AG187" s="181" t="n">
        <v>400</v>
      </c>
      <c r="AH187" s="179" t="n">
        <f aca="false">AP187/60*(AM187+AN187)/AJ187/AK187/AL187</f>
        <v>0</v>
      </c>
      <c r="AI187" s="179" t="n">
        <f aca="false">AQ187/60*(AM187+AN187)/AJ187/AK187/AL187</f>
        <v>0</v>
      </c>
      <c r="AJ187" s="141" t="n">
        <v>1</v>
      </c>
      <c r="AK187" s="141" t="n">
        <v>2</v>
      </c>
      <c r="AL187" s="141" t="n">
        <v>3</v>
      </c>
      <c r="AM187" s="141" t="n">
        <v>6</v>
      </c>
      <c r="AN187" s="141" t="n">
        <v>10</v>
      </c>
      <c r="AO187" s="179" t="n">
        <f aca="false">AG187*AJ187*AK187*AL187/(AM187+AN187)*60</f>
        <v>0</v>
      </c>
      <c r="AP187" s="181" t="n">
        <v>0</v>
      </c>
      <c r="AQ187" s="181" t="n">
        <v>1890</v>
      </c>
      <c r="AR187" s="17" t="s">
        <v>20</v>
      </c>
      <c r="AS187" s="51" t="n">
        <v>0.03</v>
      </c>
      <c r="AT187" s="17" t="s">
        <v>1017</v>
      </c>
      <c r="AU187" s="150" t="s">
        <v>846</v>
      </c>
      <c r="AV187" s="16" t="n">
        <v>5</v>
      </c>
    </row>
    <row r="188" customFormat="false" ht="12.8" hidden="true" customHeight="false" outlineLevel="0" collapsed="false">
      <c r="A188" s="152" t="s">
        <v>311</v>
      </c>
      <c r="B188" s="153" t="s">
        <v>98</v>
      </c>
      <c r="C188" s="153" t="s">
        <v>312</v>
      </c>
      <c r="D188" s="153" t="s">
        <v>313</v>
      </c>
      <c r="E188" s="130" t="s">
        <v>84</v>
      </c>
      <c r="F188" s="17" t="s">
        <v>85</v>
      </c>
      <c r="G188" s="154" t="s">
        <v>1018</v>
      </c>
      <c r="H188" s="154" t="s">
        <v>1019</v>
      </c>
      <c r="I188" s="17" t="s">
        <v>92</v>
      </c>
      <c r="J188" s="154" t="s">
        <v>756</v>
      </c>
      <c r="K188" s="150"/>
      <c r="L188" s="150" t="s">
        <v>553</v>
      </c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 t="n">
        <v>1</v>
      </c>
      <c r="Z188" s="16" t="n">
        <v>2</v>
      </c>
      <c r="AA188" s="16" t="n">
        <v>3</v>
      </c>
      <c r="AB188" s="16" t="n">
        <v>4</v>
      </c>
      <c r="AC188" s="16" t="n">
        <v>5</v>
      </c>
      <c r="AD188" s="16"/>
      <c r="AE188" s="17" t="s">
        <v>45</v>
      </c>
      <c r="AF188" s="17" t="s">
        <v>844</v>
      </c>
      <c r="AG188" s="181" t="n">
        <v>850</v>
      </c>
      <c r="AH188" s="179" t="n">
        <f aca="false">AP188/60*(AM188+AN188)/AJ188/AK188/AL188</f>
        <v>0</v>
      </c>
      <c r="AI188" s="179" t="n">
        <f aca="false">AQ188/60*(AM188+AN188)/AJ188/AK188/AL188</f>
        <v>0</v>
      </c>
      <c r="AJ188" s="141" t="n">
        <v>2</v>
      </c>
      <c r="AK188" s="141" t="n">
        <v>1</v>
      </c>
      <c r="AL188" s="141" t="n">
        <v>8</v>
      </c>
      <c r="AM188" s="141" t="n">
        <v>8</v>
      </c>
      <c r="AN188" s="141" t="n">
        <v>26</v>
      </c>
      <c r="AO188" s="179" t="n">
        <f aca="false">AG188*AJ188*AK188*AL188/(AM188+AN188)*60</f>
        <v>0</v>
      </c>
      <c r="AP188" s="181" t="n">
        <v>0</v>
      </c>
      <c r="AQ188" s="181" t="n">
        <v>1920</v>
      </c>
      <c r="AR188" s="17" t="s">
        <v>20</v>
      </c>
      <c r="AS188" s="51" t="n">
        <v>0.02</v>
      </c>
      <c r="AT188" s="17" t="s">
        <v>47</v>
      </c>
      <c r="AU188" s="150" t="s">
        <v>846</v>
      </c>
      <c r="AV188" s="16" t="n">
        <v>13</v>
      </c>
    </row>
    <row r="189" customFormat="false" ht="12.8" hidden="true" customHeight="false" outlineLevel="0" collapsed="false">
      <c r="A189" s="153" t="s">
        <v>311</v>
      </c>
      <c r="B189" s="153" t="s">
        <v>98</v>
      </c>
      <c r="C189" s="153" t="s">
        <v>312</v>
      </c>
      <c r="D189" s="153" t="s">
        <v>313</v>
      </c>
      <c r="E189" s="130" t="s">
        <v>84</v>
      </c>
      <c r="F189" s="17" t="s">
        <v>85</v>
      </c>
      <c r="G189" s="154" t="s">
        <v>1020</v>
      </c>
      <c r="H189" s="154" t="s">
        <v>1021</v>
      </c>
      <c r="I189" s="17" t="s">
        <v>92</v>
      </c>
      <c r="J189" s="154" t="s">
        <v>764</v>
      </c>
      <c r="K189" s="148" t="s">
        <v>92</v>
      </c>
      <c r="L189" s="150" t="s">
        <v>760</v>
      </c>
      <c r="M189" s="16"/>
      <c r="N189" s="16"/>
      <c r="O189" s="16"/>
      <c r="P189" s="16"/>
      <c r="Q189" s="16"/>
      <c r="R189" s="16"/>
      <c r="S189" s="17" t="s">
        <v>92</v>
      </c>
      <c r="T189" s="16"/>
      <c r="U189" s="16"/>
      <c r="V189" s="16"/>
      <c r="W189" s="16"/>
      <c r="X189" s="16"/>
      <c r="Y189" s="16" t="n">
        <v>1</v>
      </c>
      <c r="Z189" s="16" t="n">
        <v>2</v>
      </c>
      <c r="AA189" s="16" t="n">
        <v>3</v>
      </c>
      <c r="AB189" s="16" t="n">
        <v>4</v>
      </c>
      <c r="AC189" s="16" t="n">
        <v>5</v>
      </c>
      <c r="AD189" s="16"/>
      <c r="AE189" s="17" t="s">
        <v>46</v>
      </c>
      <c r="AF189" s="17" t="s">
        <v>54</v>
      </c>
      <c r="AG189" s="181" t="n">
        <v>1400</v>
      </c>
      <c r="AH189" s="179" t="n">
        <f aca="false">AP189/60*(AM189+AN189)/AJ189/AK189/AL189</f>
        <v>0</v>
      </c>
      <c r="AI189" s="179" t="n">
        <f aca="false">AQ189/60*(AM189+AN189)/AJ189/AK189/AL189</f>
        <v>0</v>
      </c>
      <c r="AJ189" s="141" t="n">
        <v>1</v>
      </c>
      <c r="AK189" s="141" t="n">
        <v>2</v>
      </c>
      <c r="AL189" s="141" t="n">
        <v>1</v>
      </c>
      <c r="AM189" s="141" t="n">
        <v>0</v>
      </c>
      <c r="AN189" s="141" t="n">
        <v>12</v>
      </c>
      <c r="AO189" s="179" t="n">
        <f aca="false">AG189*AJ189*AK189*AL189/(AM189+AN189)*60</f>
        <v>0</v>
      </c>
      <c r="AP189" s="181" t="n">
        <v>0</v>
      </c>
      <c r="AQ189" s="181" t="n">
        <v>1120</v>
      </c>
      <c r="AR189" s="16"/>
      <c r="AS189" s="51"/>
      <c r="AT189" s="16"/>
      <c r="AU189" s="16"/>
      <c r="AV189" s="16"/>
    </row>
    <row r="190" customFormat="false" ht="12.8" hidden="true" customHeight="false" outlineLevel="0" collapsed="false">
      <c r="A190" s="152" t="s">
        <v>311</v>
      </c>
      <c r="B190" s="153" t="s">
        <v>158</v>
      </c>
      <c r="C190" s="153" t="s">
        <v>317</v>
      </c>
      <c r="D190" s="153" t="s">
        <v>318</v>
      </c>
      <c r="E190" s="130" t="s">
        <v>84</v>
      </c>
      <c r="F190" s="17" t="s">
        <v>85</v>
      </c>
      <c r="G190" s="154" t="s">
        <v>1022</v>
      </c>
      <c r="H190" s="154" t="s">
        <v>734</v>
      </c>
      <c r="I190" s="17" t="s">
        <v>92</v>
      </c>
      <c r="J190" s="154" t="s">
        <v>774</v>
      </c>
      <c r="K190" s="148" t="s">
        <v>92</v>
      </c>
      <c r="L190" s="150" t="s">
        <v>760</v>
      </c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 t="n">
        <v>1</v>
      </c>
      <c r="Z190" s="16" t="n">
        <v>2</v>
      </c>
      <c r="AA190" s="16" t="n">
        <v>3</v>
      </c>
      <c r="AB190" s="16" t="n">
        <v>4</v>
      </c>
      <c r="AC190" s="16" t="n">
        <v>5</v>
      </c>
      <c r="AD190" s="16"/>
      <c r="AE190" s="17" t="s">
        <v>734</v>
      </c>
      <c r="AF190" s="17" t="s">
        <v>54</v>
      </c>
      <c r="AG190" s="181" t="n">
        <v>1200</v>
      </c>
      <c r="AH190" s="179" t="n">
        <f aca="false">AP190/60*(AM190+AN190)/AJ190/AK190/AL190</f>
        <v>0</v>
      </c>
      <c r="AI190" s="179" t="n">
        <f aca="false">AQ190/60*(AM190+AN190)/AJ190/AK190/AL190</f>
        <v>0</v>
      </c>
      <c r="AJ190" s="141" t="n">
        <v>1</v>
      </c>
      <c r="AK190" s="141" t="n">
        <v>1</v>
      </c>
      <c r="AL190" s="141" t="n">
        <v>4</v>
      </c>
      <c r="AM190" s="141" t="n">
        <v>8</v>
      </c>
      <c r="AN190" s="141" t="n">
        <v>10</v>
      </c>
      <c r="AO190" s="179" t="n">
        <f aca="false">AG190*AJ190*AK190*AL190/(AM190+AN190)*60</f>
        <v>0</v>
      </c>
      <c r="AP190" s="181" t="n">
        <v>0</v>
      </c>
      <c r="AQ190" s="181" t="n">
        <v>3360</v>
      </c>
      <c r="AR190" s="16"/>
      <c r="AS190" s="51"/>
      <c r="AT190" s="16"/>
      <c r="AU190" s="16"/>
      <c r="AV190" s="16"/>
    </row>
    <row r="191" customFormat="false" ht="12.8" hidden="true" customHeight="false" outlineLevel="0" collapsed="false">
      <c r="A191" s="152" t="s">
        <v>311</v>
      </c>
      <c r="B191" s="153" t="s">
        <v>158</v>
      </c>
      <c r="C191" s="153" t="s">
        <v>317</v>
      </c>
      <c r="D191" s="153" t="s">
        <v>318</v>
      </c>
      <c r="E191" s="130" t="s">
        <v>84</v>
      </c>
      <c r="F191" s="17" t="s">
        <v>85</v>
      </c>
      <c r="G191" s="154" t="s">
        <v>1023</v>
      </c>
      <c r="H191" s="154" t="s">
        <v>1024</v>
      </c>
      <c r="I191" s="17" t="s">
        <v>92</v>
      </c>
      <c r="J191" s="154" t="s">
        <v>775</v>
      </c>
      <c r="K191" s="150"/>
      <c r="L191" s="150" t="s">
        <v>553</v>
      </c>
      <c r="M191" s="16"/>
      <c r="N191" s="16"/>
      <c r="O191" s="16"/>
      <c r="P191" s="16"/>
      <c r="Q191" s="16"/>
      <c r="R191" s="16"/>
      <c r="S191" s="16"/>
      <c r="T191" s="16"/>
      <c r="U191" s="16" t="n">
        <v>3</v>
      </c>
      <c r="V191" s="16" t="n">
        <v>4</v>
      </c>
      <c r="W191" s="16" t="n">
        <v>1</v>
      </c>
      <c r="X191" s="16" t="n">
        <v>2</v>
      </c>
      <c r="Y191" s="16"/>
      <c r="Z191" s="16"/>
      <c r="AA191" s="16"/>
      <c r="AB191" s="16"/>
      <c r="AC191" s="16"/>
      <c r="AD191" s="16"/>
      <c r="AE191" s="17" t="s">
        <v>45</v>
      </c>
      <c r="AF191" s="17" t="s">
        <v>844</v>
      </c>
      <c r="AG191" s="181" t="n">
        <v>55</v>
      </c>
      <c r="AH191" s="179" t="n">
        <f aca="false">AP191/60*(AM191+AN191)/AJ191/AK191/AL191</f>
        <v>0</v>
      </c>
      <c r="AI191" s="179" t="n">
        <f aca="false">AQ191/60*(AM191+AN191)/AJ191/AK191/AL191</f>
        <v>0</v>
      </c>
      <c r="AJ191" s="141" t="n">
        <v>2</v>
      </c>
      <c r="AK191" s="141" t="n">
        <v>4</v>
      </c>
      <c r="AL191" s="141" t="n">
        <v>1</v>
      </c>
      <c r="AM191" s="141" t="n">
        <v>0</v>
      </c>
      <c r="AN191" s="141" t="n">
        <v>8</v>
      </c>
      <c r="AO191" s="179" t="n">
        <f aca="false">AG191*AJ191*AK191*AL191/(AM191+AN191)*60</f>
        <v>0</v>
      </c>
      <c r="AP191" s="181" t="n">
        <v>1663</v>
      </c>
      <c r="AQ191" s="181" t="n">
        <v>99</v>
      </c>
      <c r="AR191" s="16"/>
      <c r="AS191" s="51"/>
      <c r="AT191" s="16"/>
      <c r="AU191" s="16"/>
      <c r="AV191" s="16"/>
    </row>
    <row r="192" customFormat="false" ht="12.8" hidden="true" customHeight="false" outlineLevel="0" collapsed="false">
      <c r="A192" s="152" t="s">
        <v>311</v>
      </c>
      <c r="B192" s="153" t="s">
        <v>158</v>
      </c>
      <c r="C192" s="153" t="s">
        <v>317</v>
      </c>
      <c r="D192" s="153" t="s">
        <v>318</v>
      </c>
      <c r="E192" s="130" t="s">
        <v>84</v>
      </c>
      <c r="F192" s="17" t="s">
        <v>85</v>
      </c>
      <c r="G192" s="154" t="s">
        <v>1025</v>
      </c>
      <c r="H192" s="154" t="s">
        <v>984</v>
      </c>
      <c r="I192" s="16"/>
      <c r="J192" s="154" t="s">
        <v>775</v>
      </c>
      <c r="K192" s="150"/>
      <c r="L192" s="150" t="s">
        <v>553</v>
      </c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 t="n">
        <v>1</v>
      </c>
      <c r="Z192" s="16" t="n">
        <v>2</v>
      </c>
      <c r="AA192" s="16" t="n">
        <v>3</v>
      </c>
      <c r="AB192" s="16" t="n">
        <v>4</v>
      </c>
      <c r="AC192" s="16" t="n">
        <v>5</v>
      </c>
      <c r="AD192" s="16"/>
      <c r="AE192" s="17" t="s">
        <v>46</v>
      </c>
      <c r="AF192" s="17" t="s">
        <v>844</v>
      </c>
      <c r="AG192" s="181" t="n">
        <v>1600</v>
      </c>
      <c r="AH192" s="179" t="n">
        <f aca="false">AP192/60*(AM192+AN192)/AJ192/AK192/AL192</f>
        <v>0</v>
      </c>
      <c r="AI192" s="179" t="n">
        <f aca="false">AQ192/60*(AM192+AN192)/AJ192/AK192/AL192</f>
        <v>0</v>
      </c>
      <c r="AJ192" s="141" t="n">
        <v>2</v>
      </c>
      <c r="AK192" s="141" t="n">
        <v>1</v>
      </c>
      <c r="AL192" s="141" t="n">
        <v>1</v>
      </c>
      <c r="AM192" s="141" t="n">
        <v>0</v>
      </c>
      <c r="AN192" s="141" t="n">
        <v>20</v>
      </c>
      <c r="AO192" s="179" t="n">
        <f aca="false">AG192*AJ192*AK192*AL192/(AM192+AN192)*60</f>
        <v>0</v>
      </c>
      <c r="AP192" s="181" t="n">
        <v>0</v>
      </c>
      <c r="AQ192" s="181" t="n">
        <v>1440</v>
      </c>
      <c r="AR192" s="16"/>
      <c r="AS192" s="51"/>
      <c r="AT192" s="16"/>
      <c r="AU192" s="16"/>
      <c r="AV192" s="16"/>
    </row>
    <row r="193" customFormat="false" ht="12.8" hidden="true" customHeight="false" outlineLevel="0" collapsed="false">
      <c r="A193" s="152" t="s">
        <v>311</v>
      </c>
      <c r="B193" s="153" t="s">
        <v>158</v>
      </c>
      <c r="C193" s="153" t="s">
        <v>317</v>
      </c>
      <c r="D193" s="153" t="s">
        <v>318</v>
      </c>
      <c r="E193" s="130" t="s">
        <v>84</v>
      </c>
      <c r="F193" s="17" t="s">
        <v>85</v>
      </c>
      <c r="G193" s="157" t="s">
        <v>1026</v>
      </c>
      <c r="H193" s="154" t="s">
        <v>843</v>
      </c>
      <c r="I193" s="16"/>
      <c r="J193" s="192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81"/>
      <c r="AH193" s="179" t="n">
        <f aca="false">AP193/60*(AM193+AN193)/AJ193/AK193/AL193</f>
        <v>0</v>
      </c>
      <c r="AI193" s="179" t="n">
        <f aca="false">AQ193/60*(AM193+AN193)/AJ193/AK193/AL193</f>
        <v>0</v>
      </c>
      <c r="AJ193" s="141" t="n">
        <v>1</v>
      </c>
      <c r="AK193" s="141" t="n">
        <v>1</v>
      </c>
      <c r="AL193" s="141" t="n">
        <v>1</v>
      </c>
      <c r="AM193" s="141" t="n">
        <v>0</v>
      </c>
      <c r="AN193" s="141" t="n">
        <v>1</v>
      </c>
      <c r="AO193" s="179" t="n">
        <f aca="false">AG193*AJ193*AK193*AL193/(AM193+AN193)*60</f>
        <v>0</v>
      </c>
      <c r="AP193" s="181" t="n">
        <v>0</v>
      </c>
      <c r="AQ193" s="181" t="n">
        <v>0</v>
      </c>
      <c r="AR193" s="16"/>
      <c r="AS193" s="51"/>
      <c r="AT193" s="16"/>
      <c r="AU193" s="16"/>
      <c r="AV193" s="16"/>
    </row>
    <row r="194" customFormat="false" ht="12.8" hidden="true" customHeight="false" outlineLevel="0" collapsed="false">
      <c r="A194" s="152" t="s">
        <v>311</v>
      </c>
      <c r="B194" s="153" t="s">
        <v>93</v>
      </c>
      <c r="C194" s="155" t="s">
        <v>325</v>
      </c>
      <c r="D194" s="153" t="s">
        <v>326</v>
      </c>
      <c r="E194" s="130" t="s">
        <v>84</v>
      </c>
      <c r="F194" s="17" t="s">
        <v>85</v>
      </c>
      <c r="G194" s="157" t="s">
        <v>1027</v>
      </c>
      <c r="H194" s="154" t="s">
        <v>1028</v>
      </c>
      <c r="I194" s="17" t="s">
        <v>92</v>
      </c>
      <c r="J194" s="154" t="s">
        <v>789</v>
      </c>
      <c r="K194" s="148" t="s">
        <v>92</v>
      </c>
      <c r="L194" s="150" t="s">
        <v>760</v>
      </c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 t="n">
        <v>1</v>
      </c>
      <c r="Z194" s="16" t="n">
        <v>2</v>
      </c>
      <c r="AA194" s="16" t="n">
        <v>3</v>
      </c>
      <c r="AB194" s="16" t="n">
        <v>4</v>
      </c>
      <c r="AC194" s="16" t="n">
        <v>5</v>
      </c>
      <c r="AD194" s="16"/>
      <c r="AE194" s="17" t="s">
        <v>652</v>
      </c>
      <c r="AF194" s="17" t="s">
        <v>844</v>
      </c>
      <c r="AG194" s="181" t="n">
        <v>700</v>
      </c>
      <c r="AH194" s="179" t="n">
        <f aca="false">AP194/60*(AM194+AN194)/AJ194/AK194/AL194</f>
        <v>0</v>
      </c>
      <c r="AI194" s="179" t="n">
        <f aca="false">AQ194/60*(AM194+AN194)/AJ194/AK194/AL194</f>
        <v>0</v>
      </c>
      <c r="AJ194" s="141" t="n">
        <v>2</v>
      </c>
      <c r="AK194" s="141" t="n">
        <v>2</v>
      </c>
      <c r="AL194" s="141" t="n">
        <v>1</v>
      </c>
      <c r="AM194" s="141" t="n">
        <v>0</v>
      </c>
      <c r="AN194" s="141" t="n">
        <v>16</v>
      </c>
      <c r="AO194" s="179" t="n">
        <f aca="false">AG194*AJ194*AK194*AL194/(AM194+AN194)*60</f>
        <v>0</v>
      </c>
      <c r="AP194" s="181" t="n">
        <v>0</v>
      </c>
      <c r="AQ194" s="181" t="n">
        <v>3360</v>
      </c>
      <c r="AR194" s="17" t="s">
        <v>20</v>
      </c>
      <c r="AS194" s="51" t="n">
        <v>0.02</v>
      </c>
      <c r="AT194" s="17" t="s">
        <v>1029</v>
      </c>
      <c r="AU194" s="150" t="s">
        <v>846</v>
      </c>
      <c r="AV194" s="16" t="n">
        <v>6</v>
      </c>
    </row>
    <row r="195" customFormat="false" ht="12.8" hidden="true" customHeight="false" outlineLevel="0" collapsed="false">
      <c r="A195" s="152" t="s">
        <v>311</v>
      </c>
      <c r="B195" s="153" t="s">
        <v>93</v>
      </c>
      <c r="C195" s="155" t="s">
        <v>325</v>
      </c>
      <c r="D195" s="153" t="s">
        <v>326</v>
      </c>
      <c r="E195" s="130" t="s">
        <v>84</v>
      </c>
      <c r="F195" s="17" t="s">
        <v>85</v>
      </c>
      <c r="G195" s="157" t="s">
        <v>995</v>
      </c>
      <c r="H195" s="154" t="s">
        <v>843</v>
      </c>
      <c r="I195" s="17" t="s">
        <v>92</v>
      </c>
      <c r="J195" s="154" t="s">
        <v>790</v>
      </c>
      <c r="K195" s="150"/>
      <c r="L195" s="150" t="s">
        <v>553</v>
      </c>
      <c r="M195" s="16"/>
      <c r="N195" s="16"/>
      <c r="O195" s="16"/>
      <c r="P195" s="16"/>
      <c r="Q195" s="16"/>
      <c r="R195" s="16"/>
      <c r="S195" s="16"/>
      <c r="T195" s="16"/>
      <c r="U195" s="16" t="n">
        <v>1</v>
      </c>
      <c r="V195" s="16" t="n">
        <v>2</v>
      </c>
      <c r="W195" s="16" t="n">
        <v>3</v>
      </c>
      <c r="X195" s="16" t="n">
        <v>4</v>
      </c>
      <c r="Y195" s="16"/>
      <c r="Z195" s="16"/>
      <c r="AA195" s="16"/>
      <c r="AB195" s="16"/>
      <c r="AC195" s="16"/>
      <c r="AD195" s="16"/>
      <c r="AE195" s="148" t="s">
        <v>44</v>
      </c>
      <c r="AF195" s="148" t="s">
        <v>844</v>
      </c>
      <c r="AG195" s="181" t="n">
        <v>40</v>
      </c>
      <c r="AH195" s="179" t="n">
        <f aca="false">AP195/60*(AM195+AN195)/AJ195/AK195/AL195</f>
        <v>0</v>
      </c>
      <c r="AI195" s="179" t="n">
        <f aca="false">AQ195/60*(AM195+AN195)/AJ195/AK195/AL195</f>
        <v>0</v>
      </c>
      <c r="AJ195" s="141" t="n">
        <v>4</v>
      </c>
      <c r="AK195" s="141" t="n">
        <v>1</v>
      </c>
      <c r="AL195" s="141" t="n">
        <v>1</v>
      </c>
      <c r="AM195" s="141" t="n">
        <v>0</v>
      </c>
      <c r="AN195" s="141" t="n">
        <v>4</v>
      </c>
      <c r="AO195" s="179" t="n">
        <f aca="false">AG195*AJ195*AK195*AL195/(AM195+AN195)*60</f>
        <v>0</v>
      </c>
      <c r="AP195" s="181" t="n">
        <v>1440</v>
      </c>
      <c r="AQ195" s="181" t="n">
        <v>72</v>
      </c>
      <c r="AR195" s="17" t="s">
        <v>20</v>
      </c>
      <c r="AS195" s="51" t="n">
        <v>0.04</v>
      </c>
      <c r="AT195" s="148" t="s">
        <v>845</v>
      </c>
      <c r="AU195" s="150" t="s">
        <v>846</v>
      </c>
      <c r="AV195" s="16" t="n">
        <v>1</v>
      </c>
    </row>
    <row r="196" customFormat="false" ht="12.8" hidden="true" customHeight="false" outlineLevel="0" collapsed="false">
      <c r="A196" s="152" t="s">
        <v>311</v>
      </c>
      <c r="B196" s="153" t="s">
        <v>93</v>
      </c>
      <c r="C196" s="155" t="s">
        <v>325</v>
      </c>
      <c r="D196" s="153" t="s">
        <v>326</v>
      </c>
      <c r="E196" s="130" t="s">
        <v>84</v>
      </c>
      <c r="F196" s="17" t="s">
        <v>85</v>
      </c>
      <c r="G196" s="154" t="s">
        <v>1030</v>
      </c>
      <c r="H196" s="154" t="s">
        <v>1031</v>
      </c>
      <c r="I196" s="16"/>
      <c r="J196" s="154" t="s">
        <v>790</v>
      </c>
      <c r="K196" s="150"/>
      <c r="L196" s="150" t="s">
        <v>553</v>
      </c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 t="n">
        <v>1</v>
      </c>
      <c r="X196" s="16" t="n">
        <v>2</v>
      </c>
      <c r="Y196" s="16"/>
      <c r="Z196" s="16" t="n">
        <v>3</v>
      </c>
      <c r="AA196" s="16"/>
      <c r="AB196" s="16" t="n">
        <v>4</v>
      </c>
      <c r="AC196" s="16" t="n">
        <v>5</v>
      </c>
      <c r="AD196" s="16"/>
      <c r="AE196" s="148" t="s">
        <v>44</v>
      </c>
      <c r="AF196" s="148" t="s">
        <v>844</v>
      </c>
      <c r="AG196" s="181" t="n">
        <v>280</v>
      </c>
      <c r="AH196" s="179" t="n">
        <f aca="false">AP196/60*(AM196+AN196)/AJ196/AK196/AL196</f>
        <v>0</v>
      </c>
      <c r="AI196" s="179" t="n">
        <f aca="false">AQ196/60*(AM196+AN196)/AJ196/AK196/AL196</f>
        <v>0</v>
      </c>
      <c r="AJ196" s="141" t="n">
        <v>3</v>
      </c>
      <c r="AK196" s="141" t="n">
        <v>2</v>
      </c>
      <c r="AL196" s="141" t="n">
        <v>1</v>
      </c>
      <c r="AM196" s="141" t="n">
        <v>0</v>
      </c>
      <c r="AN196" s="141" t="n">
        <v>16</v>
      </c>
      <c r="AO196" s="179" t="n">
        <f aca="false">AG196*AJ196*AK196*AL196/(AM196+AN196)*60</f>
        <v>0</v>
      </c>
      <c r="AP196" s="181" t="n">
        <v>0</v>
      </c>
      <c r="AQ196" s="181" t="n">
        <v>1134</v>
      </c>
      <c r="AR196" s="17" t="s">
        <v>20</v>
      </c>
      <c r="AS196" s="51" t="n">
        <v>0.03</v>
      </c>
      <c r="AT196" s="148" t="s">
        <v>845</v>
      </c>
      <c r="AU196" s="150" t="s">
        <v>846</v>
      </c>
      <c r="AV196" s="16" t="n">
        <v>4</v>
      </c>
    </row>
    <row r="197" customFormat="false" ht="12.8" hidden="true" customHeight="false" outlineLevel="0" collapsed="false">
      <c r="A197" s="152" t="s">
        <v>311</v>
      </c>
      <c r="B197" s="153" t="s">
        <v>93</v>
      </c>
      <c r="C197" s="155" t="s">
        <v>325</v>
      </c>
      <c r="D197" s="153" t="s">
        <v>326</v>
      </c>
      <c r="E197" s="130" t="s">
        <v>84</v>
      </c>
      <c r="F197" s="17" t="s">
        <v>85</v>
      </c>
      <c r="G197" s="157" t="s">
        <v>1032</v>
      </c>
      <c r="H197" s="157" t="s">
        <v>1033</v>
      </c>
      <c r="I197" s="16"/>
      <c r="J197" s="192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81"/>
      <c r="AH197" s="179" t="n">
        <f aca="false">AP197/60*(AM197+AN197)/AJ197/AK197/AL197</f>
        <v>0</v>
      </c>
      <c r="AI197" s="179" t="n">
        <f aca="false">AQ197/60*(AM197+AN197)/AJ197/AK197/AL197</f>
        <v>0</v>
      </c>
      <c r="AJ197" s="141" t="n">
        <v>1</v>
      </c>
      <c r="AK197" s="141" t="n">
        <v>1</v>
      </c>
      <c r="AL197" s="141" t="n">
        <v>1</v>
      </c>
      <c r="AM197" s="141" t="n">
        <v>0</v>
      </c>
      <c r="AN197" s="141" t="n">
        <v>1</v>
      </c>
      <c r="AO197" s="179" t="n">
        <f aca="false">AG197*AJ197*AK197*AL197/(AM197+AN197)*60</f>
        <v>0</v>
      </c>
      <c r="AP197" s="181" t="n">
        <v>0</v>
      </c>
      <c r="AQ197" s="181" t="n">
        <v>0</v>
      </c>
      <c r="AR197" s="16"/>
      <c r="AS197" s="51"/>
      <c r="AT197" s="16"/>
      <c r="AU197" s="16"/>
      <c r="AV197" s="16"/>
    </row>
    <row r="198" customFormat="false" ht="12.8" hidden="true" customHeight="false" outlineLevel="0" collapsed="false">
      <c r="A198" s="152" t="s">
        <v>311</v>
      </c>
      <c r="B198" s="153" t="s">
        <v>93</v>
      </c>
      <c r="C198" s="155" t="s">
        <v>325</v>
      </c>
      <c r="D198" s="153" t="s">
        <v>326</v>
      </c>
      <c r="E198" s="130" t="s">
        <v>84</v>
      </c>
      <c r="F198" s="17" t="s">
        <v>85</v>
      </c>
      <c r="G198" s="157" t="s">
        <v>1034</v>
      </c>
      <c r="H198" s="154" t="s">
        <v>1035</v>
      </c>
      <c r="I198" s="16"/>
      <c r="J198" s="192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81"/>
      <c r="AH198" s="179" t="n">
        <f aca="false">AP198/60*(AM198+AN198)/AJ198/AK198/AL198</f>
        <v>0</v>
      </c>
      <c r="AI198" s="179" t="n">
        <f aca="false">AQ198/60*(AM198+AN198)/AJ198/AK198/AL198</f>
        <v>0</v>
      </c>
      <c r="AJ198" s="141" t="n">
        <v>1</v>
      </c>
      <c r="AK198" s="141" t="n">
        <v>1</v>
      </c>
      <c r="AL198" s="141" t="n">
        <v>1</v>
      </c>
      <c r="AM198" s="141" t="n">
        <v>0</v>
      </c>
      <c r="AN198" s="141" t="n">
        <v>1</v>
      </c>
      <c r="AO198" s="179" t="n">
        <f aca="false">AG198*AJ198*AK198*AL198/(AM198+AN198)*60</f>
        <v>0</v>
      </c>
      <c r="AP198" s="181" t="n">
        <v>0</v>
      </c>
      <c r="AQ198" s="181" t="n">
        <v>0</v>
      </c>
      <c r="AR198" s="16"/>
      <c r="AS198" s="51"/>
      <c r="AT198" s="16"/>
      <c r="AU198" s="16"/>
      <c r="AV198" s="16"/>
    </row>
    <row r="199" customFormat="false" ht="12.8" hidden="true" customHeight="false" outlineLevel="0" collapsed="false">
      <c r="A199" s="32" t="s">
        <v>311</v>
      </c>
      <c r="B199" s="33" t="s">
        <v>113</v>
      </c>
      <c r="C199" s="33" t="s">
        <v>315</v>
      </c>
      <c r="D199" s="33" t="s">
        <v>316</v>
      </c>
      <c r="E199" s="34" t="s">
        <v>84</v>
      </c>
      <c r="F199" s="35" t="s">
        <v>85</v>
      </c>
      <c r="G199" s="154" t="s">
        <v>1036</v>
      </c>
      <c r="H199" s="157" t="s">
        <v>1037</v>
      </c>
      <c r="I199" s="17" t="s">
        <v>92</v>
      </c>
      <c r="J199" s="154" t="s">
        <v>772</v>
      </c>
      <c r="K199" s="148" t="s">
        <v>92</v>
      </c>
      <c r="L199" s="150" t="s">
        <v>760</v>
      </c>
      <c r="M199" s="16"/>
      <c r="N199" s="16"/>
      <c r="O199" s="16"/>
      <c r="P199" s="17" t="s">
        <v>92</v>
      </c>
      <c r="Q199" s="16"/>
      <c r="R199" s="16"/>
      <c r="S199" s="16"/>
      <c r="T199" s="16"/>
      <c r="U199" s="16" t="n">
        <v>3</v>
      </c>
      <c r="V199" s="16" t="n">
        <v>4</v>
      </c>
      <c r="W199" s="16" t="n">
        <v>1</v>
      </c>
      <c r="X199" s="16" t="n">
        <v>2</v>
      </c>
      <c r="Y199" s="16"/>
      <c r="Z199" s="16"/>
      <c r="AA199" s="16"/>
      <c r="AB199" s="16"/>
      <c r="AC199" s="16"/>
      <c r="AD199" s="16"/>
      <c r="AE199" s="17" t="s">
        <v>45</v>
      </c>
      <c r="AF199" s="17" t="s">
        <v>844</v>
      </c>
      <c r="AG199" s="181" t="n">
        <v>280</v>
      </c>
      <c r="AH199" s="179" t="n">
        <f aca="false">AP199/60*(AM199+AN199)/AJ199/AK199/AL199</f>
        <v>0</v>
      </c>
      <c r="AI199" s="179" t="n">
        <f aca="false">AQ199/60*(AM199+AN199)/AJ199/AK199/AL199</f>
        <v>0</v>
      </c>
      <c r="AJ199" s="141" t="n">
        <v>3</v>
      </c>
      <c r="AK199" s="141" t="n">
        <v>1</v>
      </c>
      <c r="AL199" s="141" t="n">
        <v>12</v>
      </c>
      <c r="AM199" s="141" t="n">
        <v>10</v>
      </c>
      <c r="AN199" s="141" t="n">
        <v>45</v>
      </c>
      <c r="AO199" s="179" t="n">
        <f aca="false">AG199*AJ199*AK199*AL199/(AM199+AN199)*60</f>
        <v>0</v>
      </c>
      <c r="AP199" s="181" t="n">
        <v>1077</v>
      </c>
      <c r="AQ199" s="181" t="n">
        <v>1319</v>
      </c>
      <c r="AR199" s="16"/>
      <c r="AS199" s="51"/>
      <c r="AT199" s="16"/>
      <c r="AU199" s="16"/>
      <c r="AV199" s="16"/>
    </row>
    <row r="200" customFormat="false" ht="12.8" hidden="true" customHeight="false" outlineLevel="0" collapsed="false">
      <c r="A200" s="32" t="s">
        <v>311</v>
      </c>
      <c r="B200" s="33" t="s">
        <v>113</v>
      </c>
      <c r="C200" s="33" t="s">
        <v>315</v>
      </c>
      <c r="D200" s="33" t="s">
        <v>316</v>
      </c>
      <c r="E200" s="34" t="s">
        <v>84</v>
      </c>
      <c r="F200" s="35" t="s">
        <v>85</v>
      </c>
      <c r="G200" s="154" t="s">
        <v>1038</v>
      </c>
      <c r="H200" s="154" t="s">
        <v>1039</v>
      </c>
      <c r="I200" s="16"/>
      <c r="J200" s="154" t="s">
        <v>772</v>
      </c>
      <c r="K200" s="148" t="s">
        <v>92</v>
      </c>
      <c r="L200" s="150" t="s">
        <v>760</v>
      </c>
      <c r="M200" s="16"/>
      <c r="N200" s="16"/>
      <c r="O200" s="16"/>
      <c r="P200" s="17" t="s">
        <v>92</v>
      </c>
      <c r="Q200" s="16"/>
      <c r="R200" s="16"/>
      <c r="S200" s="16"/>
      <c r="T200" s="16"/>
      <c r="U200" s="16" t="n">
        <v>3</v>
      </c>
      <c r="V200" s="16" t="n">
        <v>4</v>
      </c>
      <c r="W200" s="16" t="n">
        <v>1</v>
      </c>
      <c r="X200" s="16" t="n">
        <v>2</v>
      </c>
      <c r="Y200" s="16"/>
      <c r="Z200" s="16"/>
      <c r="AA200" s="16"/>
      <c r="AB200" s="16"/>
      <c r="AC200" s="16"/>
      <c r="AD200" s="16"/>
      <c r="AE200" s="17" t="s">
        <v>45</v>
      </c>
      <c r="AF200" s="17" t="s">
        <v>844</v>
      </c>
      <c r="AG200" s="181" t="n">
        <v>150</v>
      </c>
      <c r="AH200" s="179" t="n">
        <f aca="false">AP200/60*(AM200+AN200)/AJ200/AK200/AL200</f>
        <v>0</v>
      </c>
      <c r="AI200" s="179" t="n">
        <f aca="false">AQ200/60*(AM200+AN200)/AJ200/AK200/AL200</f>
        <v>0</v>
      </c>
      <c r="AJ200" s="141" t="n">
        <v>2</v>
      </c>
      <c r="AK200" s="141" t="n">
        <v>1</v>
      </c>
      <c r="AL200" s="141" t="n">
        <v>2</v>
      </c>
      <c r="AM200" s="141" t="n">
        <v>2</v>
      </c>
      <c r="AN200" s="141" t="n">
        <v>10</v>
      </c>
      <c r="AO200" s="179" t="n">
        <f aca="false">AG200*AJ200*AK200*AL200/(AM200+AN200)*60</f>
        <v>0</v>
      </c>
      <c r="AP200" s="181" t="n">
        <v>624</v>
      </c>
      <c r="AQ200" s="181" t="n">
        <v>30</v>
      </c>
      <c r="AR200" s="16"/>
      <c r="AS200" s="51"/>
      <c r="AT200" s="16"/>
      <c r="AU200" s="16"/>
      <c r="AV200" s="16"/>
    </row>
    <row r="201" customFormat="false" ht="12.8" hidden="true" customHeight="false" outlineLevel="0" collapsed="false">
      <c r="A201" s="32" t="s">
        <v>311</v>
      </c>
      <c r="B201" s="33" t="s">
        <v>113</v>
      </c>
      <c r="C201" s="33" t="s">
        <v>315</v>
      </c>
      <c r="D201" s="33" t="s">
        <v>316</v>
      </c>
      <c r="E201" s="34" t="s">
        <v>84</v>
      </c>
      <c r="F201" s="35" t="s">
        <v>85</v>
      </c>
      <c r="G201" s="157" t="s">
        <v>1040</v>
      </c>
      <c r="H201" s="154" t="s">
        <v>1028</v>
      </c>
      <c r="I201" s="17" t="s">
        <v>92</v>
      </c>
      <c r="J201" s="154" t="s">
        <v>651</v>
      </c>
      <c r="K201" s="150"/>
      <c r="L201" s="150" t="s">
        <v>553</v>
      </c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 t="n">
        <v>1</v>
      </c>
      <c r="Z201" s="16" t="n">
        <v>2</v>
      </c>
      <c r="AA201" s="16" t="n">
        <v>3</v>
      </c>
      <c r="AB201" s="16" t="n">
        <v>4</v>
      </c>
      <c r="AC201" s="16" t="n">
        <v>5</v>
      </c>
      <c r="AD201" s="16"/>
      <c r="AE201" s="17" t="s">
        <v>652</v>
      </c>
      <c r="AF201" s="17" t="s">
        <v>844</v>
      </c>
      <c r="AG201" s="181" t="n">
        <v>1800</v>
      </c>
      <c r="AH201" s="179" t="n">
        <f aca="false">AP201/60*(AM201+AN201)/AJ201/AK201/AL201</f>
        <v>0</v>
      </c>
      <c r="AI201" s="179" t="n">
        <f aca="false">AQ201/60*(AM201+AN201)/AJ201/AK201/AL201</f>
        <v>0</v>
      </c>
      <c r="AJ201" s="141" t="n">
        <v>1</v>
      </c>
      <c r="AK201" s="141" t="n">
        <v>1</v>
      </c>
      <c r="AL201" s="141" t="n">
        <v>1</v>
      </c>
      <c r="AM201" s="141" t="n">
        <v>0</v>
      </c>
      <c r="AN201" s="141" t="n">
        <v>18</v>
      </c>
      <c r="AO201" s="179" t="n">
        <f aca="false">AG201*AJ201*AK201*AL201/(AM201+AN201)*60</f>
        <v>0</v>
      </c>
      <c r="AP201" s="181" t="n">
        <v>0</v>
      </c>
      <c r="AQ201" s="181" t="n">
        <v>540</v>
      </c>
      <c r="AR201" s="16"/>
      <c r="AS201" s="51"/>
      <c r="AT201" s="16"/>
      <c r="AU201" s="16"/>
      <c r="AV201" s="16"/>
    </row>
    <row r="202" customFormat="false" ht="12.8" hidden="true" customHeight="false" outlineLevel="0" collapsed="false">
      <c r="A202" s="152" t="s">
        <v>80</v>
      </c>
      <c r="B202" s="153" t="s">
        <v>81</v>
      </c>
      <c r="C202" s="153" t="s">
        <v>82</v>
      </c>
      <c r="D202" s="153" t="s">
        <v>83</v>
      </c>
      <c r="E202" s="130" t="s">
        <v>84</v>
      </c>
      <c r="F202" s="17" t="s">
        <v>85</v>
      </c>
      <c r="G202" s="157" t="s">
        <v>1041</v>
      </c>
      <c r="H202" s="154" t="s">
        <v>1031</v>
      </c>
      <c r="I202" s="17" t="s">
        <v>92</v>
      </c>
      <c r="J202" s="154" t="s">
        <v>552</v>
      </c>
      <c r="K202" s="150"/>
      <c r="L202" s="150" t="s">
        <v>553</v>
      </c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 t="n">
        <v>1</v>
      </c>
      <c r="Z202" s="16" t="n">
        <v>2</v>
      </c>
      <c r="AA202" s="16" t="n">
        <v>3</v>
      </c>
      <c r="AB202" s="16" t="n">
        <v>4</v>
      </c>
      <c r="AC202" s="16" t="n">
        <v>5</v>
      </c>
      <c r="AD202" s="16"/>
      <c r="AE202" s="148" t="s">
        <v>44</v>
      </c>
      <c r="AF202" s="148" t="s">
        <v>844</v>
      </c>
      <c r="AG202" s="181" t="n">
        <v>320</v>
      </c>
      <c r="AH202" s="179" t="n">
        <f aca="false">AP202/60*(AM202+AN202)/AJ202/AK202/AL202</f>
        <v>0</v>
      </c>
      <c r="AI202" s="179" t="n">
        <f aca="false">AQ202/60*(AM202+AN202)/AJ202/AK202/AL202</f>
        <v>0</v>
      </c>
      <c r="AJ202" s="141" t="n">
        <v>2</v>
      </c>
      <c r="AK202" s="141" t="n">
        <v>2</v>
      </c>
      <c r="AL202" s="141" t="n">
        <v>1</v>
      </c>
      <c r="AM202" s="141" t="n">
        <v>0</v>
      </c>
      <c r="AN202" s="141" t="n">
        <v>15</v>
      </c>
      <c r="AO202" s="179" t="n">
        <f aca="false">AG202*AJ202*AK202*AL202/(AM202+AN202)*60</f>
        <v>0</v>
      </c>
      <c r="AP202" s="181" t="n">
        <v>0</v>
      </c>
      <c r="AQ202" s="181" t="n">
        <v>665</v>
      </c>
      <c r="AR202" s="17" t="s">
        <v>20</v>
      </c>
      <c r="AS202" s="51" t="n">
        <v>0.03</v>
      </c>
      <c r="AT202" s="148" t="s">
        <v>845</v>
      </c>
      <c r="AU202" s="150" t="s">
        <v>846</v>
      </c>
      <c r="AV202" s="16" t="n">
        <v>3</v>
      </c>
    </row>
    <row r="203" customFormat="false" ht="12.8" hidden="true" customHeight="false" outlineLevel="0" collapsed="false">
      <c r="A203" s="152" t="s">
        <v>80</v>
      </c>
      <c r="B203" s="153" t="s">
        <v>81</v>
      </c>
      <c r="C203" s="153" t="s">
        <v>82</v>
      </c>
      <c r="D203" s="153" t="s">
        <v>83</v>
      </c>
      <c r="E203" s="130" t="s">
        <v>84</v>
      </c>
      <c r="F203" s="17" t="s">
        <v>85</v>
      </c>
      <c r="G203" s="154" t="s">
        <v>1042</v>
      </c>
      <c r="H203" s="157" t="s">
        <v>1043</v>
      </c>
      <c r="I203" s="16"/>
      <c r="J203" s="154" t="s">
        <v>552</v>
      </c>
      <c r="K203" s="150"/>
      <c r="L203" s="150" t="s">
        <v>553</v>
      </c>
      <c r="M203" s="16"/>
      <c r="N203" s="16"/>
      <c r="O203" s="16"/>
      <c r="P203" s="16"/>
      <c r="Q203" s="16"/>
      <c r="R203" s="16"/>
      <c r="S203" s="16"/>
      <c r="T203" s="16"/>
      <c r="U203" s="16" t="n">
        <v>3</v>
      </c>
      <c r="V203" s="16" t="n">
        <v>4</v>
      </c>
      <c r="W203" s="16" t="n">
        <v>1</v>
      </c>
      <c r="X203" s="16" t="n">
        <v>2</v>
      </c>
      <c r="Y203" s="16"/>
      <c r="Z203" s="16"/>
      <c r="AA203" s="16"/>
      <c r="AB203" s="16"/>
      <c r="AC203" s="16"/>
      <c r="AD203" s="16"/>
      <c r="AE203" s="17" t="s">
        <v>45</v>
      </c>
      <c r="AF203" s="17" t="s">
        <v>844</v>
      </c>
      <c r="AG203" s="181" t="n">
        <v>220</v>
      </c>
      <c r="AH203" s="179" t="n">
        <f aca="false">AP203/60*(AM203+AN203)/AJ203/AK203/AL203</f>
        <v>0</v>
      </c>
      <c r="AI203" s="179" t="n">
        <f aca="false">AQ203/60*(AM203+AN203)/AJ203/AK203/AL203</f>
        <v>0</v>
      </c>
      <c r="AJ203" s="141" t="n">
        <v>2</v>
      </c>
      <c r="AK203" s="141" t="n">
        <v>1</v>
      </c>
      <c r="AL203" s="141" t="n">
        <v>8</v>
      </c>
      <c r="AM203" s="141" t="n">
        <v>8</v>
      </c>
      <c r="AN203" s="141" t="n">
        <v>35</v>
      </c>
      <c r="AO203" s="179" t="n">
        <f aca="false">AG203*AJ203*AK203*AL203/(AM203+AN203)*60</f>
        <v>0</v>
      </c>
      <c r="AP203" s="181" t="n">
        <v>510</v>
      </c>
      <c r="AQ203" s="181" t="n">
        <v>294</v>
      </c>
      <c r="AR203" s="17" t="s">
        <v>20</v>
      </c>
      <c r="AS203" s="51" t="n">
        <v>0.03</v>
      </c>
      <c r="AT203" s="17" t="s">
        <v>47</v>
      </c>
      <c r="AU203" s="150" t="s">
        <v>846</v>
      </c>
      <c r="AV203" s="16" t="n">
        <v>3</v>
      </c>
    </row>
    <row r="204" customFormat="false" ht="12.8" hidden="true" customHeight="false" outlineLevel="0" collapsed="false">
      <c r="A204" s="152" t="s">
        <v>80</v>
      </c>
      <c r="B204" s="153" t="s">
        <v>81</v>
      </c>
      <c r="C204" s="153" t="s">
        <v>82</v>
      </c>
      <c r="D204" s="153" t="s">
        <v>83</v>
      </c>
      <c r="E204" s="130" t="s">
        <v>84</v>
      </c>
      <c r="F204" s="17" t="s">
        <v>85</v>
      </c>
      <c r="G204" s="154" t="s">
        <v>1044</v>
      </c>
      <c r="H204" s="154" t="s">
        <v>977</v>
      </c>
      <c r="I204" s="17" t="s">
        <v>92</v>
      </c>
      <c r="J204" s="154" t="s">
        <v>558</v>
      </c>
      <c r="K204" s="150"/>
      <c r="L204" s="150" t="s">
        <v>559</v>
      </c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 t="n">
        <v>1</v>
      </c>
      <c r="X204" s="16" t="n">
        <v>2</v>
      </c>
      <c r="Y204" s="16"/>
      <c r="Z204" s="16"/>
      <c r="AA204" s="16"/>
      <c r="AB204" s="16"/>
      <c r="AC204" s="16"/>
      <c r="AD204" s="16"/>
      <c r="AE204" s="17" t="s">
        <v>45</v>
      </c>
      <c r="AF204" s="17" t="s">
        <v>844</v>
      </c>
      <c r="AG204" s="181" t="n">
        <v>120</v>
      </c>
      <c r="AH204" s="179" t="n">
        <f aca="false">AP204/60*(AM204+AN204)/AJ204/AK204/AL204</f>
        <v>0</v>
      </c>
      <c r="AI204" s="179" t="n">
        <f aca="false">AQ204/60*(AM204+AN204)/AJ204/AK204/AL204</f>
        <v>0</v>
      </c>
      <c r="AJ204" s="141" t="n">
        <v>2</v>
      </c>
      <c r="AK204" s="141" t="n">
        <v>1</v>
      </c>
      <c r="AL204" s="141" t="n">
        <v>16</v>
      </c>
      <c r="AM204" s="141" t="n">
        <v>12</v>
      </c>
      <c r="AN204" s="141" t="n">
        <v>40</v>
      </c>
      <c r="AO204" s="179" t="n">
        <f aca="false">AG204*AJ204*AK204*AL204/(AM204+AN204)*60</f>
        <v>0</v>
      </c>
      <c r="AP204" s="181" t="n">
        <v>0</v>
      </c>
      <c r="AQ204" s="181" t="n">
        <v>354</v>
      </c>
      <c r="AR204" s="17" t="s">
        <v>20</v>
      </c>
      <c r="AS204" s="51" t="n">
        <v>0.03</v>
      </c>
      <c r="AT204" s="17" t="s">
        <v>47</v>
      </c>
      <c r="AU204" s="150" t="s">
        <v>846</v>
      </c>
      <c r="AV204" s="16" t="n">
        <v>3</v>
      </c>
    </row>
    <row r="205" customFormat="false" ht="12.8" hidden="true" customHeight="false" outlineLevel="0" collapsed="false">
      <c r="A205" s="152" t="s">
        <v>80</v>
      </c>
      <c r="B205" s="153" t="s">
        <v>81</v>
      </c>
      <c r="C205" s="153" t="s">
        <v>82</v>
      </c>
      <c r="D205" s="153" t="s">
        <v>83</v>
      </c>
      <c r="E205" s="130" t="s">
        <v>84</v>
      </c>
      <c r="F205" s="17" t="s">
        <v>85</v>
      </c>
      <c r="G205" s="154" t="s">
        <v>1042</v>
      </c>
      <c r="H205" s="157" t="s">
        <v>1043</v>
      </c>
      <c r="I205" s="16"/>
      <c r="J205" s="154" t="s">
        <v>558</v>
      </c>
      <c r="K205" s="150"/>
      <c r="L205" s="150" t="s">
        <v>559</v>
      </c>
      <c r="M205" s="16"/>
      <c r="N205" s="16"/>
      <c r="O205" s="16"/>
      <c r="P205" s="16"/>
      <c r="Q205" s="16"/>
      <c r="R205" s="16"/>
      <c r="S205" s="16"/>
      <c r="T205" s="16"/>
      <c r="U205" s="16" t="n">
        <v>3</v>
      </c>
      <c r="V205" s="16" t="n">
        <v>4</v>
      </c>
      <c r="W205" s="16" t="n">
        <v>1</v>
      </c>
      <c r="X205" s="16" t="n">
        <v>2</v>
      </c>
      <c r="Y205" s="16"/>
      <c r="Z205" s="16"/>
      <c r="AA205" s="16"/>
      <c r="AB205" s="16"/>
      <c r="AC205" s="16"/>
      <c r="AD205" s="16"/>
      <c r="AE205" s="17" t="s">
        <v>45</v>
      </c>
      <c r="AF205" s="17" t="s">
        <v>844</v>
      </c>
      <c r="AG205" s="181" t="n">
        <v>220</v>
      </c>
      <c r="AH205" s="179" t="n">
        <f aca="false">AP205/60*(AM205+AN205)/AJ205/AK205/AL205</f>
        <v>0</v>
      </c>
      <c r="AI205" s="179" t="n">
        <f aca="false">AQ205/60*(AM205+AN205)/AJ205/AK205/AL205</f>
        <v>0</v>
      </c>
      <c r="AJ205" s="141" t="n">
        <v>2</v>
      </c>
      <c r="AK205" s="141" t="n">
        <v>1</v>
      </c>
      <c r="AL205" s="141" t="n">
        <v>8</v>
      </c>
      <c r="AM205" s="141" t="n">
        <v>8</v>
      </c>
      <c r="AN205" s="141" t="n">
        <v>35</v>
      </c>
      <c r="AO205" s="179" t="n">
        <f aca="false">AG205*AJ205*AK205*AL205/(AM205+AN205)*60</f>
        <v>0</v>
      </c>
      <c r="AP205" s="181" t="n">
        <v>510</v>
      </c>
      <c r="AQ205" s="181" t="n">
        <v>294</v>
      </c>
      <c r="AR205" s="17" t="s">
        <v>20</v>
      </c>
      <c r="AS205" s="51" t="n">
        <v>0.03</v>
      </c>
      <c r="AT205" s="17" t="s">
        <v>47</v>
      </c>
      <c r="AU205" s="150" t="s">
        <v>846</v>
      </c>
      <c r="AV205" s="16" t="n">
        <v>3</v>
      </c>
    </row>
    <row r="206" customFormat="false" ht="12.8" hidden="true" customHeight="false" outlineLevel="0" collapsed="false">
      <c r="A206" s="152" t="s">
        <v>80</v>
      </c>
      <c r="B206" s="153" t="s">
        <v>93</v>
      </c>
      <c r="C206" s="155" t="s">
        <v>94</v>
      </c>
      <c r="D206" s="153" t="s">
        <v>95</v>
      </c>
      <c r="E206" s="130" t="s">
        <v>84</v>
      </c>
      <c r="F206" s="17" t="s">
        <v>85</v>
      </c>
      <c r="G206" s="154" t="s">
        <v>1045</v>
      </c>
      <c r="H206" s="154" t="s">
        <v>1046</v>
      </c>
      <c r="I206" s="17" t="s">
        <v>92</v>
      </c>
      <c r="J206" s="154" t="s">
        <v>571</v>
      </c>
      <c r="K206" s="150"/>
      <c r="L206" s="150" t="s">
        <v>553</v>
      </c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 t="n">
        <v>1</v>
      </c>
      <c r="X206" s="16" t="n">
        <v>2</v>
      </c>
      <c r="Y206" s="16"/>
      <c r="Z206" s="16" t="n">
        <v>3</v>
      </c>
      <c r="AA206" s="16"/>
      <c r="AB206" s="16" t="n">
        <v>4</v>
      </c>
      <c r="AC206" s="16" t="n">
        <v>5</v>
      </c>
      <c r="AD206" s="16"/>
      <c r="AE206" s="148" t="s">
        <v>44</v>
      </c>
      <c r="AF206" s="148" t="s">
        <v>844</v>
      </c>
      <c r="AG206" s="181" t="n">
        <v>200</v>
      </c>
      <c r="AH206" s="179" t="n">
        <f aca="false">AP206/60*(AM206+AN206)/AJ206/AK206/AL206</f>
        <v>0</v>
      </c>
      <c r="AI206" s="179" t="n">
        <f aca="false">AQ206/60*(AM206+AN206)/AJ206/AK206/AL206</f>
        <v>0</v>
      </c>
      <c r="AJ206" s="141" t="n">
        <v>1</v>
      </c>
      <c r="AK206" s="141" t="n">
        <v>3</v>
      </c>
      <c r="AL206" s="141" t="n">
        <v>1</v>
      </c>
      <c r="AM206" s="141" t="n">
        <v>0</v>
      </c>
      <c r="AN206" s="141" t="n">
        <v>9</v>
      </c>
      <c r="AO206" s="179" t="n">
        <f aca="false">AG206*AJ206*AK206*AL206/(AM206+AN206)*60</f>
        <v>0</v>
      </c>
      <c r="AP206" s="181" t="n">
        <v>0</v>
      </c>
      <c r="AQ206" s="181" t="n">
        <v>520</v>
      </c>
      <c r="AR206" s="16"/>
      <c r="AS206" s="51"/>
      <c r="AT206" s="16"/>
      <c r="AU206" s="16"/>
      <c r="AV206" s="16"/>
    </row>
    <row r="207" customFormat="false" ht="12.8" hidden="true" customHeight="false" outlineLevel="0" collapsed="false">
      <c r="A207" s="152" t="s">
        <v>80</v>
      </c>
      <c r="B207" s="153" t="s">
        <v>93</v>
      </c>
      <c r="C207" s="155" t="s">
        <v>94</v>
      </c>
      <c r="D207" s="153" t="s">
        <v>95</v>
      </c>
      <c r="E207" s="130" t="s">
        <v>84</v>
      </c>
      <c r="F207" s="17" t="s">
        <v>85</v>
      </c>
      <c r="G207" s="154" t="s">
        <v>1047</v>
      </c>
      <c r="H207" s="154" t="s">
        <v>1048</v>
      </c>
      <c r="I207" s="16"/>
      <c r="J207" s="154" t="s">
        <v>571</v>
      </c>
      <c r="K207" s="150"/>
      <c r="L207" s="150" t="s">
        <v>553</v>
      </c>
      <c r="M207" s="16"/>
      <c r="N207" s="16"/>
      <c r="O207" s="16"/>
      <c r="P207" s="16"/>
      <c r="Q207" s="16"/>
      <c r="R207" s="16"/>
      <c r="S207" s="16"/>
      <c r="T207" s="16"/>
      <c r="U207" s="16" t="n">
        <v>1</v>
      </c>
      <c r="V207" s="16" t="n">
        <v>2</v>
      </c>
      <c r="W207" s="16" t="n">
        <v>3</v>
      </c>
      <c r="X207" s="16" t="n">
        <v>4</v>
      </c>
      <c r="Y207" s="16"/>
      <c r="Z207" s="16"/>
      <c r="AA207" s="16"/>
      <c r="AB207" s="16"/>
      <c r="AC207" s="16"/>
      <c r="AD207" s="16"/>
      <c r="AE207" s="148" t="s">
        <v>44</v>
      </c>
      <c r="AF207" s="148" t="s">
        <v>844</v>
      </c>
      <c r="AG207" s="181" t="n">
        <v>55</v>
      </c>
      <c r="AH207" s="179" t="n">
        <f aca="false">AP207/60*(AM207+AN207)/AJ207/AK207/AL207</f>
        <v>0</v>
      </c>
      <c r="AI207" s="179" t="n">
        <f aca="false">AQ207/60*(AM207+AN207)/AJ207/AK207/AL207</f>
        <v>0</v>
      </c>
      <c r="AJ207" s="141" t="n">
        <v>4</v>
      </c>
      <c r="AK207" s="141" t="n">
        <v>1</v>
      </c>
      <c r="AL207" s="141" t="n">
        <v>1</v>
      </c>
      <c r="AM207" s="141" t="n">
        <v>0</v>
      </c>
      <c r="AN207" s="141" t="n">
        <v>4</v>
      </c>
      <c r="AO207" s="179" t="n">
        <f aca="false">AG207*AJ207*AK207*AL207/(AM207+AN207)*60</f>
        <v>0</v>
      </c>
      <c r="AP207" s="181" t="n">
        <v>712</v>
      </c>
      <c r="AQ207" s="181" t="n">
        <v>99</v>
      </c>
      <c r="AR207" s="16"/>
      <c r="AS207" s="51"/>
      <c r="AT207" s="16"/>
      <c r="AU207" s="16"/>
      <c r="AV207" s="16"/>
    </row>
    <row r="208" customFormat="false" ht="12.8" hidden="true" customHeight="false" outlineLevel="0" collapsed="false">
      <c r="A208" s="152" t="s">
        <v>80</v>
      </c>
      <c r="B208" s="153" t="s">
        <v>93</v>
      </c>
      <c r="C208" s="155" t="s">
        <v>94</v>
      </c>
      <c r="D208" s="153" t="s">
        <v>95</v>
      </c>
      <c r="E208" s="130" t="s">
        <v>84</v>
      </c>
      <c r="F208" s="17" t="s">
        <v>85</v>
      </c>
      <c r="G208" s="157" t="s">
        <v>1049</v>
      </c>
      <c r="H208" s="154" t="s">
        <v>1050</v>
      </c>
      <c r="I208" s="16"/>
      <c r="J208" s="192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81"/>
      <c r="AH208" s="179" t="n">
        <f aca="false">AP208/60*(AM208+AN208)/AJ208/AK208/AL208</f>
        <v>0</v>
      </c>
      <c r="AI208" s="179" t="n">
        <f aca="false">AQ208/60*(AM208+AN208)/AJ208/AK208/AL208</f>
        <v>0</v>
      </c>
      <c r="AJ208" s="141" t="n">
        <v>3</v>
      </c>
      <c r="AK208" s="141" t="n">
        <v>1</v>
      </c>
      <c r="AL208" s="141" t="n">
        <v>1</v>
      </c>
      <c r="AM208" s="141" t="n">
        <v>0</v>
      </c>
      <c r="AN208" s="141" t="n">
        <v>1</v>
      </c>
      <c r="AO208" s="179" t="n">
        <f aca="false">AG208*AJ208*AK208*AL208/(AM208+AN208)*60</f>
        <v>0</v>
      </c>
      <c r="AP208" s="181" t="n">
        <v>0</v>
      </c>
      <c r="AQ208" s="181" t="n">
        <v>0</v>
      </c>
      <c r="AR208" s="16"/>
      <c r="AS208" s="51"/>
      <c r="AT208" s="16"/>
      <c r="AU208" s="16"/>
      <c r="AV208" s="16"/>
    </row>
    <row r="209" customFormat="false" ht="12.8" hidden="true" customHeight="false" outlineLevel="0" collapsed="false">
      <c r="A209" s="32" t="s">
        <v>308</v>
      </c>
      <c r="B209" s="33" t="s">
        <v>113</v>
      </c>
      <c r="C209" s="33" t="s">
        <v>309</v>
      </c>
      <c r="D209" s="33" t="s">
        <v>310</v>
      </c>
      <c r="E209" s="34" t="s">
        <v>84</v>
      </c>
      <c r="F209" s="35" t="s">
        <v>85</v>
      </c>
      <c r="G209" s="192"/>
      <c r="H209" s="192"/>
      <c r="I209" s="16"/>
      <c r="J209" s="192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81"/>
      <c r="AH209" s="179" t="n">
        <f aca="false">AP209/60*(AM209+AN209)/AJ209/AK209/AL209</f>
        <v>0</v>
      </c>
      <c r="AI209" s="179" t="n">
        <f aca="false">AQ209/60*(AM209+AN209)/AJ209/AK209/AL209</f>
        <v>0</v>
      </c>
      <c r="AJ209" s="141" t="n">
        <v>1</v>
      </c>
      <c r="AK209" s="141" t="n">
        <v>1</v>
      </c>
      <c r="AL209" s="141" t="n">
        <v>1</v>
      </c>
      <c r="AM209" s="141" t="n">
        <v>0</v>
      </c>
      <c r="AN209" s="141" t="n">
        <v>1</v>
      </c>
      <c r="AO209" s="179" t="n">
        <f aca="false">AG209*AJ209*AK209*AL209/(AM209+AN209)*60</f>
        <v>0</v>
      </c>
      <c r="AP209" s="181" t="n">
        <v>0</v>
      </c>
      <c r="AQ209" s="181" t="n">
        <v>0</v>
      </c>
      <c r="AR209" s="16"/>
      <c r="AS209" s="51"/>
      <c r="AT209" s="16"/>
      <c r="AU209" s="16"/>
      <c r="AV209" s="16"/>
    </row>
    <row r="210" customFormat="false" ht="12.8" hidden="false" customHeight="false" outlineLevel="0" collapsed="false">
      <c r="A210" s="120"/>
      <c r="B210" s="120"/>
      <c r="C210" s="120"/>
      <c r="D210" s="120"/>
      <c r="E210" s="120"/>
      <c r="F210" s="120"/>
      <c r="G210" s="193"/>
      <c r="H210" s="193"/>
      <c r="I210" s="120"/>
      <c r="J210" s="193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  <c r="AE210" s="120"/>
      <c r="AF210" s="120"/>
      <c r="AG210" s="194"/>
      <c r="AH210" s="194"/>
      <c r="AI210" s="194"/>
      <c r="AJ210" s="195"/>
      <c r="AK210" s="195"/>
      <c r="AL210" s="195"/>
      <c r="AM210" s="195"/>
      <c r="AN210" s="195"/>
      <c r="AO210" s="194"/>
      <c r="AP210" s="194"/>
      <c r="AQ210" s="194"/>
      <c r="AR210" s="120"/>
      <c r="AS210" s="120"/>
      <c r="AT210" s="120"/>
      <c r="AU210" s="120"/>
      <c r="AV210" s="120"/>
    </row>
    <row r="211" customFormat="false" ht="12.8" hidden="false" customHeight="false" outlineLevel="0" collapsed="false">
      <c r="A211" s="120"/>
      <c r="B211" s="120"/>
      <c r="C211" s="120"/>
      <c r="D211" s="120"/>
      <c r="E211" s="120"/>
      <c r="F211" s="120"/>
      <c r="G211" s="193"/>
      <c r="H211" s="193"/>
      <c r="I211" s="120"/>
      <c r="J211" s="193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  <c r="AE211" s="120"/>
      <c r="AF211" s="120"/>
      <c r="AG211" s="194"/>
      <c r="AH211" s="194"/>
      <c r="AI211" s="194"/>
      <c r="AJ211" s="195"/>
      <c r="AK211" s="195"/>
      <c r="AL211" s="195"/>
      <c r="AM211" s="195"/>
      <c r="AN211" s="195"/>
      <c r="AO211" s="194"/>
      <c r="AP211" s="194"/>
      <c r="AQ211" s="194"/>
      <c r="AR211" s="120"/>
      <c r="AS211" s="120"/>
      <c r="AT211" s="120"/>
      <c r="AU211" s="120"/>
      <c r="AV211" s="120"/>
    </row>
    <row r="212" customFormat="false" ht="12.8" hidden="false" customHeight="false" outlineLevel="0" collapsed="false">
      <c r="A212" s="120"/>
      <c r="B212" s="120"/>
      <c r="C212" s="120"/>
      <c r="D212" s="120"/>
      <c r="E212" s="120"/>
      <c r="F212" s="120"/>
      <c r="G212" s="193"/>
      <c r="H212" s="193"/>
      <c r="I212" s="120"/>
      <c r="J212" s="193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20"/>
      <c r="AG212" s="194"/>
      <c r="AH212" s="194"/>
      <c r="AI212" s="194"/>
      <c r="AJ212" s="195"/>
      <c r="AK212" s="195"/>
      <c r="AL212" s="195"/>
      <c r="AM212" s="195"/>
      <c r="AN212" s="195"/>
      <c r="AO212" s="194"/>
      <c r="AP212" s="194"/>
      <c r="AQ212" s="194"/>
      <c r="AR212" s="120"/>
      <c r="AS212" s="120"/>
      <c r="AT212" s="120"/>
      <c r="AU212" s="120"/>
      <c r="AV212" s="120"/>
    </row>
    <row r="213" customFormat="false" ht="12.8" hidden="false" customHeight="false" outlineLevel="0" collapsed="false">
      <c r="A213" s="120"/>
      <c r="B213" s="120"/>
      <c r="C213" s="120"/>
      <c r="D213" s="120"/>
      <c r="E213" s="120"/>
      <c r="F213" s="120"/>
      <c r="G213" s="193"/>
      <c r="H213" s="193"/>
      <c r="I213" s="120"/>
      <c r="J213" s="193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  <c r="AE213" s="120"/>
      <c r="AF213" s="120"/>
      <c r="AG213" s="194"/>
      <c r="AH213" s="194"/>
      <c r="AI213" s="194"/>
      <c r="AJ213" s="195"/>
      <c r="AK213" s="195"/>
      <c r="AL213" s="195"/>
      <c r="AM213" s="195"/>
      <c r="AN213" s="195"/>
      <c r="AO213" s="194"/>
      <c r="AP213" s="194"/>
      <c r="AQ213" s="194"/>
      <c r="AR213" s="120"/>
      <c r="AS213" s="120"/>
      <c r="AT213" s="120"/>
      <c r="AU213" s="120"/>
      <c r="AV213" s="120"/>
    </row>
    <row r="214" customFormat="false" ht="12.8" hidden="false" customHeight="false" outlineLevel="0" collapsed="false">
      <c r="A214" s="120"/>
      <c r="B214" s="120"/>
      <c r="C214" s="120"/>
      <c r="D214" s="120"/>
      <c r="E214" s="120"/>
      <c r="F214" s="120"/>
      <c r="G214" s="193"/>
      <c r="H214" s="193"/>
      <c r="I214" s="120"/>
      <c r="J214" s="193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20"/>
      <c r="AG214" s="194"/>
      <c r="AH214" s="194"/>
      <c r="AI214" s="194"/>
      <c r="AJ214" s="195"/>
      <c r="AK214" s="195"/>
      <c r="AL214" s="195"/>
      <c r="AM214" s="195"/>
      <c r="AN214" s="195"/>
      <c r="AO214" s="194"/>
      <c r="AP214" s="194"/>
      <c r="AQ214" s="194"/>
      <c r="AR214" s="120"/>
      <c r="AS214" s="120"/>
      <c r="AT214" s="120"/>
      <c r="AU214" s="120"/>
      <c r="AV214" s="120"/>
    </row>
    <row r="215" customFormat="false" ht="12.8" hidden="false" customHeight="false" outlineLevel="0" collapsed="false">
      <c r="A215" s="120"/>
      <c r="B215" s="120"/>
      <c r="C215" s="120"/>
      <c r="D215" s="120"/>
      <c r="E215" s="120"/>
      <c r="F215" s="120"/>
      <c r="G215" s="193"/>
      <c r="H215" s="193"/>
      <c r="I215" s="120"/>
      <c r="J215" s="193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  <c r="AC215" s="120"/>
      <c r="AD215" s="120"/>
      <c r="AE215" s="120"/>
      <c r="AF215" s="120"/>
      <c r="AG215" s="194"/>
      <c r="AH215" s="194"/>
      <c r="AI215" s="194"/>
      <c r="AJ215" s="195"/>
      <c r="AK215" s="195"/>
      <c r="AL215" s="195"/>
      <c r="AM215" s="195"/>
      <c r="AN215" s="195"/>
      <c r="AO215" s="194"/>
      <c r="AP215" s="194"/>
      <c r="AQ215" s="194"/>
      <c r="AR215" s="120"/>
      <c r="AS215" s="120"/>
      <c r="AT215" s="120"/>
      <c r="AU215" s="120"/>
      <c r="AV215" s="120"/>
    </row>
    <row r="216" customFormat="false" ht="12.8" hidden="false" customHeight="false" outlineLevel="0" collapsed="false">
      <c r="A216" s="120"/>
      <c r="B216" s="120"/>
      <c r="C216" s="120"/>
      <c r="D216" s="120"/>
      <c r="E216" s="120"/>
      <c r="F216" s="120"/>
      <c r="G216" s="193"/>
      <c r="H216" s="193"/>
      <c r="I216" s="120"/>
      <c r="J216" s="193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  <c r="AE216" s="120"/>
      <c r="AF216" s="120"/>
      <c r="AG216" s="194"/>
      <c r="AH216" s="194"/>
      <c r="AI216" s="194"/>
      <c r="AJ216" s="195"/>
      <c r="AK216" s="195"/>
      <c r="AL216" s="195"/>
      <c r="AM216" s="195"/>
      <c r="AN216" s="195"/>
      <c r="AO216" s="194"/>
      <c r="AP216" s="194"/>
      <c r="AQ216" s="194"/>
      <c r="AR216" s="120"/>
      <c r="AS216" s="120"/>
      <c r="AT216" s="120"/>
      <c r="AU216" s="120"/>
      <c r="AV216" s="120"/>
    </row>
    <row r="217" customFormat="false" ht="12.8" hidden="false" customHeight="false" outlineLevel="0" collapsed="false">
      <c r="A217" s="120"/>
      <c r="B217" s="120"/>
      <c r="C217" s="120"/>
      <c r="D217" s="120"/>
      <c r="E217" s="120"/>
      <c r="F217" s="120"/>
      <c r="G217" s="193"/>
      <c r="H217" s="193"/>
      <c r="I217" s="120"/>
      <c r="J217" s="193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  <c r="AE217" s="120"/>
      <c r="AF217" s="120"/>
      <c r="AG217" s="194"/>
      <c r="AH217" s="194"/>
      <c r="AI217" s="194"/>
      <c r="AJ217" s="195"/>
      <c r="AK217" s="195"/>
      <c r="AL217" s="195"/>
      <c r="AM217" s="195"/>
      <c r="AN217" s="195"/>
      <c r="AO217" s="194"/>
      <c r="AP217" s="194"/>
      <c r="AQ217" s="194"/>
      <c r="AR217" s="120"/>
      <c r="AS217" s="120"/>
      <c r="AT217" s="120"/>
      <c r="AU217" s="120"/>
      <c r="AV217" s="120"/>
    </row>
    <row r="218" customFormat="false" ht="12.8" hidden="false" customHeight="false" outlineLevel="0" collapsed="false">
      <c r="A218" s="120"/>
      <c r="B218" s="120"/>
      <c r="C218" s="120"/>
      <c r="D218" s="120"/>
      <c r="E218" s="120"/>
      <c r="F218" s="120"/>
      <c r="G218" s="193"/>
      <c r="H218" s="193"/>
      <c r="I218" s="120"/>
      <c r="J218" s="193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  <c r="AE218" s="120"/>
      <c r="AF218" s="120"/>
      <c r="AG218" s="194"/>
      <c r="AH218" s="194"/>
      <c r="AI218" s="194"/>
      <c r="AJ218" s="195"/>
      <c r="AK218" s="195"/>
      <c r="AL218" s="195"/>
      <c r="AM218" s="195"/>
      <c r="AN218" s="195"/>
      <c r="AO218" s="194"/>
      <c r="AP218" s="194"/>
      <c r="AQ218" s="194"/>
      <c r="AR218" s="120"/>
      <c r="AS218" s="120"/>
      <c r="AT218" s="120"/>
      <c r="AU218" s="120"/>
      <c r="AV218" s="120"/>
    </row>
    <row r="219" customFormat="false" ht="12.8" hidden="false" customHeight="false" outlineLevel="0" collapsed="false">
      <c r="A219" s="120"/>
      <c r="B219" s="120"/>
      <c r="C219" s="120"/>
      <c r="D219" s="120"/>
      <c r="E219" s="120"/>
      <c r="F219" s="120"/>
      <c r="G219" s="193"/>
      <c r="H219" s="193"/>
      <c r="I219" s="120"/>
      <c r="J219" s="193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  <c r="AC219" s="120"/>
      <c r="AD219" s="120"/>
      <c r="AE219" s="120"/>
      <c r="AF219" s="120"/>
      <c r="AG219" s="194"/>
      <c r="AH219" s="194"/>
      <c r="AI219" s="194"/>
      <c r="AJ219" s="195"/>
      <c r="AK219" s="195"/>
      <c r="AL219" s="195"/>
      <c r="AM219" s="195"/>
      <c r="AN219" s="195"/>
      <c r="AO219" s="194"/>
      <c r="AP219" s="194"/>
      <c r="AQ219" s="194"/>
      <c r="AR219" s="120"/>
      <c r="AS219" s="120"/>
      <c r="AT219" s="120"/>
      <c r="AU219" s="120"/>
      <c r="AV219" s="120"/>
    </row>
    <row r="220" customFormat="false" ht="12.8" hidden="false" customHeight="false" outlineLevel="0" collapsed="false">
      <c r="A220" s="120"/>
      <c r="B220" s="120"/>
      <c r="C220" s="120"/>
      <c r="D220" s="120"/>
      <c r="E220" s="120"/>
      <c r="F220" s="120"/>
      <c r="G220" s="193"/>
      <c r="H220" s="193"/>
      <c r="I220" s="120"/>
      <c r="J220" s="193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0"/>
      <c r="AD220" s="120"/>
      <c r="AE220" s="120"/>
      <c r="AF220" s="120"/>
      <c r="AG220" s="194"/>
      <c r="AH220" s="194"/>
      <c r="AI220" s="194"/>
      <c r="AJ220" s="195"/>
      <c r="AK220" s="195"/>
      <c r="AL220" s="195"/>
      <c r="AM220" s="195"/>
      <c r="AN220" s="195"/>
      <c r="AO220" s="194"/>
      <c r="AP220" s="194"/>
      <c r="AQ220" s="194"/>
      <c r="AR220" s="120"/>
      <c r="AS220" s="120"/>
      <c r="AT220" s="120"/>
      <c r="AU220" s="120"/>
      <c r="AV220" s="120"/>
    </row>
    <row r="221" customFormat="false" ht="12.8" hidden="false" customHeight="false" outlineLevel="0" collapsed="false">
      <c r="A221" s="120"/>
      <c r="B221" s="120"/>
      <c r="C221" s="120"/>
      <c r="D221" s="120"/>
      <c r="E221" s="120"/>
      <c r="F221" s="120"/>
      <c r="G221" s="193"/>
      <c r="H221" s="193"/>
      <c r="I221" s="120"/>
      <c r="J221" s="193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  <c r="AC221" s="120"/>
      <c r="AD221" s="120"/>
      <c r="AE221" s="120"/>
      <c r="AF221" s="120"/>
      <c r="AG221" s="194"/>
      <c r="AH221" s="194"/>
      <c r="AI221" s="194"/>
      <c r="AJ221" s="195"/>
      <c r="AK221" s="195"/>
      <c r="AL221" s="195"/>
      <c r="AM221" s="195"/>
      <c r="AN221" s="195"/>
      <c r="AO221" s="194"/>
      <c r="AP221" s="194"/>
      <c r="AQ221" s="194"/>
      <c r="AR221" s="120"/>
      <c r="AS221" s="120"/>
      <c r="AT221" s="120"/>
      <c r="AU221" s="120"/>
      <c r="AV221" s="120"/>
    </row>
    <row r="222" customFormat="false" ht="12.8" hidden="false" customHeight="false" outlineLevel="0" collapsed="false">
      <c r="A222" s="120"/>
      <c r="B222" s="120"/>
      <c r="C222" s="120"/>
      <c r="D222" s="120"/>
      <c r="E222" s="120"/>
      <c r="F222" s="120"/>
      <c r="G222" s="193"/>
      <c r="H222" s="193"/>
      <c r="I222" s="120"/>
      <c r="J222" s="193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94"/>
      <c r="AH222" s="194"/>
      <c r="AI222" s="194"/>
      <c r="AJ222" s="195"/>
      <c r="AK222" s="195"/>
      <c r="AL222" s="195"/>
      <c r="AM222" s="195"/>
      <c r="AN222" s="195"/>
      <c r="AO222" s="194"/>
      <c r="AP222" s="194"/>
      <c r="AQ222" s="194"/>
      <c r="AR222" s="120"/>
      <c r="AS222" s="120"/>
      <c r="AT222" s="120"/>
      <c r="AU222" s="120"/>
      <c r="AV222" s="120"/>
    </row>
    <row r="223" customFormat="false" ht="12.8" hidden="false" customHeight="false" outlineLevel="0" collapsed="false">
      <c r="A223" s="120"/>
      <c r="B223" s="120"/>
      <c r="C223" s="120"/>
      <c r="D223" s="120"/>
      <c r="E223" s="120"/>
      <c r="F223" s="120"/>
      <c r="G223" s="193"/>
      <c r="H223" s="193"/>
      <c r="I223" s="120"/>
      <c r="J223" s="193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  <c r="AB223" s="120"/>
      <c r="AC223" s="120"/>
      <c r="AD223" s="120"/>
      <c r="AE223" s="120"/>
      <c r="AF223" s="120"/>
      <c r="AG223" s="194"/>
      <c r="AH223" s="194"/>
      <c r="AI223" s="194"/>
      <c r="AJ223" s="195"/>
      <c r="AK223" s="195"/>
      <c r="AL223" s="195"/>
      <c r="AM223" s="195"/>
      <c r="AN223" s="195"/>
      <c r="AO223" s="194"/>
      <c r="AP223" s="194"/>
      <c r="AQ223" s="194"/>
      <c r="AR223" s="120"/>
      <c r="AS223" s="120"/>
      <c r="AT223" s="120"/>
      <c r="AU223" s="120"/>
      <c r="AV223" s="120"/>
    </row>
    <row r="224" customFormat="false" ht="12.8" hidden="false" customHeight="false" outlineLevel="0" collapsed="false">
      <c r="A224" s="120"/>
      <c r="B224" s="120"/>
      <c r="C224" s="120"/>
      <c r="D224" s="120"/>
      <c r="E224" s="120"/>
      <c r="F224" s="120"/>
      <c r="G224" s="193"/>
      <c r="H224" s="193"/>
      <c r="I224" s="120"/>
      <c r="J224" s="193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  <c r="AC224" s="120"/>
      <c r="AD224" s="120"/>
      <c r="AE224" s="120"/>
      <c r="AF224" s="120"/>
      <c r="AG224" s="194"/>
      <c r="AH224" s="194"/>
      <c r="AI224" s="194"/>
      <c r="AJ224" s="195"/>
      <c r="AK224" s="195"/>
      <c r="AL224" s="195"/>
      <c r="AM224" s="195"/>
      <c r="AN224" s="195"/>
      <c r="AO224" s="194"/>
      <c r="AP224" s="194"/>
      <c r="AQ224" s="194"/>
      <c r="AR224" s="120"/>
      <c r="AS224" s="120"/>
      <c r="AT224" s="120"/>
      <c r="AU224" s="120"/>
      <c r="AV224" s="120"/>
    </row>
    <row r="225" customFormat="false" ht="12.8" hidden="false" customHeight="false" outlineLevel="0" collapsed="false">
      <c r="A225" s="120"/>
      <c r="B225" s="120"/>
      <c r="C225" s="120"/>
      <c r="D225" s="120"/>
      <c r="E225" s="120"/>
      <c r="F225" s="120"/>
      <c r="G225" s="193"/>
      <c r="H225" s="193"/>
      <c r="I225" s="120"/>
      <c r="J225" s="193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  <c r="AE225" s="120"/>
      <c r="AF225" s="120"/>
      <c r="AG225" s="194"/>
      <c r="AH225" s="194"/>
      <c r="AI225" s="194"/>
      <c r="AJ225" s="195"/>
      <c r="AK225" s="195"/>
      <c r="AL225" s="195"/>
      <c r="AM225" s="195"/>
      <c r="AN225" s="195"/>
      <c r="AO225" s="194"/>
      <c r="AP225" s="194"/>
      <c r="AQ225" s="194"/>
      <c r="AR225" s="120"/>
      <c r="AS225" s="120"/>
      <c r="AT225" s="120"/>
      <c r="AU225" s="120"/>
      <c r="AV225" s="120"/>
    </row>
    <row r="226" customFormat="false" ht="12.8" hidden="false" customHeight="false" outlineLevel="0" collapsed="false">
      <c r="A226" s="120"/>
      <c r="B226" s="120"/>
      <c r="C226" s="120"/>
      <c r="D226" s="120"/>
      <c r="E226" s="120"/>
      <c r="F226" s="120"/>
      <c r="G226" s="193"/>
      <c r="H226" s="193"/>
      <c r="I226" s="120"/>
      <c r="J226" s="193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  <c r="AE226" s="120"/>
      <c r="AF226" s="120"/>
      <c r="AG226" s="194"/>
      <c r="AH226" s="194"/>
      <c r="AI226" s="194"/>
      <c r="AJ226" s="195"/>
      <c r="AK226" s="195"/>
      <c r="AL226" s="195"/>
      <c r="AM226" s="195"/>
      <c r="AN226" s="195"/>
      <c r="AO226" s="194"/>
      <c r="AP226" s="194"/>
      <c r="AQ226" s="194"/>
      <c r="AR226" s="120"/>
      <c r="AS226" s="120"/>
      <c r="AT226" s="120"/>
      <c r="AU226" s="120"/>
      <c r="AV226" s="120"/>
    </row>
    <row r="227" customFormat="false" ht="12.8" hidden="false" customHeight="false" outlineLevel="0" collapsed="false">
      <c r="A227" s="120"/>
      <c r="B227" s="120"/>
      <c r="C227" s="120"/>
      <c r="D227" s="120"/>
      <c r="E227" s="120"/>
      <c r="F227" s="120"/>
      <c r="G227" s="193"/>
      <c r="H227" s="193"/>
      <c r="I227" s="120"/>
      <c r="J227" s="193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20"/>
      <c r="AC227" s="120"/>
      <c r="AD227" s="120"/>
      <c r="AE227" s="120"/>
      <c r="AF227" s="120"/>
      <c r="AG227" s="194"/>
      <c r="AH227" s="194"/>
      <c r="AI227" s="194"/>
      <c r="AJ227" s="195"/>
      <c r="AK227" s="195"/>
      <c r="AL227" s="195"/>
      <c r="AM227" s="195"/>
      <c r="AN227" s="195"/>
      <c r="AO227" s="194"/>
      <c r="AP227" s="194"/>
      <c r="AQ227" s="194"/>
      <c r="AR227" s="120"/>
      <c r="AS227" s="120"/>
      <c r="AT227" s="120"/>
      <c r="AU227" s="120"/>
      <c r="AV227" s="120"/>
    </row>
    <row r="228" customFormat="false" ht="12.8" hidden="false" customHeight="false" outlineLevel="0" collapsed="false">
      <c r="A228" s="120"/>
      <c r="B228" s="120"/>
      <c r="C228" s="120"/>
      <c r="D228" s="120"/>
      <c r="E228" s="120"/>
      <c r="F228" s="120"/>
      <c r="G228" s="193"/>
      <c r="H228" s="193"/>
      <c r="I228" s="120"/>
      <c r="J228" s="193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  <c r="AC228" s="120"/>
      <c r="AD228" s="120"/>
      <c r="AE228" s="120"/>
      <c r="AF228" s="120"/>
      <c r="AG228" s="194"/>
      <c r="AH228" s="194"/>
      <c r="AI228" s="194"/>
      <c r="AJ228" s="195"/>
      <c r="AK228" s="195"/>
      <c r="AL228" s="195"/>
      <c r="AM228" s="195"/>
      <c r="AN228" s="195"/>
      <c r="AO228" s="194"/>
      <c r="AP228" s="194"/>
      <c r="AQ228" s="194"/>
      <c r="AR228" s="120"/>
      <c r="AS228" s="120"/>
      <c r="AT228" s="120"/>
      <c r="AU228" s="120"/>
      <c r="AV228" s="120"/>
    </row>
    <row r="229" customFormat="false" ht="12.8" hidden="false" customHeight="false" outlineLevel="0" collapsed="false">
      <c r="A229" s="120"/>
      <c r="B229" s="120"/>
      <c r="C229" s="120"/>
      <c r="D229" s="120"/>
      <c r="E229" s="120"/>
      <c r="F229" s="120"/>
      <c r="G229" s="193"/>
      <c r="H229" s="193"/>
      <c r="I229" s="120"/>
      <c r="J229" s="193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20"/>
      <c r="AG229" s="194"/>
      <c r="AH229" s="194"/>
      <c r="AI229" s="194"/>
      <c r="AJ229" s="195"/>
      <c r="AK229" s="195"/>
      <c r="AL229" s="195"/>
      <c r="AM229" s="195"/>
      <c r="AN229" s="195"/>
      <c r="AO229" s="194"/>
      <c r="AP229" s="194"/>
      <c r="AQ229" s="194"/>
      <c r="AR229" s="120"/>
      <c r="AS229" s="120"/>
      <c r="AT229" s="120"/>
      <c r="AU229" s="120"/>
      <c r="AV229" s="120"/>
    </row>
    <row r="230" customFormat="false" ht="12.8" hidden="false" customHeight="false" outlineLevel="0" collapsed="false">
      <c r="A230" s="120"/>
      <c r="B230" s="120"/>
      <c r="C230" s="120"/>
      <c r="D230" s="120"/>
      <c r="E230" s="120"/>
      <c r="F230" s="120"/>
      <c r="G230" s="193"/>
      <c r="H230" s="193"/>
      <c r="I230" s="120"/>
      <c r="J230" s="193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  <c r="AC230" s="120"/>
      <c r="AD230" s="120"/>
      <c r="AE230" s="120"/>
      <c r="AF230" s="120"/>
      <c r="AG230" s="194"/>
      <c r="AH230" s="194"/>
      <c r="AI230" s="194"/>
      <c r="AJ230" s="195"/>
      <c r="AK230" s="195"/>
      <c r="AL230" s="195"/>
      <c r="AM230" s="195"/>
      <c r="AN230" s="195"/>
      <c r="AO230" s="194"/>
      <c r="AP230" s="194"/>
      <c r="AQ230" s="194"/>
      <c r="AR230" s="120"/>
      <c r="AS230" s="120"/>
      <c r="AT230" s="120"/>
      <c r="AU230" s="120"/>
      <c r="AV230" s="120"/>
    </row>
    <row r="231" customFormat="false" ht="12.8" hidden="false" customHeight="false" outlineLevel="0" collapsed="false">
      <c r="A231" s="120"/>
      <c r="B231" s="120"/>
      <c r="C231" s="120"/>
      <c r="D231" s="120"/>
      <c r="E231" s="120"/>
      <c r="F231" s="120"/>
      <c r="G231" s="193"/>
      <c r="H231" s="193"/>
      <c r="I231" s="120"/>
      <c r="J231" s="193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  <c r="AC231" s="120"/>
      <c r="AD231" s="120"/>
      <c r="AE231" s="120"/>
      <c r="AF231" s="120"/>
      <c r="AG231" s="194"/>
      <c r="AH231" s="194"/>
      <c r="AI231" s="194"/>
      <c r="AJ231" s="195"/>
      <c r="AK231" s="195"/>
      <c r="AL231" s="195"/>
      <c r="AM231" s="195"/>
      <c r="AN231" s="195"/>
      <c r="AO231" s="194"/>
      <c r="AP231" s="194"/>
      <c r="AQ231" s="194"/>
      <c r="AR231" s="120"/>
      <c r="AS231" s="120"/>
      <c r="AT231" s="120"/>
      <c r="AU231" s="120"/>
      <c r="AV231" s="120"/>
    </row>
    <row r="232" customFormat="false" ht="12.8" hidden="false" customHeight="false" outlineLevel="0" collapsed="false">
      <c r="A232" s="120"/>
      <c r="B232" s="120"/>
      <c r="C232" s="120"/>
      <c r="D232" s="120"/>
      <c r="E232" s="120"/>
      <c r="F232" s="120"/>
      <c r="G232" s="193"/>
      <c r="H232" s="193"/>
      <c r="I232" s="120"/>
      <c r="J232" s="193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  <c r="AC232" s="120"/>
      <c r="AD232" s="120"/>
      <c r="AE232" s="120"/>
      <c r="AF232" s="120"/>
      <c r="AG232" s="194"/>
      <c r="AH232" s="194"/>
      <c r="AI232" s="194"/>
      <c r="AJ232" s="195"/>
      <c r="AK232" s="195"/>
      <c r="AL232" s="195"/>
      <c r="AM232" s="195"/>
      <c r="AN232" s="195"/>
      <c r="AO232" s="194"/>
      <c r="AP232" s="194"/>
      <c r="AQ232" s="194"/>
      <c r="AR232" s="120"/>
      <c r="AS232" s="120"/>
      <c r="AT232" s="120"/>
      <c r="AU232" s="120"/>
      <c r="AV232" s="120"/>
    </row>
    <row r="233" customFormat="false" ht="12.8" hidden="false" customHeight="false" outlineLevel="0" collapsed="false">
      <c r="A233" s="120"/>
      <c r="B233" s="120"/>
      <c r="C233" s="120"/>
      <c r="D233" s="120"/>
      <c r="E233" s="120"/>
      <c r="F233" s="120"/>
      <c r="G233" s="193"/>
      <c r="H233" s="193"/>
      <c r="I233" s="120"/>
      <c r="J233" s="193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  <c r="AC233" s="120"/>
      <c r="AD233" s="120"/>
      <c r="AE233" s="120"/>
      <c r="AF233" s="120"/>
      <c r="AG233" s="194"/>
      <c r="AH233" s="194"/>
      <c r="AI233" s="194"/>
      <c r="AJ233" s="195"/>
      <c r="AK233" s="195"/>
      <c r="AL233" s="195"/>
      <c r="AM233" s="195"/>
      <c r="AN233" s="195"/>
      <c r="AO233" s="194"/>
      <c r="AP233" s="194"/>
      <c r="AQ233" s="194"/>
      <c r="AR233" s="120"/>
      <c r="AS233" s="120"/>
      <c r="AT233" s="120"/>
      <c r="AU233" s="120"/>
      <c r="AV233" s="120"/>
    </row>
    <row r="234" customFormat="false" ht="12.8" hidden="false" customHeight="false" outlineLevel="0" collapsed="false">
      <c r="A234" s="120"/>
      <c r="B234" s="120"/>
      <c r="C234" s="120"/>
      <c r="D234" s="120"/>
      <c r="E234" s="120"/>
      <c r="F234" s="120"/>
      <c r="G234" s="193"/>
      <c r="H234" s="193"/>
      <c r="I234" s="120"/>
      <c r="J234" s="193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0"/>
      <c r="AD234" s="120"/>
      <c r="AE234" s="120"/>
      <c r="AF234" s="120"/>
      <c r="AG234" s="194"/>
      <c r="AH234" s="194"/>
      <c r="AI234" s="194"/>
      <c r="AJ234" s="195"/>
      <c r="AK234" s="195"/>
      <c r="AL234" s="195"/>
      <c r="AM234" s="195"/>
      <c r="AN234" s="195"/>
      <c r="AO234" s="194"/>
      <c r="AP234" s="194"/>
      <c r="AQ234" s="194"/>
      <c r="AR234" s="120"/>
      <c r="AS234" s="120"/>
      <c r="AT234" s="120"/>
      <c r="AU234" s="120"/>
      <c r="AV234" s="120"/>
    </row>
    <row r="235" customFormat="false" ht="12.8" hidden="false" customHeight="false" outlineLevel="0" collapsed="false">
      <c r="A235" s="120"/>
      <c r="B235" s="120"/>
      <c r="C235" s="120"/>
      <c r="D235" s="120"/>
      <c r="E235" s="120"/>
      <c r="F235" s="120"/>
      <c r="G235" s="193"/>
      <c r="H235" s="193"/>
      <c r="I235" s="120"/>
      <c r="J235" s="193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  <c r="AC235" s="120"/>
      <c r="AD235" s="120"/>
      <c r="AE235" s="120"/>
      <c r="AF235" s="120"/>
      <c r="AG235" s="194"/>
      <c r="AH235" s="194"/>
      <c r="AI235" s="194"/>
      <c r="AJ235" s="195"/>
      <c r="AK235" s="195"/>
      <c r="AL235" s="195"/>
      <c r="AM235" s="195"/>
      <c r="AN235" s="195"/>
      <c r="AO235" s="194"/>
      <c r="AP235" s="194"/>
      <c r="AQ235" s="194"/>
      <c r="AR235" s="120"/>
      <c r="AS235" s="120"/>
      <c r="AT235" s="120"/>
      <c r="AU235" s="120"/>
      <c r="AV235" s="120"/>
    </row>
    <row r="236" customFormat="false" ht="12.8" hidden="false" customHeight="false" outlineLevel="0" collapsed="false">
      <c r="A236" s="120"/>
      <c r="B236" s="120"/>
      <c r="C236" s="120"/>
      <c r="D236" s="120"/>
      <c r="E236" s="120"/>
      <c r="F236" s="120"/>
      <c r="G236" s="193"/>
      <c r="H236" s="193"/>
      <c r="I236" s="120"/>
      <c r="J236" s="193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  <c r="AE236" s="120"/>
      <c r="AF236" s="120"/>
      <c r="AG236" s="194"/>
      <c r="AH236" s="194"/>
      <c r="AI236" s="194"/>
      <c r="AJ236" s="195"/>
      <c r="AK236" s="195"/>
      <c r="AL236" s="195"/>
      <c r="AM236" s="195"/>
      <c r="AN236" s="195"/>
      <c r="AO236" s="194"/>
      <c r="AP236" s="194"/>
      <c r="AQ236" s="194"/>
      <c r="AR236" s="120"/>
      <c r="AS236" s="120"/>
      <c r="AT236" s="120"/>
      <c r="AU236" s="120"/>
      <c r="AV236" s="120"/>
    </row>
    <row r="237" customFormat="false" ht="12.8" hidden="false" customHeight="false" outlineLevel="0" collapsed="false">
      <c r="A237" s="120"/>
      <c r="B237" s="120"/>
      <c r="C237" s="120"/>
      <c r="D237" s="120"/>
      <c r="E237" s="120"/>
      <c r="F237" s="120"/>
      <c r="G237" s="193"/>
      <c r="H237" s="193"/>
      <c r="I237" s="120"/>
      <c r="J237" s="193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  <c r="AC237" s="120"/>
      <c r="AD237" s="120"/>
      <c r="AE237" s="120"/>
      <c r="AF237" s="120"/>
      <c r="AG237" s="194"/>
      <c r="AH237" s="194"/>
      <c r="AI237" s="194"/>
      <c r="AJ237" s="195"/>
      <c r="AK237" s="195"/>
      <c r="AL237" s="195"/>
      <c r="AM237" s="195"/>
      <c r="AN237" s="195"/>
      <c r="AO237" s="194"/>
      <c r="AP237" s="194"/>
      <c r="AQ237" s="194"/>
      <c r="AR237" s="120"/>
      <c r="AS237" s="120"/>
      <c r="AT237" s="120"/>
      <c r="AU237" s="120"/>
      <c r="AV237" s="120"/>
    </row>
    <row r="238" customFormat="false" ht="12.8" hidden="false" customHeight="false" outlineLevel="0" collapsed="false">
      <c r="A238" s="120"/>
      <c r="B238" s="120"/>
      <c r="C238" s="120"/>
      <c r="D238" s="120"/>
      <c r="E238" s="120"/>
      <c r="F238" s="120"/>
      <c r="G238" s="193"/>
      <c r="H238" s="193"/>
      <c r="I238" s="120"/>
      <c r="J238" s="193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0"/>
      <c r="AD238" s="120"/>
      <c r="AE238" s="120"/>
      <c r="AF238" s="120"/>
      <c r="AG238" s="194"/>
      <c r="AH238" s="194"/>
      <c r="AI238" s="194"/>
      <c r="AJ238" s="195"/>
      <c r="AK238" s="195"/>
      <c r="AL238" s="195"/>
      <c r="AM238" s="195"/>
      <c r="AN238" s="195"/>
      <c r="AO238" s="194"/>
      <c r="AP238" s="194"/>
      <c r="AQ238" s="194"/>
      <c r="AR238" s="120"/>
      <c r="AS238" s="120"/>
      <c r="AT238" s="120"/>
      <c r="AU238" s="120"/>
      <c r="AV238" s="120"/>
    </row>
    <row r="239" customFormat="false" ht="12.8" hidden="false" customHeight="false" outlineLevel="0" collapsed="false">
      <c r="A239" s="120"/>
      <c r="B239" s="120"/>
      <c r="C239" s="120"/>
      <c r="D239" s="120"/>
      <c r="E239" s="120"/>
      <c r="F239" s="120"/>
      <c r="G239" s="193"/>
      <c r="H239" s="193"/>
      <c r="I239" s="120"/>
      <c r="J239" s="193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  <c r="AC239" s="120"/>
      <c r="AD239" s="120"/>
      <c r="AE239" s="120"/>
      <c r="AF239" s="120"/>
      <c r="AG239" s="194"/>
      <c r="AH239" s="194"/>
      <c r="AI239" s="194"/>
      <c r="AJ239" s="195"/>
      <c r="AK239" s="195"/>
      <c r="AL239" s="195"/>
      <c r="AM239" s="195"/>
      <c r="AN239" s="195"/>
      <c r="AO239" s="194"/>
      <c r="AP239" s="194"/>
      <c r="AQ239" s="194"/>
      <c r="AR239" s="120"/>
      <c r="AS239" s="120"/>
      <c r="AT239" s="120"/>
      <c r="AU239" s="120"/>
      <c r="AV239" s="120"/>
    </row>
    <row r="240" customFormat="false" ht="12.8" hidden="false" customHeight="false" outlineLevel="0" collapsed="false">
      <c r="A240" s="120"/>
      <c r="B240" s="120"/>
      <c r="C240" s="120"/>
      <c r="D240" s="120"/>
      <c r="E240" s="120"/>
      <c r="F240" s="120"/>
      <c r="G240" s="193"/>
      <c r="H240" s="193"/>
      <c r="I240" s="120"/>
      <c r="J240" s="193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  <c r="AC240" s="120"/>
      <c r="AD240" s="120"/>
      <c r="AE240" s="120"/>
      <c r="AF240" s="120"/>
      <c r="AG240" s="194"/>
      <c r="AH240" s="194"/>
      <c r="AI240" s="194"/>
      <c r="AJ240" s="195"/>
      <c r="AK240" s="195"/>
      <c r="AL240" s="195"/>
      <c r="AM240" s="195"/>
      <c r="AN240" s="195"/>
      <c r="AO240" s="194"/>
      <c r="AP240" s="194"/>
      <c r="AQ240" s="194"/>
      <c r="AR240" s="120"/>
      <c r="AS240" s="120"/>
      <c r="AT240" s="120"/>
      <c r="AU240" s="120"/>
      <c r="AV240" s="120"/>
    </row>
    <row r="241" customFormat="false" ht="12.8" hidden="false" customHeight="false" outlineLevel="0" collapsed="false">
      <c r="A241" s="120"/>
      <c r="B241" s="120"/>
      <c r="C241" s="120"/>
      <c r="D241" s="120"/>
      <c r="E241" s="120"/>
      <c r="F241" s="120"/>
      <c r="G241" s="193"/>
      <c r="H241" s="193"/>
      <c r="I241" s="120"/>
      <c r="J241" s="193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  <c r="AC241" s="120"/>
      <c r="AD241" s="120"/>
      <c r="AE241" s="120"/>
      <c r="AF241" s="120"/>
      <c r="AG241" s="194"/>
      <c r="AH241" s="194"/>
      <c r="AI241" s="194"/>
      <c r="AJ241" s="195"/>
      <c r="AK241" s="195"/>
      <c r="AL241" s="195"/>
      <c r="AM241" s="195"/>
      <c r="AN241" s="195"/>
      <c r="AO241" s="194"/>
      <c r="AP241" s="194"/>
      <c r="AQ241" s="194"/>
      <c r="AR241" s="120"/>
      <c r="AS241" s="120"/>
      <c r="AT241" s="120"/>
      <c r="AU241" s="120"/>
      <c r="AV241" s="120"/>
    </row>
    <row r="242" customFormat="false" ht="12.8" hidden="false" customHeight="false" outlineLevel="0" collapsed="false">
      <c r="A242" s="120"/>
      <c r="B242" s="120"/>
      <c r="C242" s="120"/>
      <c r="D242" s="120"/>
      <c r="E242" s="120"/>
      <c r="F242" s="120"/>
      <c r="G242" s="193"/>
      <c r="H242" s="193"/>
      <c r="I242" s="120"/>
      <c r="J242" s="193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  <c r="AE242" s="120"/>
      <c r="AF242" s="120"/>
      <c r="AG242" s="194"/>
      <c r="AH242" s="194"/>
      <c r="AI242" s="194"/>
      <c r="AJ242" s="195"/>
      <c r="AK242" s="195"/>
      <c r="AL242" s="195"/>
      <c r="AM242" s="195"/>
      <c r="AN242" s="195"/>
      <c r="AO242" s="194"/>
      <c r="AP242" s="194"/>
      <c r="AQ242" s="194"/>
      <c r="AR242" s="120"/>
      <c r="AS242" s="120"/>
      <c r="AT242" s="120"/>
      <c r="AU242" s="120"/>
      <c r="AV242" s="120"/>
    </row>
    <row r="243" customFormat="false" ht="12.8" hidden="false" customHeight="false" outlineLevel="0" collapsed="false">
      <c r="A243" s="120"/>
      <c r="B243" s="120"/>
      <c r="C243" s="120"/>
      <c r="D243" s="120"/>
      <c r="E243" s="120"/>
      <c r="F243" s="120"/>
      <c r="G243" s="193"/>
      <c r="H243" s="193"/>
      <c r="I243" s="120"/>
      <c r="J243" s="193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0"/>
      <c r="AD243" s="120"/>
      <c r="AE243" s="120"/>
      <c r="AF243" s="120"/>
      <c r="AG243" s="194"/>
      <c r="AH243" s="194"/>
      <c r="AI243" s="194"/>
      <c r="AJ243" s="195"/>
      <c r="AK243" s="195"/>
      <c r="AL243" s="195"/>
      <c r="AM243" s="195"/>
      <c r="AN243" s="195"/>
      <c r="AO243" s="194"/>
      <c r="AP243" s="194"/>
      <c r="AQ243" s="194"/>
      <c r="AR243" s="120"/>
      <c r="AS243" s="120"/>
      <c r="AT243" s="120"/>
      <c r="AU243" s="120"/>
      <c r="AV243" s="120"/>
    </row>
    <row r="244" customFormat="false" ht="12.8" hidden="false" customHeight="false" outlineLevel="0" collapsed="false">
      <c r="A244" s="120"/>
      <c r="B244" s="120"/>
      <c r="C244" s="120"/>
      <c r="D244" s="120"/>
      <c r="E244" s="120"/>
      <c r="F244" s="120"/>
      <c r="G244" s="193"/>
      <c r="H244" s="193"/>
      <c r="I244" s="120"/>
      <c r="J244" s="193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  <c r="AC244" s="120"/>
      <c r="AD244" s="120"/>
      <c r="AE244" s="120"/>
      <c r="AF244" s="120"/>
      <c r="AG244" s="194"/>
      <c r="AH244" s="194"/>
      <c r="AI244" s="194"/>
      <c r="AJ244" s="195"/>
      <c r="AK244" s="195"/>
      <c r="AL244" s="195"/>
      <c r="AM244" s="195"/>
      <c r="AN244" s="195"/>
      <c r="AO244" s="194"/>
      <c r="AP244" s="194"/>
      <c r="AQ244" s="194"/>
      <c r="AR244" s="120"/>
      <c r="AS244" s="120"/>
      <c r="AT244" s="120"/>
      <c r="AU244" s="120"/>
      <c r="AV244" s="120"/>
    </row>
    <row r="245" customFormat="false" ht="12.8" hidden="false" customHeight="false" outlineLevel="0" collapsed="false">
      <c r="A245" s="120"/>
      <c r="B245" s="120"/>
      <c r="C245" s="120"/>
      <c r="D245" s="120"/>
      <c r="E245" s="120"/>
      <c r="F245" s="120"/>
      <c r="G245" s="193"/>
      <c r="H245" s="193"/>
      <c r="I245" s="120"/>
      <c r="J245" s="193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  <c r="AC245" s="120"/>
      <c r="AD245" s="120"/>
      <c r="AE245" s="120"/>
      <c r="AF245" s="120"/>
      <c r="AG245" s="194"/>
      <c r="AH245" s="194"/>
      <c r="AI245" s="194"/>
      <c r="AJ245" s="195"/>
      <c r="AK245" s="195"/>
      <c r="AL245" s="195"/>
      <c r="AM245" s="195"/>
      <c r="AN245" s="195"/>
      <c r="AO245" s="194"/>
      <c r="AP245" s="194"/>
      <c r="AQ245" s="194"/>
      <c r="AR245" s="120"/>
      <c r="AS245" s="120"/>
      <c r="AT245" s="120"/>
      <c r="AU245" s="120"/>
      <c r="AV245" s="120"/>
    </row>
    <row r="246" customFormat="false" ht="12.8" hidden="false" customHeight="false" outlineLevel="0" collapsed="false">
      <c r="A246" s="120"/>
      <c r="B246" s="120"/>
      <c r="C246" s="120"/>
      <c r="D246" s="120"/>
      <c r="E246" s="120"/>
      <c r="F246" s="120"/>
      <c r="G246" s="193"/>
      <c r="H246" s="193"/>
      <c r="I246" s="120"/>
      <c r="J246" s="193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C246" s="120"/>
      <c r="AD246" s="120"/>
      <c r="AE246" s="120"/>
      <c r="AF246" s="120"/>
      <c r="AG246" s="194"/>
      <c r="AH246" s="194"/>
      <c r="AI246" s="194"/>
      <c r="AJ246" s="195"/>
      <c r="AK246" s="195"/>
      <c r="AL246" s="195"/>
      <c r="AM246" s="195"/>
      <c r="AN246" s="195"/>
      <c r="AO246" s="194"/>
      <c r="AP246" s="194"/>
      <c r="AQ246" s="194"/>
      <c r="AR246" s="120"/>
      <c r="AS246" s="120"/>
      <c r="AT246" s="120"/>
      <c r="AU246" s="120"/>
      <c r="AV246" s="120"/>
    </row>
    <row r="247" customFormat="false" ht="12.8" hidden="false" customHeight="false" outlineLevel="0" collapsed="false">
      <c r="A247" s="120"/>
      <c r="B247" s="120"/>
      <c r="C247" s="120"/>
      <c r="D247" s="120"/>
      <c r="E247" s="120"/>
      <c r="F247" s="120"/>
      <c r="G247" s="193"/>
      <c r="H247" s="193"/>
      <c r="I247" s="120"/>
      <c r="J247" s="193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  <c r="AG247" s="194"/>
      <c r="AH247" s="194"/>
      <c r="AI247" s="194"/>
      <c r="AJ247" s="195"/>
      <c r="AK247" s="195"/>
      <c r="AL247" s="195"/>
      <c r="AM247" s="195"/>
      <c r="AN247" s="195"/>
      <c r="AO247" s="194"/>
      <c r="AP247" s="194"/>
      <c r="AQ247" s="194"/>
      <c r="AR247" s="120"/>
      <c r="AS247" s="120"/>
      <c r="AT247" s="120"/>
      <c r="AU247" s="120"/>
      <c r="AV247" s="120"/>
    </row>
    <row r="248" customFormat="false" ht="12.8" hidden="false" customHeight="false" outlineLevel="0" collapsed="false">
      <c r="A248" s="120"/>
      <c r="B248" s="120"/>
      <c r="C248" s="120"/>
      <c r="D248" s="120"/>
      <c r="E248" s="120"/>
      <c r="F248" s="120"/>
      <c r="G248" s="193"/>
      <c r="H248" s="193"/>
      <c r="I248" s="120"/>
      <c r="J248" s="193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  <c r="AB248" s="120"/>
      <c r="AC248" s="120"/>
      <c r="AD248" s="120"/>
      <c r="AE248" s="120"/>
      <c r="AF248" s="120"/>
      <c r="AG248" s="194"/>
      <c r="AH248" s="194"/>
      <c r="AI248" s="194"/>
      <c r="AJ248" s="195"/>
      <c r="AK248" s="195"/>
      <c r="AL248" s="195"/>
      <c r="AM248" s="195"/>
      <c r="AN248" s="195"/>
      <c r="AO248" s="194"/>
      <c r="AP248" s="194"/>
      <c r="AQ248" s="194"/>
      <c r="AR248" s="120"/>
      <c r="AS248" s="120"/>
      <c r="AT248" s="120"/>
      <c r="AU248" s="120"/>
      <c r="AV248" s="120"/>
    </row>
    <row r="249" customFormat="false" ht="12.8" hidden="false" customHeight="false" outlineLevel="0" collapsed="false">
      <c r="A249" s="120"/>
      <c r="B249" s="120"/>
      <c r="C249" s="120"/>
      <c r="D249" s="120"/>
      <c r="E249" s="120"/>
      <c r="F249" s="120"/>
      <c r="G249" s="193"/>
      <c r="H249" s="193"/>
      <c r="I249" s="120"/>
      <c r="J249" s="193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  <c r="AE249" s="120"/>
      <c r="AF249" s="120"/>
      <c r="AG249" s="194"/>
      <c r="AH249" s="194"/>
      <c r="AI249" s="194"/>
      <c r="AJ249" s="195"/>
      <c r="AK249" s="195"/>
      <c r="AL249" s="195"/>
      <c r="AM249" s="195"/>
      <c r="AN249" s="195"/>
      <c r="AO249" s="194"/>
      <c r="AP249" s="194"/>
      <c r="AQ249" s="194"/>
      <c r="AR249" s="120"/>
      <c r="AS249" s="120"/>
      <c r="AT249" s="120"/>
      <c r="AU249" s="120"/>
      <c r="AV249" s="120"/>
    </row>
    <row r="250" customFormat="false" ht="12.8" hidden="false" customHeight="false" outlineLevel="0" collapsed="false">
      <c r="A250" s="120"/>
      <c r="B250" s="120"/>
      <c r="C250" s="120"/>
      <c r="D250" s="120"/>
      <c r="E250" s="120"/>
      <c r="F250" s="120"/>
      <c r="G250" s="193"/>
      <c r="H250" s="193"/>
      <c r="I250" s="120"/>
      <c r="J250" s="193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  <c r="AC250" s="120"/>
      <c r="AD250" s="120"/>
      <c r="AE250" s="120"/>
      <c r="AF250" s="120"/>
      <c r="AG250" s="194"/>
      <c r="AH250" s="194"/>
      <c r="AI250" s="194"/>
      <c r="AJ250" s="195"/>
      <c r="AK250" s="195"/>
      <c r="AL250" s="195"/>
      <c r="AM250" s="195"/>
      <c r="AN250" s="195"/>
      <c r="AO250" s="194"/>
      <c r="AP250" s="194"/>
      <c r="AQ250" s="194"/>
      <c r="AR250" s="120"/>
      <c r="AS250" s="120"/>
      <c r="AT250" s="120"/>
      <c r="AU250" s="120"/>
      <c r="AV250" s="120"/>
    </row>
    <row r="251" customFormat="false" ht="12.8" hidden="false" customHeight="false" outlineLevel="0" collapsed="false">
      <c r="A251" s="120"/>
      <c r="B251" s="120"/>
      <c r="C251" s="120"/>
      <c r="D251" s="120"/>
      <c r="E251" s="120"/>
      <c r="F251" s="120"/>
      <c r="G251" s="193"/>
      <c r="H251" s="193"/>
      <c r="I251" s="120"/>
      <c r="J251" s="193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  <c r="AE251" s="120"/>
      <c r="AF251" s="120"/>
      <c r="AG251" s="194"/>
      <c r="AH251" s="194"/>
      <c r="AI251" s="194"/>
      <c r="AJ251" s="195"/>
      <c r="AK251" s="195"/>
      <c r="AL251" s="195"/>
      <c r="AM251" s="195"/>
      <c r="AN251" s="195"/>
      <c r="AO251" s="194"/>
      <c r="AP251" s="194"/>
      <c r="AQ251" s="194"/>
      <c r="AR251" s="120"/>
      <c r="AS251" s="120"/>
      <c r="AT251" s="120"/>
      <c r="AU251" s="120"/>
      <c r="AV251" s="120"/>
    </row>
    <row r="252" customFormat="false" ht="12.8" hidden="false" customHeight="false" outlineLevel="0" collapsed="false">
      <c r="A252" s="120"/>
      <c r="B252" s="120"/>
      <c r="C252" s="120"/>
      <c r="D252" s="120"/>
      <c r="E252" s="120"/>
      <c r="F252" s="120"/>
      <c r="G252" s="193"/>
      <c r="H252" s="193"/>
      <c r="I252" s="120"/>
      <c r="J252" s="193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  <c r="AC252" s="120"/>
      <c r="AD252" s="120"/>
      <c r="AE252" s="120"/>
      <c r="AF252" s="120"/>
      <c r="AG252" s="194"/>
      <c r="AH252" s="194"/>
      <c r="AI252" s="194"/>
      <c r="AJ252" s="195"/>
      <c r="AK252" s="195"/>
      <c r="AL252" s="195"/>
      <c r="AM252" s="195"/>
      <c r="AN252" s="195"/>
      <c r="AO252" s="194"/>
      <c r="AP252" s="194"/>
      <c r="AQ252" s="194"/>
      <c r="AR252" s="120"/>
      <c r="AS252" s="120"/>
      <c r="AT252" s="120"/>
      <c r="AU252" s="120"/>
      <c r="AV252" s="120"/>
    </row>
    <row r="253" customFormat="false" ht="12.8" hidden="false" customHeight="false" outlineLevel="0" collapsed="false">
      <c r="A253" s="120"/>
      <c r="B253" s="120"/>
      <c r="C253" s="120"/>
      <c r="D253" s="120"/>
      <c r="E253" s="120"/>
      <c r="F253" s="120"/>
      <c r="G253" s="193"/>
      <c r="H253" s="193"/>
      <c r="I253" s="120"/>
      <c r="J253" s="193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  <c r="AA253" s="120"/>
      <c r="AB253" s="120"/>
      <c r="AC253" s="120"/>
      <c r="AD253" s="120"/>
      <c r="AE253" s="120"/>
      <c r="AF253" s="120"/>
      <c r="AG253" s="194"/>
      <c r="AH253" s="194"/>
      <c r="AI253" s="194"/>
      <c r="AJ253" s="195"/>
      <c r="AK253" s="195"/>
      <c r="AL253" s="195"/>
      <c r="AM253" s="195"/>
      <c r="AN253" s="195"/>
      <c r="AO253" s="194"/>
      <c r="AP253" s="194"/>
      <c r="AQ253" s="194"/>
      <c r="AR253" s="120"/>
      <c r="AS253" s="120"/>
      <c r="AT253" s="120"/>
      <c r="AU253" s="120"/>
      <c r="AV253" s="120"/>
    </row>
    <row r="254" customFormat="false" ht="12.8" hidden="false" customHeight="false" outlineLevel="0" collapsed="false">
      <c r="A254" s="120"/>
      <c r="B254" s="120"/>
      <c r="C254" s="120"/>
      <c r="D254" s="120"/>
      <c r="E254" s="120"/>
      <c r="F254" s="120"/>
      <c r="G254" s="193"/>
      <c r="H254" s="193"/>
      <c r="I254" s="120"/>
      <c r="J254" s="193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  <c r="AC254" s="120"/>
      <c r="AD254" s="120"/>
      <c r="AE254" s="120"/>
      <c r="AF254" s="120"/>
      <c r="AG254" s="194"/>
      <c r="AH254" s="194"/>
      <c r="AI254" s="194"/>
      <c r="AJ254" s="195"/>
      <c r="AK254" s="195"/>
      <c r="AL254" s="195"/>
      <c r="AM254" s="195"/>
      <c r="AN254" s="195"/>
      <c r="AO254" s="194"/>
      <c r="AP254" s="194"/>
      <c r="AQ254" s="194"/>
      <c r="AR254" s="120"/>
      <c r="AS254" s="120"/>
      <c r="AT254" s="120"/>
      <c r="AU254" s="120"/>
      <c r="AV254" s="120"/>
    </row>
    <row r="255" customFormat="false" ht="12.8" hidden="false" customHeight="false" outlineLevel="0" collapsed="false">
      <c r="A255" s="120"/>
      <c r="B255" s="120"/>
      <c r="C255" s="120"/>
      <c r="D255" s="120"/>
      <c r="E255" s="120"/>
      <c r="F255" s="120"/>
      <c r="G255" s="193"/>
      <c r="H255" s="193"/>
      <c r="I255" s="120"/>
      <c r="J255" s="193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  <c r="AC255" s="120"/>
      <c r="AD255" s="120"/>
      <c r="AE255" s="120"/>
      <c r="AF255" s="120"/>
      <c r="AG255" s="194"/>
      <c r="AH255" s="194"/>
      <c r="AI255" s="194"/>
      <c r="AJ255" s="195"/>
      <c r="AK255" s="195"/>
      <c r="AL255" s="195"/>
      <c r="AM255" s="195"/>
      <c r="AN255" s="195"/>
      <c r="AO255" s="194"/>
      <c r="AP255" s="194"/>
      <c r="AQ255" s="194"/>
      <c r="AR255" s="120"/>
      <c r="AS255" s="120"/>
      <c r="AT255" s="120"/>
      <c r="AU255" s="120"/>
      <c r="AV255" s="120"/>
    </row>
    <row r="256" customFormat="false" ht="12.8" hidden="false" customHeight="false" outlineLevel="0" collapsed="false">
      <c r="A256" s="120"/>
      <c r="B256" s="120"/>
      <c r="C256" s="120"/>
      <c r="D256" s="120"/>
      <c r="E256" s="120"/>
      <c r="F256" s="120"/>
      <c r="G256" s="193"/>
      <c r="H256" s="193"/>
      <c r="I256" s="120"/>
      <c r="J256" s="193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  <c r="AB256" s="120"/>
      <c r="AC256" s="120"/>
      <c r="AD256" s="120"/>
      <c r="AE256" s="120"/>
      <c r="AF256" s="120"/>
      <c r="AG256" s="194"/>
      <c r="AH256" s="194"/>
      <c r="AI256" s="194"/>
      <c r="AJ256" s="195"/>
      <c r="AK256" s="195"/>
      <c r="AL256" s="195"/>
      <c r="AM256" s="195"/>
      <c r="AN256" s="195"/>
      <c r="AO256" s="194"/>
      <c r="AP256" s="194"/>
      <c r="AQ256" s="194"/>
      <c r="AR256" s="120"/>
      <c r="AS256" s="120"/>
      <c r="AT256" s="120"/>
      <c r="AU256" s="120"/>
      <c r="AV256" s="120"/>
    </row>
    <row r="257" customFormat="false" ht="12.8" hidden="false" customHeight="false" outlineLevel="0" collapsed="false">
      <c r="A257" s="120"/>
      <c r="B257" s="120"/>
      <c r="C257" s="120"/>
      <c r="D257" s="120"/>
      <c r="E257" s="120"/>
      <c r="F257" s="120"/>
      <c r="G257" s="193"/>
      <c r="H257" s="193"/>
      <c r="I257" s="120"/>
      <c r="J257" s="193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  <c r="AA257" s="120"/>
      <c r="AB257" s="120"/>
      <c r="AC257" s="120"/>
      <c r="AD257" s="120"/>
      <c r="AE257" s="120"/>
      <c r="AF257" s="120"/>
      <c r="AG257" s="194"/>
      <c r="AH257" s="194"/>
      <c r="AI257" s="194"/>
      <c r="AJ257" s="195"/>
      <c r="AK257" s="195"/>
      <c r="AL257" s="195"/>
      <c r="AM257" s="195"/>
      <c r="AN257" s="195"/>
      <c r="AO257" s="194"/>
      <c r="AP257" s="194"/>
      <c r="AQ257" s="194"/>
      <c r="AR257" s="120"/>
      <c r="AS257" s="120"/>
      <c r="AT257" s="120"/>
      <c r="AU257" s="120"/>
      <c r="AV257" s="120"/>
    </row>
    <row r="258" customFormat="false" ht="12.8" hidden="false" customHeight="false" outlineLevel="0" collapsed="false">
      <c r="A258" s="120"/>
      <c r="B258" s="120"/>
      <c r="C258" s="120"/>
      <c r="D258" s="120"/>
      <c r="E258" s="120"/>
      <c r="F258" s="120"/>
      <c r="G258" s="193"/>
      <c r="H258" s="193"/>
      <c r="I258" s="120"/>
      <c r="J258" s="193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  <c r="AA258" s="120"/>
      <c r="AB258" s="120"/>
      <c r="AC258" s="120"/>
      <c r="AD258" s="120"/>
      <c r="AE258" s="120"/>
      <c r="AF258" s="120"/>
      <c r="AG258" s="194"/>
      <c r="AH258" s="194"/>
      <c r="AI258" s="194"/>
      <c r="AJ258" s="195"/>
      <c r="AK258" s="195"/>
      <c r="AL258" s="195"/>
      <c r="AM258" s="195"/>
      <c r="AN258" s="195"/>
      <c r="AO258" s="194"/>
      <c r="AP258" s="194"/>
      <c r="AQ258" s="194"/>
      <c r="AR258" s="120"/>
      <c r="AS258" s="120"/>
      <c r="AT258" s="120"/>
      <c r="AU258" s="120"/>
      <c r="AV258" s="120"/>
    </row>
    <row r="259" customFormat="false" ht="12.8" hidden="false" customHeight="false" outlineLevel="0" collapsed="false">
      <c r="A259" s="120"/>
      <c r="B259" s="120"/>
      <c r="C259" s="120"/>
      <c r="D259" s="120"/>
      <c r="E259" s="120"/>
      <c r="F259" s="120"/>
      <c r="G259" s="193"/>
      <c r="H259" s="193"/>
      <c r="I259" s="120"/>
      <c r="J259" s="193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  <c r="AA259" s="120"/>
      <c r="AB259" s="120"/>
      <c r="AC259" s="120"/>
      <c r="AD259" s="120"/>
      <c r="AE259" s="120"/>
      <c r="AF259" s="120"/>
      <c r="AG259" s="194"/>
      <c r="AH259" s="194"/>
      <c r="AI259" s="194"/>
      <c r="AJ259" s="195"/>
      <c r="AK259" s="195"/>
      <c r="AL259" s="195"/>
      <c r="AM259" s="195"/>
      <c r="AN259" s="195"/>
      <c r="AO259" s="194"/>
      <c r="AP259" s="194"/>
      <c r="AQ259" s="194"/>
      <c r="AR259" s="120"/>
      <c r="AS259" s="120"/>
      <c r="AT259" s="120"/>
      <c r="AU259" s="120"/>
      <c r="AV259" s="120"/>
    </row>
    <row r="260" customFormat="false" ht="12.8" hidden="false" customHeight="false" outlineLevel="0" collapsed="false">
      <c r="A260" s="120"/>
      <c r="B260" s="120"/>
      <c r="C260" s="120"/>
      <c r="D260" s="120"/>
      <c r="E260" s="120"/>
      <c r="F260" s="120"/>
      <c r="G260" s="193"/>
      <c r="H260" s="193"/>
      <c r="I260" s="120"/>
      <c r="J260" s="193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  <c r="AA260" s="120"/>
      <c r="AB260" s="120"/>
      <c r="AC260" s="120"/>
      <c r="AD260" s="120"/>
      <c r="AE260" s="120"/>
      <c r="AF260" s="120"/>
      <c r="AG260" s="194"/>
      <c r="AH260" s="194"/>
      <c r="AI260" s="194"/>
      <c r="AJ260" s="195"/>
      <c r="AK260" s="195"/>
      <c r="AL260" s="195"/>
      <c r="AM260" s="195"/>
      <c r="AN260" s="195"/>
      <c r="AO260" s="194"/>
      <c r="AP260" s="194"/>
      <c r="AQ260" s="194"/>
      <c r="AR260" s="120"/>
      <c r="AS260" s="120"/>
      <c r="AT260" s="120"/>
      <c r="AU260" s="120"/>
      <c r="AV260" s="120"/>
    </row>
    <row r="261" customFormat="false" ht="12.8" hidden="false" customHeight="false" outlineLevel="0" collapsed="false">
      <c r="A261" s="120"/>
      <c r="B261" s="120"/>
      <c r="C261" s="120"/>
      <c r="D261" s="120"/>
      <c r="E261" s="120"/>
      <c r="F261" s="120"/>
      <c r="G261" s="193"/>
      <c r="H261" s="193"/>
      <c r="I261" s="120"/>
      <c r="J261" s="193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  <c r="AB261" s="120"/>
      <c r="AC261" s="120"/>
      <c r="AD261" s="120"/>
      <c r="AE261" s="120"/>
      <c r="AF261" s="120"/>
      <c r="AG261" s="194"/>
      <c r="AH261" s="194"/>
      <c r="AI261" s="194"/>
      <c r="AJ261" s="195"/>
      <c r="AK261" s="195"/>
      <c r="AL261" s="195"/>
      <c r="AM261" s="195"/>
      <c r="AN261" s="195"/>
      <c r="AO261" s="194"/>
      <c r="AP261" s="194"/>
      <c r="AQ261" s="194"/>
      <c r="AR261" s="120"/>
      <c r="AS261" s="120"/>
      <c r="AT261" s="120"/>
      <c r="AU261" s="120"/>
      <c r="AV261" s="120"/>
    </row>
    <row r="262" customFormat="false" ht="12.8" hidden="false" customHeight="false" outlineLevel="0" collapsed="false">
      <c r="A262" s="120"/>
      <c r="B262" s="120"/>
      <c r="C262" s="120"/>
      <c r="D262" s="120"/>
      <c r="E262" s="120"/>
      <c r="F262" s="120"/>
      <c r="G262" s="193"/>
      <c r="H262" s="193"/>
      <c r="I262" s="120"/>
      <c r="J262" s="193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  <c r="AA262" s="120"/>
      <c r="AB262" s="120"/>
      <c r="AC262" s="120"/>
      <c r="AD262" s="120"/>
      <c r="AE262" s="120"/>
      <c r="AF262" s="120"/>
      <c r="AG262" s="194"/>
      <c r="AH262" s="194"/>
      <c r="AI262" s="194"/>
      <c r="AJ262" s="195"/>
      <c r="AK262" s="195"/>
      <c r="AL262" s="195"/>
      <c r="AM262" s="195"/>
      <c r="AN262" s="195"/>
      <c r="AO262" s="194"/>
      <c r="AP262" s="194"/>
      <c r="AQ262" s="194"/>
      <c r="AR262" s="120"/>
      <c r="AS262" s="120"/>
      <c r="AT262" s="120"/>
      <c r="AU262" s="120"/>
      <c r="AV262" s="120"/>
    </row>
    <row r="263" customFormat="false" ht="12.8" hidden="false" customHeight="false" outlineLevel="0" collapsed="false">
      <c r="A263" s="120"/>
      <c r="B263" s="120"/>
      <c r="C263" s="120"/>
      <c r="D263" s="120"/>
      <c r="E263" s="120"/>
      <c r="F263" s="120"/>
      <c r="G263" s="193"/>
      <c r="H263" s="193"/>
      <c r="I263" s="120"/>
      <c r="J263" s="193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  <c r="AB263" s="120"/>
      <c r="AC263" s="120"/>
      <c r="AD263" s="120"/>
      <c r="AE263" s="120"/>
      <c r="AF263" s="120"/>
      <c r="AG263" s="194"/>
      <c r="AH263" s="194"/>
      <c r="AI263" s="194"/>
      <c r="AJ263" s="195"/>
      <c r="AK263" s="195"/>
      <c r="AL263" s="195"/>
      <c r="AM263" s="195"/>
      <c r="AN263" s="195"/>
      <c r="AO263" s="194"/>
      <c r="AP263" s="194"/>
      <c r="AQ263" s="194"/>
      <c r="AR263" s="120"/>
      <c r="AS263" s="120"/>
      <c r="AT263" s="120"/>
      <c r="AU263" s="120"/>
      <c r="AV263" s="120"/>
    </row>
    <row r="264" customFormat="false" ht="12.8" hidden="false" customHeight="false" outlineLevel="0" collapsed="false">
      <c r="A264" s="120"/>
      <c r="B264" s="120"/>
      <c r="C264" s="120"/>
      <c r="D264" s="120"/>
      <c r="E264" s="120"/>
      <c r="F264" s="120"/>
      <c r="G264" s="193"/>
      <c r="H264" s="193"/>
      <c r="I264" s="120"/>
      <c r="J264" s="193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  <c r="AA264" s="120"/>
      <c r="AB264" s="120"/>
      <c r="AC264" s="120"/>
      <c r="AD264" s="120"/>
      <c r="AE264" s="120"/>
      <c r="AF264" s="120"/>
      <c r="AG264" s="194"/>
      <c r="AH264" s="194"/>
      <c r="AI264" s="194"/>
      <c r="AJ264" s="195"/>
      <c r="AK264" s="195"/>
      <c r="AL264" s="195"/>
      <c r="AM264" s="195"/>
      <c r="AN264" s="195"/>
      <c r="AO264" s="194"/>
      <c r="AP264" s="194"/>
      <c r="AQ264" s="194"/>
      <c r="AR264" s="120"/>
      <c r="AS264" s="120"/>
      <c r="AT264" s="120"/>
      <c r="AU264" s="120"/>
      <c r="AV264" s="120"/>
    </row>
    <row r="265" customFormat="false" ht="12.8" hidden="false" customHeight="false" outlineLevel="0" collapsed="false">
      <c r="A265" s="120"/>
      <c r="B265" s="120"/>
      <c r="C265" s="120"/>
      <c r="D265" s="120"/>
      <c r="E265" s="120"/>
      <c r="F265" s="120"/>
      <c r="G265" s="193"/>
      <c r="H265" s="193"/>
      <c r="I265" s="120"/>
      <c r="J265" s="193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  <c r="AA265" s="120"/>
      <c r="AB265" s="120"/>
      <c r="AC265" s="120"/>
      <c r="AD265" s="120"/>
      <c r="AE265" s="120"/>
      <c r="AF265" s="120"/>
      <c r="AG265" s="194"/>
      <c r="AH265" s="194"/>
      <c r="AI265" s="194"/>
      <c r="AJ265" s="195"/>
      <c r="AK265" s="195"/>
      <c r="AL265" s="195"/>
      <c r="AM265" s="195"/>
      <c r="AN265" s="195"/>
      <c r="AO265" s="194"/>
      <c r="AP265" s="194"/>
      <c r="AQ265" s="194"/>
      <c r="AR265" s="120"/>
      <c r="AS265" s="120"/>
      <c r="AT265" s="120"/>
      <c r="AU265" s="120"/>
      <c r="AV265" s="120"/>
    </row>
    <row r="266" customFormat="false" ht="12.8" hidden="false" customHeight="false" outlineLevel="0" collapsed="false">
      <c r="A266" s="120"/>
      <c r="B266" s="120"/>
      <c r="C266" s="120"/>
      <c r="D266" s="120"/>
      <c r="E266" s="120"/>
      <c r="F266" s="120"/>
      <c r="G266" s="193"/>
      <c r="H266" s="193"/>
      <c r="I266" s="120"/>
      <c r="J266" s="193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  <c r="AA266" s="120"/>
      <c r="AB266" s="120"/>
      <c r="AC266" s="120"/>
      <c r="AD266" s="120"/>
      <c r="AE266" s="120"/>
      <c r="AF266" s="120"/>
      <c r="AG266" s="194"/>
      <c r="AH266" s="194"/>
      <c r="AI266" s="194"/>
      <c r="AJ266" s="195"/>
      <c r="AK266" s="195"/>
      <c r="AL266" s="195"/>
      <c r="AM266" s="195"/>
      <c r="AN266" s="195"/>
      <c r="AO266" s="194"/>
      <c r="AP266" s="194"/>
      <c r="AQ266" s="194"/>
      <c r="AR266" s="120"/>
      <c r="AS266" s="120"/>
      <c r="AT266" s="120"/>
      <c r="AU266" s="120"/>
      <c r="AV266" s="120"/>
    </row>
    <row r="267" customFormat="false" ht="12.8" hidden="false" customHeight="false" outlineLevel="0" collapsed="false">
      <c r="A267" s="120"/>
      <c r="B267" s="120"/>
      <c r="C267" s="120"/>
      <c r="D267" s="120"/>
      <c r="E267" s="120"/>
      <c r="F267" s="120"/>
      <c r="G267" s="193"/>
      <c r="H267" s="193"/>
      <c r="I267" s="120"/>
      <c r="J267" s="193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  <c r="AA267" s="120"/>
      <c r="AB267" s="120"/>
      <c r="AC267" s="120"/>
      <c r="AD267" s="120"/>
      <c r="AE267" s="120"/>
      <c r="AF267" s="120"/>
      <c r="AG267" s="194"/>
      <c r="AH267" s="194"/>
      <c r="AI267" s="194"/>
      <c r="AJ267" s="195"/>
      <c r="AK267" s="195"/>
      <c r="AL267" s="195"/>
      <c r="AM267" s="195"/>
      <c r="AN267" s="195"/>
      <c r="AO267" s="194"/>
      <c r="AP267" s="194"/>
      <c r="AQ267" s="194"/>
      <c r="AR267" s="120"/>
      <c r="AS267" s="120"/>
      <c r="AT267" s="120"/>
      <c r="AU267" s="120"/>
      <c r="AV267" s="120"/>
    </row>
    <row r="268" customFormat="false" ht="12.8" hidden="false" customHeight="false" outlineLevel="0" collapsed="false">
      <c r="A268" s="120"/>
      <c r="B268" s="120"/>
      <c r="C268" s="120"/>
      <c r="D268" s="120"/>
      <c r="E268" s="120"/>
      <c r="F268" s="120"/>
      <c r="G268" s="193"/>
      <c r="H268" s="193"/>
      <c r="I268" s="120"/>
      <c r="J268" s="193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0"/>
      <c r="AD268" s="120"/>
      <c r="AE268" s="120"/>
      <c r="AF268" s="120"/>
      <c r="AG268" s="194"/>
      <c r="AH268" s="194"/>
      <c r="AI268" s="194"/>
      <c r="AJ268" s="195"/>
      <c r="AK268" s="195"/>
      <c r="AL268" s="195"/>
      <c r="AM268" s="195"/>
      <c r="AN268" s="195"/>
      <c r="AO268" s="194"/>
      <c r="AP268" s="194"/>
      <c r="AQ268" s="194"/>
      <c r="AR268" s="120"/>
      <c r="AS268" s="120"/>
      <c r="AT268" s="120"/>
      <c r="AU268" s="120"/>
      <c r="AV268" s="120"/>
    </row>
    <row r="269" customFormat="false" ht="12.8" hidden="false" customHeight="false" outlineLevel="0" collapsed="false">
      <c r="A269" s="120"/>
      <c r="B269" s="120"/>
      <c r="C269" s="120"/>
      <c r="D269" s="120"/>
      <c r="E269" s="120"/>
      <c r="F269" s="120"/>
      <c r="G269" s="193"/>
      <c r="H269" s="193"/>
      <c r="I269" s="120"/>
      <c r="J269" s="193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  <c r="AC269" s="120"/>
      <c r="AD269" s="120"/>
      <c r="AE269" s="120"/>
      <c r="AF269" s="120"/>
      <c r="AG269" s="194"/>
      <c r="AH269" s="194"/>
      <c r="AI269" s="194"/>
      <c r="AJ269" s="195"/>
      <c r="AK269" s="195"/>
      <c r="AL269" s="195"/>
      <c r="AM269" s="195"/>
      <c r="AN269" s="195"/>
      <c r="AO269" s="194"/>
      <c r="AP269" s="194"/>
      <c r="AQ269" s="194"/>
      <c r="AR269" s="120"/>
      <c r="AS269" s="120"/>
      <c r="AT269" s="120"/>
      <c r="AU269" s="120"/>
      <c r="AV269" s="120"/>
    </row>
    <row r="270" customFormat="false" ht="12.8" hidden="false" customHeight="false" outlineLevel="0" collapsed="false">
      <c r="A270" s="120"/>
      <c r="B270" s="120"/>
      <c r="C270" s="120"/>
      <c r="D270" s="120"/>
      <c r="E270" s="120"/>
      <c r="F270" s="120"/>
      <c r="G270" s="193"/>
      <c r="H270" s="193"/>
      <c r="I270" s="120"/>
      <c r="J270" s="193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  <c r="AC270" s="120"/>
      <c r="AD270" s="120"/>
      <c r="AE270" s="120"/>
      <c r="AF270" s="120"/>
      <c r="AG270" s="194"/>
      <c r="AH270" s="194"/>
      <c r="AI270" s="194"/>
      <c r="AJ270" s="195"/>
      <c r="AK270" s="195"/>
      <c r="AL270" s="195"/>
      <c r="AM270" s="195"/>
      <c r="AN270" s="195"/>
      <c r="AO270" s="194"/>
      <c r="AP270" s="194"/>
      <c r="AQ270" s="194"/>
      <c r="AR270" s="120"/>
      <c r="AS270" s="120"/>
      <c r="AT270" s="120"/>
      <c r="AU270" s="120"/>
      <c r="AV270" s="120"/>
    </row>
    <row r="271" customFormat="false" ht="12.8" hidden="false" customHeight="false" outlineLevel="0" collapsed="false">
      <c r="A271" s="120"/>
      <c r="B271" s="120"/>
      <c r="C271" s="120"/>
      <c r="D271" s="120"/>
      <c r="E271" s="120"/>
      <c r="F271" s="120"/>
      <c r="G271" s="193"/>
      <c r="H271" s="193"/>
      <c r="I271" s="120"/>
      <c r="J271" s="193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  <c r="AB271" s="120"/>
      <c r="AC271" s="120"/>
      <c r="AD271" s="120"/>
      <c r="AE271" s="120"/>
      <c r="AF271" s="120"/>
      <c r="AG271" s="194"/>
      <c r="AH271" s="194"/>
      <c r="AI271" s="194"/>
      <c r="AJ271" s="195"/>
      <c r="AK271" s="195"/>
      <c r="AL271" s="195"/>
      <c r="AM271" s="195"/>
      <c r="AN271" s="195"/>
      <c r="AO271" s="194"/>
      <c r="AP271" s="194"/>
      <c r="AQ271" s="194"/>
      <c r="AR271" s="120"/>
      <c r="AS271" s="120"/>
      <c r="AT271" s="120"/>
      <c r="AU271" s="120"/>
      <c r="AV271" s="120"/>
    </row>
    <row r="272" customFormat="false" ht="12.8" hidden="false" customHeight="false" outlineLevel="0" collapsed="false">
      <c r="A272" s="120"/>
      <c r="B272" s="120"/>
      <c r="C272" s="120"/>
      <c r="D272" s="120"/>
      <c r="E272" s="120"/>
      <c r="F272" s="120"/>
      <c r="G272" s="193"/>
      <c r="H272" s="193"/>
      <c r="I272" s="120"/>
      <c r="J272" s="193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  <c r="AC272" s="120"/>
      <c r="AD272" s="120"/>
      <c r="AE272" s="120"/>
      <c r="AF272" s="120"/>
      <c r="AG272" s="194"/>
      <c r="AH272" s="194"/>
      <c r="AI272" s="194"/>
      <c r="AJ272" s="195"/>
      <c r="AK272" s="195"/>
      <c r="AL272" s="195"/>
      <c r="AM272" s="195"/>
      <c r="AN272" s="195"/>
      <c r="AO272" s="194"/>
      <c r="AP272" s="194"/>
      <c r="AQ272" s="194"/>
      <c r="AR272" s="120"/>
      <c r="AS272" s="120"/>
      <c r="AT272" s="120"/>
      <c r="AU272" s="120"/>
      <c r="AV272" s="120"/>
    </row>
    <row r="273" customFormat="false" ht="12.8" hidden="false" customHeight="false" outlineLevel="0" collapsed="false">
      <c r="A273" s="120"/>
      <c r="B273" s="120"/>
      <c r="C273" s="120"/>
      <c r="D273" s="120"/>
      <c r="E273" s="120"/>
      <c r="F273" s="120"/>
      <c r="G273" s="193"/>
      <c r="H273" s="193"/>
      <c r="I273" s="120"/>
      <c r="J273" s="193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  <c r="AB273" s="120"/>
      <c r="AC273" s="120"/>
      <c r="AD273" s="120"/>
      <c r="AE273" s="120"/>
      <c r="AF273" s="120"/>
      <c r="AG273" s="194"/>
      <c r="AH273" s="194"/>
      <c r="AI273" s="194"/>
      <c r="AJ273" s="195"/>
      <c r="AK273" s="195"/>
      <c r="AL273" s="195"/>
      <c r="AM273" s="195"/>
      <c r="AN273" s="195"/>
      <c r="AO273" s="194"/>
      <c r="AP273" s="194"/>
      <c r="AQ273" s="194"/>
      <c r="AR273" s="120"/>
      <c r="AS273" s="120"/>
      <c r="AT273" s="120"/>
      <c r="AU273" s="120"/>
      <c r="AV273" s="120"/>
    </row>
    <row r="274" customFormat="false" ht="12.8" hidden="false" customHeight="false" outlineLevel="0" collapsed="false">
      <c r="A274" s="120"/>
      <c r="B274" s="120"/>
      <c r="C274" s="120"/>
      <c r="D274" s="120"/>
      <c r="E274" s="120"/>
      <c r="F274" s="120"/>
      <c r="G274" s="193"/>
      <c r="H274" s="193"/>
      <c r="I274" s="120"/>
      <c r="J274" s="193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  <c r="AB274" s="120"/>
      <c r="AC274" s="120"/>
      <c r="AD274" s="120"/>
      <c r="AE274" s="120"/>
      <c r="AF274" s="120"/>
      <c r="AG274" s="194"/>
      <c r="AH274" s="194"/>
      <c r="AI274" s="194"/>
      <c r="AJ274" s="195"/>
      <c r="AK274" s="195"/>
      <c r="AL274" s="195"/>
      <c r="AM274" s="195"/>
      <c r="AN274" s="195"/>
      <c r="AO274" s="194"/>
      <c r="AP274" s="194"/>
      <c r="AQ274" s="194"/>
      <c r="AR274" s="120"/>
      <c r="AS274" s="120"/>
      <c r="AT274" s="120"/>
      <c r="AU274" s="120"/>
      <c r="AV274" s="120"/>
    </row>
    <row r="275" customFormat="false" ht="12.8" hidden="false" customHeight="false" outlineLevel="0" collapsed="false">
      <c r="A275" s="120"/>
      <c r="B275" s="120"/>
      <c r="C275" s="120"/>
      <c r="D275" s="120"/>
      <c r="E275" s="120"/>
      <c r="F275" s="120"/>
      <c r="G275" s="193"/>
      <c r="H275" s="193"/>
      <c r="I275" s="120"/>
      <c r="J275" s="193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94"/>
      <c r="AH275" s="194"/>
      <c r="AI275" s="194"/>
      <c r="AJ275" s="195"/>
      <c r="AK275" s="195"/>
      <c r="AL275" s="195"/>
      <c r="AM275" s="195"/>
      <c r="AN275" s="195"/>
      <c r="AO275" s="194"/>
      <c r="AP275" s="194"/>
      <c r="AQ275" s="194"/>
      <c r="AR275" s="120"/>
      <c r="AS275" s="120"/>
      <c r="AT275" s="120"/>
      <c r="AU275" s="120"/>
      <c r="AV275" s="120"/>
    </row>
    <row r="276" customFormat="false" ht="12.8" hidden="false" customHeight="false" outlineLevel="0" collapsed="false">
      <c r="A276" s="120"/>
      <c r="B276" s="120"/>
      <c r="C276" s="120"/>
      <c r="D276" s="120"/>
      <c r="E276" s="120"/>
      <c r="F276" s="120"/>
      <c r="G276" s="193"/>
      <c r="H276" s="193"/>
      <c r="I276" s="120"/>
      <c r="J276" s="193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94"/>
      <c r="AH276" s="194"/>
      <c r="AI276" s="194"/>
      <c r="AJ276" s="195"/>
      <c r="AK276" s="195"/>
      <c r="AL276" s="195"/>
      <c r="AM276" s="195"/>
      <c r="AN276" s="195"/>
      <c r="AO276" s="194"/>
      <c r="AP276" s="194"/>
      <c r="AQ276" s="194"/>
      <c r="AR276" s="120"/>
      <c r="AS276" s="120"/>
      <c r="AT276" s="120"/>
      <c r="AU276" s="120"/>
      <c r="AV276" s="120"/>
    </row>
    <row r="277" customFormat="false" ht="12.8" hidden="false" customHeight="false" outlineLevel="0" collapsed="false">
      <c r="A277" s="120"/>
      <c r="B277" s="120"/>
      <c r="C277" s="120"/>
      <c r="D277" s="120"/>
      <c r="E277" s="120"/>
      <c r="F277" s="120"/>
      <c r="G277" s="193"/>
      <c r="H277" s="193"/>
      <c r="I277" s="120"/>
      <c r="J277" s="193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94"/>
      <c r="AH277" s="194"/>
      <c r="AI277" s="194"/>
      <c r="AJ277" s="195"/>
      <c r="AK277" s="195"/>
      <c r="AL277" s="195"/>
      <c r="AM277" s="195"/>
      <c r="AN277" s="195"/>
      <c r="AO277" s="194"/>
      <c r="AP277" s="194"/>
      <c r="AQ277" s="194"/>
      <c r="AR277" s="120"/>
      <c r="AS277" s="120"/>
      <c r="AT277" s="120"/>
      <c r="AU277" s="120"/>
      <c r="AV277" s="120"/>
    </row>
    <row r="278" customFormat="false" ht="12.8" hidden="false" customHeight="false" outlineLevel="0" collapsed="false">
      <c r="A278" s="120"/>
      <c r="B278" s="120"/>
      <c r="C278" s="120"/>
      <c r="D278" s="120"/>
      <c r="E278" s="120"/>
      <c r="F278" s="120"/>
      <c r="G278" s="193"/>
      <c r="H278" s="193"/>
      <c r="I278" s="120"/>
      <c r="J278" s="193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94"/>
      <c r="AH278" s="194"/>
      <c r="AI278" s="194"/>
      <c r="AJ278" s="195"/>
      <c r="AK278" s="195"/>
      <c r="AL278" s="195"/>
      <c r="AM278" s="195"/>
      <c r="AN278" s="195"/>
      <c r="AO278" s="194"/>
      <c r="AP278" s="194"/>
      <c r="AQ278" s="194"/>
      <c r="AR278" s="120"/>
      <c r="AS278" s="120"/>
      <c r="AT278" s="120"/>
      <c r="AU278" s="120"/>
      <c r="AV278" s="120"/>
    </row>
    <row r="279" customFormat="false" ht="12.8" hidden="false" customHeight="false" outlineLevel="0" collapsed="false">
      <c r="A279" s="120"/>
      <c r="B279" s="120"/>
      <c r="C279" s="120"/>
      <c r="D279" s="120"/>
      <c r="E279" s="120"/>
      <c r="F279" s="120"/>
      <c r="G279" s="193"/>
      <c r="H279" s="193"/>
      <c r="I279" s="120"/>
      <c r="J279" s="193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94"/>
      <c r="AH279" s="194"/>
      <c r="AI279" s="194"/>
      <c r="AJ279" s="195"/>
      <c r="AK279" s="195"/>
      <c r="AL279" s="195"/>
      <c r="AM279" s="195"/>
      <c r="AN279" s="195"/>
      <c r="AO279" s="194"/>
      <c r="AP279" s="194"/>
      <c r="AQ279" s="194"/>
      <c r="AR279" s="120"/>
      <c r="AS279" s="120"/>
      <c r="AT279" s="120"/>
      <c r="AU279" s="120"/>
      <c r="AV279" s="120"/>
    </row>
    <row r="280" customFormat="false" ht="12.8" hidden="false" customHeight="false" outlineLevel="0" collapsed="false">
      <c r="A280" s="120"/>
      <c r="B280" s="120"/>
      <c r="C280" s="120"/>
      <c r="D280" s="120"/>
      <c r="E280" s="120"/>
      <c r="F280" s="120"/>
      <c r="G280" s="193"/>
      <c r="H280" s="193"/>
      <c r="I280" s="120"/>
      <c r="J280" s="193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94"/>
      <c r="AH280" s="194"/>
      <c r="AI280" s="194"/>
      <c r="AJ280" s="195"/>
      <c r="AK280" s="195"/>
      <c r="AL280" s="195"/>
      <c r="AM280" s="195"/>
      <c r="AN280" s="195"/>
      <c r="AO280" s="194"/>
      <c r="AP280" s="194"/>
      <c r="AQ280" s="194"/>
      <c r="AR280" s="120"/>
      <c r="AS280" s="120"/>
      <c r="AT280" s="120"/>
      <c r="AU280" s="120"/>
      <c r="AV280" s="120"/>
    </row>
    <row r="281" customFormat="false" ht="12.8" hidden="false" customHeight="false" outlineLevel="0" collapsed="false">
      <c r="A281" s="120"/>
      <c r="B281" s="120"/>
      <c r="C281" s="120"/>
      <c r="D281" s="120"/>
      <c r="E281" s="120"/>
      <c r="F281" s="120"/>
      <c r="G281" s="193"/>
      <c r="H281" s="193"/>
      <c r="I281" s="120"/>
      <c r="J281" s="193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94"/>
      <c r="AH281" s="194"/>
      <c r="AI281" s="194"/>
      <c r="AJ281" s="195"/>
      <c r="AK281" s="195"/>
      <c r="AL281" s="195"/>
      <c r="AM281" s="195"/>
      <c r="AN281" s="195"/>
      <c r="AO281" s="194"/>
      <c r="AP281" s="194"/>
      <c r="AQ281" s="194"/>
      <c r="AR281" s="120"/>
      <c r="AS281" s="120"/>
      <c r="AT281" s="120"/>
      <c r="AU281" s="120"/>
      <c r="AV281" s="120"/>
    </row>
    <row r="282" customFormat="false" ht="12.8" hidden="false" customHeight="false" outlineLevel="0" collapsed="false">
      <c r="A282" s="120"/>
      <c r="B282" s="120"/>
      <c r="C282" s="120"/>
      <c r="D282" s="120"/>
      <c r="E282" s="120"/>
      <c r="F282" s="120"/>
      <c r="G282" s="193"/>
      <c r="H282" s="193"/>
      <c r="I282" s="120"/>
      <c r="J282" s="193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94"/>
      <c r="AH282" s="194"/>
      <c r="AI282" s="194"/>
      <c r="AJ282" s="195"/>
      <c r="AK282" s="195"/>
      <c r="AL282" s="195"/>
      <c r="AM282" s="195"/>
      <c r="AN282" s="195"/>
      <c r="AO282" s="194"/>
      <c r="AP282" s="194"/>
      <c r="AQ282" s="194"/>
      <c r="AR282" s="120"/>
      <c r="AS282" s="120"/>
      <c r="AT282" s="120"/>
      <c r="AU282" s="120"/>
      <c r="AV282" s="120"/>
    </row>
    <row r="283" customFormat="false" ht="12.8" hidden="false" customHeight="false" outlineLevel="0" collapsed="false">
      <c r="A283" s="120"/>
      <c r="B283" s="120"/>
      <c r="C283" s="120"/>
      <c r="D283" s="120"/>
      <c r="E283" s="120"/>
      <c r="F283" s="120"/>
      <c r="G283" s="193"/>
      <c r="H283" s="193"/>
      <c r="I283" s="120"/>
      <c r="J283" s="193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94"/>
      <c r="AH283" s="194"/>
      <c r="AI283" s="194"/>
      <c r="AJ283" s="195"/>
      <c r="AK283" s="195"/>
      <c r="AL283" s="195"/>
      <c r="AM283" s="195"/>
      <c r="AN283" s="195"/>
      <c r="AO283" s="194"/>
      <c r="AP283" s="194"/>
      <c r="AQ283" s="194"/>
      <c r="AR283" s="120"/>
      <c r="AS283" s="120"/>
      <c r="AT283" s="120"/>
      <c r="AU283" s="120"/>
      <c r="AV283" s="120"/>
    </row>
    <row r="284" customFormat="false" ht="12.8" hidden="false" customHeight="false" outlineLevel="0" collapsed="false">
      <c r="A284" s="120"/>
      <c r="B284" s="120"/>
      <c r="C284" s="120"/>
      <c r="D284" s="120"/>
      <c r="E284" s="120"/>
      <c r="F284" s="120"/>
      <c r="G284" s="193"/>
      <c r="H284" s="193"/>
      <c r="I284" s="120"/>
      <c r="J284" s="193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94"/>
      <c r="AH284" s="194"/>
      <c r="AI284" s="194"/>
      <c r="AJ284" s="195"/>
      <c r="AK284" s="195"/>
      <c r="AL284" s="195"/>
      <c r="AM284" s="195"/>
      <c r="AN284" s="195"/>
      <c r="AO284" s="194"/>
      <c r="AP284" s="194"/>
      <c r="AQ284" s="194"/>
      <c r="AR284" s="120"/>
      <c r="AS284" s="120"/>
      <c r="AT284" s="120"/>
      <c r="AU284" s="120"/>
      <c r="AV284" s="120"/>
    </row>
    <row r="285" customFormat="false" ht="12.8" hidden="false" customHeight="false" outlineLevel="0" collapsed="false">
      <c r="A285" s="120"/>
      <c r="B285" s="120"/>
      <c r="C285" s="120"/>
      <c r="D285" s="120"/>
      <c r="E285" s="120"/>
      <c r="F285" s="120"/>
      <c r="G285" s="193"/>
      <c r="H285" s="193"/>
      <c r="I285" s="120"/>
      <c r="J285" s="193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94"/>
      <c r="AH285" s="194"/>
      <c r="AI285" s="194"/>
      <c r="AJ285" s="195"/>
      <c r="AK285" s="195"/>
      <c r="AL285" s="195"/>
      <c r="AM285" s="195"/>
      <c r="AN285" s="195"/>
      <c r="AO285" s="194"/>
      <c r="AP285" s="194"/>
      <c r="AQ285" s="194"/>
      <c r="AR285" s="120"/>
      <c r="AS285" s="120"/>
      <c r="AT285" s="120"/>
      <c r="AU285" s="120"/>
      <c r="AV285" s="120"/>
    </row>
    <row r="286" customFormat="false" ht="12.8" hidden="false" customHeight="false" outlineLevel="0" collapsed="false">
      <c r="A286" s="120"/>
      <c r="B286" s="120"/>
      <c r="C286" s="120"/>
      <c r="D286" s="120"/>
      <c r="E286" s="120"/>
      <c r="F286" s="120"/>
      <c r="G286" s="193"/>
      <c r="H286" s="193"/>
      <c r="I286" s="120"/>
      <c r="J286" s="193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94"/>
      <c r="AH286" s="194"/>
      <c r="AI286" s="194"/>
      <c r="AJ286" s="195"/>
      <c r="AK286" s="195"/>
      <c r="AL286" s="195"/>
      <c r="AM286" s="195"/>
      <c r="AN286" s="195"/>
      <c r="AO286" s="194"/>
      <c r="AP286" s="194"/>
      <c r="AQ286" s="194"/>
      <c r="AR286" s="120"/>
      <c r="AS286" s="120"/>
      <c r="AT286" s="120"/>
      <c r="AU286" s="120"/>
      <c r="AV286" s="120"/>
    </row>
    <row r="287" customFormat="false" ht="12.8" hidden="false" customHeight="false" outlineLevel="0" collapsed="false">
      <c r="A287" s="120"/>
      <c r="B287" s="120"/>
      <c r="C287" s="120"/>
      <c r="D287" s="120"/>
      <c r="E287" s="120"/>
      <c r="F287" s="120"/>
      <c r="G287" s="193"/>
      <c r="H287" s="193"/>
      <c r="I287" s="120"/>
      <c r="J287" s="193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94"/>
      <c r="AH287" s="194"/>
      <c r="AI287" s="194"/>
      <c r="AJ287" s="195"/>
      <c r="AK287" s="195"/>
      <c r="AL287" s="195"/>
      <c r="AM287" s="195"/>
      <c r="AN287" s="195"/>
      <c r="AO287" s="194"/>
      <c r="AP287" s="194"/>
      <c r="AQ287" s="194"/>
      <c r="AR287" s="120"/>
      <c r="AS287" s="120"/>
      <c r="AT287" s="120"/>
      <c r="AU287" s="120"/>
      <c r="AV287" s="120"/>
    </row>
    <row r="288" customFormat="false" ht="12.8" hidden="false" customHeight="false" outlineLevel="0" collapsed="false">
      <c r="A288" s="120"/>
      <c r="B288" s="120"/>
      <c r="C288" s="120"/>
      <c r="D288" s="120"/>
      <c r="E288" s="120"/>
      <c r="F288" s="120"/>
      <c r="G288" s="193"/>
      <c r="H288" s="193"/>
      <c r="I288" s="120"/>
      <c r="J288" s="193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94"/>
      <c r="AH288" s="194"/>
      <c r="AI288" s="194"/>
      <c r="AJ288" s="195"/>
      <c r="AK288" s="195"/>
      <c r="AL288" s="195"/>
      <c r="AM288" s="195"/>
      <c r="AN288" s="195"/>
      <c r="AO288" s="194"/>
      <c r="AP288" s="194"/>
      <c r="AQ288" s="194"/>
      <c r="AR288" s="120"/>
      <c r="AS288" s="120"/>
      <c r="AT288" s="120"/>
      <c r="AU288" s="120"/>
      <c r="AV288" s="120"/>
    </row>
    <row r="289" customFormat="false" ht="12.8" hidden="false" customHeight="false" outlineLevel="0" collapsed="false">
      <c r="A289" s="120"/>
      <c r="B289" s="120"/>
      <c r="C289" s="120"/>
      <c r="D289" s="120"/>
      <c r="E289" s="120"/>
      <c r="F289" s="120"/>
      <c r="G289" s="193"/>
      <c r="H289" s="193"/>
      <c r="I289" s="120"/>
      <c r="J289" s="193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94"/>
      <c r="AH289" s="194"/>
      <c r="AI289" s="194"/>
      <c r="AJ289" s="195"/>
      <c r="AK289" s="195"/>
      <c r="AL289" s="195"/>
      <c r="AM289" s="195"/>
      <c r="AN289" s="195"/>
      <c r="AO289" s="194"/>
      <c r="AP289" s="194"/>
      <c r="AQ289" s="194"/>
      <c r="AR289" s="120"/>
      <c r="AS289" s="120"/>
      <c r="AT289" s="120"/>
      <c r="AU289" s="120"/>
      <c r="AV289" s="120"/>
    </row>
    <row r="290" customFormat="false" ht="12.8" hidden="false" customHeight="false" outlineLevel="0" collapsed="false">
      <c r="A290" s="120"/>
      <c r="B290" s="120"/>
      <c r="C290" s="120"/>
      <c r="D290" s="120"/>
      <c r="E290" s="120"/>
      <c r="F290" s="120"/>
      <c r="G290" s="193"/>
      <c r="H290" s="193"/>
      <c r="I290" s="120"/>
      <c r="J290" s="193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94"/>
      <c r="AH290" s="194"/>
      <c r="AI290" s="194"/>
      <c r="AJ290" s="195"/>
      <c r="AK290" s="195"/>
      <c r="AL290" s="195"/>
      <c r="AM290" s="195"/>
      <c r="AN290" s="195"/>
      <c r="AO290" s="194"/>
      <c r="AP290" s="194"/>
      <c r="AQ290" s="194"/>
      <c r="AR290" s="120"/>
      <c r="AS290" s="120"/>
      <c r="AT290" s="120"/>
      <c r="AU290" s="120"/>
      <c r="AV290" s="120"/>
    </row>
    <row r="291" customFormat="false" ht="12.8" hidden="false" customHeight="false" outlineLevel="0" collapsed="false">
      <c r="A291" s="120"/>
      <c r="B291" s="120"/>
      <c r="C291" s="120"/>
      <c r="D291" s="120"/>
      <c r="E291" s="120"/>
      <c r="F291" s="120"/>
      <c r="G291" s="193"/>
      <c r="H291" s="193"/>
      <c r="I291" s="120"/>
      <c r="J291" s="193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94"/>
      <c r="AH291" s="194"/>
      <c r="AI291" s="194"/>
      <c r="AJ291" s="195"/>
      <c r="AK291" s="195"/>
      <c r="AL291" s="195"/>
      <c r="AM291" s="195"/>
      <c r="AN291" s="195"/>
      <c r="AO291" s="194"/>
      <c r="AP291" s="194"/>
      <c r="AQ291" s="194"/>
      <c r="AR291" s="120"/>
      <c r="AS291" s="120"/>
      <c r="AT291" s="120"/>
      <c r="AU291" s="120"/>
      <c r="AV291" s="120"/>
    </row>
    <row r="292" customFormat="false" ht="12.8" hidden="false" customHeight="false" outlineLevel="0" collapsed="false">
      <c r="A292" s="120"/>
      <c r="B292" s="120"/>
      <c r="C292" s="120"/>
      <c r="D292" s="120"/>
      <c r="E292" s="120"/>
      <c r="F292" s="120"/>
      <c r="G292" s="193"/>
      <c r="H292" s="193"/>
      <c r="I292" s="120"/>
      <c r="J292" s="193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94"/>
      <c r="AH292" s="194"/>
      <c r="AI292" s="194"/>
      <c r="AJ292" s="195"/>
      <c r="AK292" s="195"/>
      <c r="AL292" s="195"/>
      <c r="AM292" s="195"/>
      <c r="AN292" s="195"/>
      <c r="AO292" s="194"/>
      <c r="AP292" s="194"/>
      <c r="AQ292" s="194"/>
      <c r="AR292" s="120"/>
      <c r="AS292" s="120"/>
      <c r="AT292" s="120"/>
      <c r="AU292" s="120"/>
      <c r="AV292" s="120"/>
    </row>
    <row r="293" customFormat="false" ht="12.8" hidden="false" customHeight="false" outlineLevel="0" collapsed="false">
      <c r="A293" s="120"/>
      <c r="B293" s="120"/>
      <c r="C293" s="120"/>
      <c r="D293" s="120"/>
      <c r="E293" s="120"/>
      <c r="F293" s="120"/>
      <c r="G293" s="193"/>
      <c r="H293" s="193"/>
      <c r="I293" s="120"/>
      <c r="J293" s="193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  <c r="AA293" s="120"/>
      <c r="AB293" s="120"/>
      <c r="AC293" s="120"/>
      <c r="AD293" s="120"/>
      <c r="AE293" s="120"/>
      <c r="AF293" s="120"/>
      <c r="AG293" s="194"/>
      <c r="AH293" s="194"/>
      <c r="AI293" s="194"/>
      <c r="AJ293" s="195"/>
      <c r="AK293" s="195"/>
      <c r="AL293" s="195"/>
      <c r="AM293" s="195"/>
      <c r="AN293" s="195"/>
      <c r="AO293" s="194"/>
      <c r="AP293" s="194"/>
      <c r="AQ293" s="194"/>
      <c r="AR293" s="120"/>
      <c r="AS293" s="120"/>
      <c r="AT293" s="120"/>
      <c r="AU293" s="120"/>
      <c r="AV293" s="120"/>
    </row>
    <row r="294" customFormat="false" ht="12.8" hidden="false" customHeight="false" outlineLevel="0" collapsed="false">
      <c r="A294" s="120"/>
      <c r="B294" s="120"/>
      <c r="C294" s="120"/>
      <c r="D294" s="120"/>
      <c r="E294" s="120"/>
      <c r="F294" s="120"/>
      <c r="G294" s="193"/>
      <c r="H294" s="193"/>
      <c r="I294" s="120"/>
      <c r="J294" s="193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  <c r="AA294" s="120"/>
      <c r="AB294" s="120"/>
      <c r="AC294" s="120"/>
      <c r="AD294" s="120"/>
      <c r="AE294" s="120"/>
      <c r="AF294" s="120"/>
      <c r="AG294" s="194"/>
      <c r="AH294" s="194"/>
      <c r="AI294" s="194"/>
      <c r="AJ294" s="195"/>
      <c r="AK294" s="195"/>
      <c r="AL294" s="195"/>
      <c r="AM294" s="195"/>
      <c r="AN294" s="195"/>
      <c r="AO294" s="194"/>
      <c r="AP294" s="194"/>
      <c r="AQ294" s="194"/>
      <c r="AR294" s="120"/>
      <c r="AS294" s="120"/>
      <c r="AT294" s="120"/>
      <c r="AU294" s="120"/>
      <c r="AV294" s="120"/>
    </row>
  </sheetData>
  <mergeCells count="13">
    <mergeCell ref="M1:T1"/>
    <mergeCell ref="U1:AD1"/>
    <mergeCell ref="AE1:AQ1"/>
    <mergeCell ref="AR1:AV1"/>
    <mergeCell ref="N2:Q2"/>
    <mergeCell ref="U2:V2"/>
    <mergeCell ref="W2:X2"/>
    <mergeCell ref="Y2:AC2"/>
    <mergeCell ref="AG2:AI2"/>
    <mergeCell ref="AM2:AN2"/>
    <mergeCell ref="AO2:AQ2"/>
    <mergeCell ref="AR2:AS2"/>
    <mergeCell ref="AT2:AV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P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10.73046875" defaultRowHeight="12.8" zeroHeight="false" outlineLevelRow="0" outlineLevelCol="0"/>
  <cols>
    <col collapsed="false" customWidth="true" hidden="false" outlineLevel="0" max="2" min="1" style="0" width="13.86"/>
    <col collapsed="false" customWidth="true" hidden="false" outlineLevel="0" max="4" min="3" style="0" width="21.43"/>
    <col collapsed="false" customWidth="true" hidden="false" outlineLevel="0" max="5" min="5" style="0" width="12.6"/>
    <col collapsed="false" customWidth="true" hidden="false" outlineLevel="0" max="6" min="6" style="0" width="15.12"/>
    <col collapsed="false" customWidth="true" hidden="false" outlineLevel="0" max="7" min="7" style="0" width="21.43"/>
    <col collapsed="false" customWidth="true" hidden="false" outlineLevel="0" max="8" min="8" style="0" width="12.6"/>
    <col collapsed="false" customWidth="true" hidden="false" outlineLevel="0" max="9" min="9" style="0" width="15.12"/>
    <col collapsed="false" customWidth="true" hidden="false" outlineLevel="0" max="10" min="10" style="0" width="10.08"/>
    <col collapsed="false" customWidth="true" hidden="false" outlineLevel="0" max="11" min="11" style="0" width="17.64"/>
    <col collapsed="false" customWidth="true" hidden="false" outlineLevel="0" max="13" min="12" style="0" width="12.6"/>
    <col collapsed="false" customWidth="true" hidden="false" outlineLevel="0" max="21" min="14" style="0" width="10.08"/>
    <col collapsed="false" customWidth="true" hidden="false" outlineLevel="0" max="22" min="22" style="0" width="20.17"/>
    <col collapsed="false" customWidth="true" hidden="false" outlineLevel="0" max="24" min="23" style="0" width="10.08"/>
    <col collapsed="false" customWidth="true" hidden="false" outlineLevel="0" max="25" min="25" style="0" width="12.6"/>
    <col collapsed="false" customWidth="true" hidden="false" outlineLevel="0" max="26" min="26" style="0" width="11.34"/>
    <col collapsed="false" customWidth="true" hidden="false" outlineLevel="0" max="27" min="27" style="0" width="12.6"/>
    <col collapsed="false" customWidth="true" hidden="false" outlineLevel="0" max="28" min="28" style="0" width="26.47"/>
    <col collapsed="false" customWidth="true" hidden="false" outlineLevel="0" max="29" min="29" style="0" width="15.12"/>
    <col collapsed="false" customWidth="true" hidden="false" outlineLevel="0" max="32" min="30" style="0" width="10.08"/>
    <col collapsed="false" customWidth="true" hidden="false" outlineLevel="0" max="33" min="33" style="0" width="37.81"/>
    <col collapsed="false" customWidth="true" hidden="false" outlineLevel="0" max="34" min="34" style="0" width="15.12"/>
    <col collapsed="false" customWidth="true" hidden="false" outlineLevel="0" max="35" min="35" style="0" width="10.08"/>
    <col collapsed="false" customWidth="true" hidden="false" outlineLevel="0" max="36" min="36" style="0" width="12.6"/>
    <col collapsed="false" customWidth="true" hidden="false" outlineLevel="0" max="38" min="37" style="0" width="13.86"/>
    <col collapsed="false" customWidth="true" hidden="false" outlineLevel="0" max="40" min="39" style="0" width="11.34"/>
    <col collapsed="false" customWidth="true" hidden="false" outlineLevel="0" max="41" min="41" style="0" width="15.12"/>
    <col collapsed="false" customWidth="true" hidden="false" outlineLevel="0" max="44" min="42" style="0" width="10.08"/>
    <col collapsed="false" customWidth="true" hidden="false" outlineLevel="0" max="47" min="45" style="0" width="11.34"/>
    <col collapsed="false" customWidth="true" hidden="false" outlineLevel="0" max="48" min="48" style="0" width="15.12"/>
    <col collapsed="false" customWidth="true" hidden="false" outlineLevel="0" max="53" min="49" style="0" width="10.08"/>
    <col collapsed="false" customWidth="true" hidden="false" outlineLevel="0" max="54" min="54" style="0" width="11.34"/>
    <col collapsed="false" customWidth="true" hidden="false" outlineLevel="0" max="55" min="55" style="0" width="15.12"/>
    <col collapsed="false" customWidth="true" hidden="false" outlineLevel="0" max="56" min="56" style="0" width="10.08"/>
    <col collapsed="false" customWidth="true" hidden="false" outlineLevel="0" max="61" min="57" style="0" width="11.34"/>
    <col collapsed="false" customWidth="true" hidden="false" outlineLevel="0" max="62" min="62" style="0" width="15.12"/>
    <col collapsed="false" customWidth="true" hidden="false" outlineLevel="0" max="63" min="63" style="0" width="10.08"/>
    <col collapsed="false" customWidth="true" hidden="false" outlineLevel="0" max="64" min="64" style="0" width="12.6"/>
    <col collapsed="false" customWidth="true" hidden="false" outlineLevel="0" max="65" min="65" style="0" width="10.08"/>
    <col collapsed="false" customWidth="true" hidden="false" outlineLevel="0" max="66" min="66" style="0" width="12.6"/>
    <col collapsed="false" customWidth="true" hidden="false" outlineLevel="0" max="68" min="67" style="0" width="11.34"/>
    <col collapsed="false" customWidth="true" hidden="false" outlineLevel="0" max="69" min="69" style="0" width="15.12"/>
    <col collapsed="false" customWidth="true" hidden="false" outlineLevel="0" max="70" min="70" style="0" width="10.08"/>
    <col collapsed="false" customWidth="true" hidden="false" outlineLevel="0" max="72" min="71" style="0" width="12.6"/>
    <col collapsed="false" customWidth="true" hidden="false" outlineLevel="0" max="73" min="73" style="0" width="13.86"/>
    <col collapsed="false" customWidth="true" hidden="false" outlineLevel="0" max="75" min="74" style="0" width="11.34"/>
    <col collapsed="false" customWidth="true" hidden="false" outlineLevel="0" max="76" min="76" style="0" width="15.12"/>
    <col collapsed="false" customWidth="true" hidden="false" outlineLevel="0" max="77" min="77" style="0" width="10.08"/>
    <col collapsed="false" customWidth="true" hidden="false" outlineLevel="0" max="78" min="78" style="0" width="23.95"/>
    <col collapsed="false" customWidth="true" hidden="false" outlineLevel="0" max="79" min="79" style="0" width="15.12"/>
    <col collapsed="false" customWidth="true" hidden="false" outlineLevel="0" max="81" min="80" style="0" width="10.08"/>
    <col collapsed="false" customWidth="true" hidden="false" outlineLevel="0" max="85" min="82" style="0" width="11.34"/>
    <col collapsed="false" customWidth="true" hidden="false" outlineLevel="0" max="86" min="86" style="0" width="15.12"/>
    <col collapsed="false" customWidth="true" hidden="false" outlineLevel="0" max="92" min="87" style="0" width="10.08"/>
    <col collapsed="false" customWidth="true" hidden="false" outlineLevel="0" max="93" min="93" style="0" width="15.12"/>
    <col collapsed="false" customWidth="true" hidden="false" outlineLevel="0" max="95" min="94" style="0" width="10.08"/>
    <col collapsed="false" customWidth="true" hidden="false" outlineLevel="0" max="99" min="96" style="0" width="11.34"/>
    <col collapsed="false" customWidth="true" hidden="false" outlineLevel="0" max="100" min="100" style="0" width="15.12"/>
    <col collapsed="false" customWidth="true" hidden="false" outlineLevel="0" max="102" min="101" style="0" width="10.08"/>
    <col collapsed="false" customWidth="true" hidden="false" outlineLevel="0" max="106" min="103" style="0" width="8.82"/>
    <col collapsed="false" customWidth="true" hidden="false" outlineLevel="0" max="107" min="107" style="0" width="15.12"/>
    <col collapsed="false" customWidth="true" hidden="false" outlineLevel="0" max="109" min="108" style="0" width="10.08"/>
    <col collapsed="false" customWidth="true" hidden="false" outlineLevel="0" max="113" min="110" style="0" width="11.34"/>
    <col collapsed="false" customWidth="true" hidden="false" outlineLevel="0" max="114" min="114" style="0" width="15.12"/>
    <col collapsed="false" customWidth="true" hidden="false" outlineLevel="0" max="119" min="115" style="0" width="10.08"/>
    <col collapsed="false" customWidth="true" hidden="false" outlineLevel="0" max="120" min="120" style="0" width="11.34"/>
  </cols>
  <sheetData>
    <row r="1" customFormat="false" ht="12.8" hidden="false" customHeight="false" outlineLevel="0" collapsed="false">
      <c r="A1" s="120"/>
      <c r="B1" s="120"/>
      <c r="C1" s="120"/>
      <c r="D1" s="120"/>
      <c r="E1" s="120"/>
      <c r="F1" s="120"/>
      <c r="G1" s="196"/>
      <c r="H1" s="143"/>
      <c r="I1" s="196"/>
      <c r="J1" s="196"/>
      <c r="K1" s="196"/>
      <c r="L1" s="4"/>
      <c r="M1" s="4"/>
      <c r="N1" s="3"/>
      <c r="O1" s="3"/>
      <c r="P1" s="3"/>
      <c r="Q1" s="3"/>
      <c r="R1" s="3"/>
      <c r="S1" s="4"/>
      <c r="T1" s="4"/>
      <c r="U1" s="4"/>
      <c r="V1" s="3"/>
      <c r="W1" s="3"/>
      <c r="X1" s="3"/>
      <c r="Y1" s="3"/>
      <c r="Z1" s="4"/>
      <c r="AA1" s="4"/>
      <c r="AB1" s="4"/>
      <c r="AC1" s="4"/>
      <c r="AD1" s="4"/>
      <c r="AE1" s="4"/>
      <c r="AF1" s="4"/>
      <c r="AG1" s="4"/>
      <c r="AH1" s="10" t="s">
        <v>1051</v>
      </c>
      <c r="AI1" s="10"/>
      <c r="AJ1" s="10"/>
      <c r="AK1" s="10"/>
      <c r="AL1" s="10"/>
      <c r="AM1" s="10"/>
      <c r="AN1" s="10"/>
      <c r="AO1" s="144"/>
      <c r="AP1" s="6"/>
      <c r="AQ1" s="6"/>
      <c r="AR1" s="6"/>
      <c r="AS1" s="6"/>
      <c r="AT1" s="6"/>
      <c r="AU1" s="6"/>
      <c r="AV1" s="144"/>
      <c r="AW1" s="6"/>
      <c r="AX1" s="6"/>
      <c r="AY1" s="6"/>
      <c r="AZ1" s="6"/>
      <c r="BA1" s="6"/>
      <c r="BB1" s="6"/>
      <c r="BC1" s="4"/>
      <c r="BD1" s="4"/>
      <c r="BE1" s="4"/>
      <c r="BF1" s="4"/>
      <c r="BG1" s="4"/>
      <c r="BH1" s="4"/>
      <c r="BI1" s="4"/>
      <c r="BJ1" s="10" t="s">
        <v>1052</v>
      </c>
      <c r="BK1" s="10"/>
      <c r="BL1" s="10"/>
      <c r="BM1" s="10"/>
      <c r="BN1" s="10"/>
      <c r="BO1" s="10"/>
      <c r="BP1" s="10"/>
      <c r="BQ1" s="10" t="s">
        <v>1053</v>
      </c>
      <c r="BR1" s="10"/>
      <c r="BS1" s="10"/>
      <c r="BT1" s="10"/>
      <c r="BU1" s="10"/>
      <c r="BV1" s="10"/>
      <c r="BW1" s="10"/>
      <c r="BX1" s="4"/>
      <c r="BY1" s="4"/>
      <c r="BZ1" s="4"/>
      <c r="CA1" s="10" t="s">
        <v>1054</v>
      </c>
      <c r="CB1" s="10"/>
      <c r="CC1" s="10"/>
      <c r="CD1" s="10"/>
      <c r="CE1" s="10"/>
      <c r="CF1" s="10"/>
      <c r="CG1" s="10"/>
      <c r="CH1" s="4"/>
      <c r="CI1" s="4"/>
      <c r="CJ1" s="4"/>
      <c r="CK1" s="4"/>
      <c r="CL1" s="4"/>
      <c r="CM1" s="4"/>
      <c r="CN1" s="4"/>
      <c r="CO1" s="10" t="s">
        <v>1055</v>
      </c>
      <c r="CP1" s="10"/>
      <c r="CQ1" s="10"/>
      <c r="CR1" s="10"/>
      <c r="CS1" s="10"/>
      <c r="CT1" s="10"/>
      <c r="CU1" s="10"/>
      <c r="CV1" s="4"/>
      <c r="CW1" s="4"/>
      <c r="CX1" s="4"/>
      <c r="CY1" s="4"/>
      <c r="CZ1" s="4"/>
      <c r="DA1" s="4"/>
      <c r="DB1" s="4"/>
      <c r="DC1" s="144"/>
      <c r="DD1" s="4"/>
      <c r="DE1" s="4"/>
      <c r="DF1" s="4"/>
      <c r="DG1" s="4"/>
      <c r="DH1" s="4"/>
      <c r="DI1" s="4"/>
      <c r="DJ1" s="144"/>
      <c r="DK1" s="4"/>
      <c r="DL1" s="4"/>
      <c r="DM1" s="4"/>
      <c r="DN1" s="4"/>
      <c r="DO1" s="4"/>
      <c r="DP1" s="4"/>
    </row>
    <row r="2" customFormat="false" ht="12.8" hidden="false" customHeight="false" outlineLevel="0" collapsed="false">
      <c r="A2" s="120"/>
      <c r="B2" s="120"/>
      <c r="C2" s="120"/>
      <c r="D2" s="120"/>
      <c r="E2" s="120"/>
      <c r="F2" s="120"/>
      <c r="G2" s="196"/>
      <c r="H2" s="143"/>
      <c r="I2" s="196"/>
      <c r="J2" s="196"/>
      <c r="K2" s="196"/>
      <c r="L2" s="4"/>
      <c r="M2" s="4"/>
      <c r="N2" s="3"/>
      <c r="O2" s="3"/>
      <c r="P2" s="3"/>
      <c r="Q2" s="3"/>
      <c r="R2" s="3"/>
      <c r="S2" s="4"/>
      <c r="T2" s="4"/>
      <c r="U2" s="4"/>
      <c r="V2" s="3"/>
      <c r="W2" s="3"/>
      <c r="X2" s="3"/>
      <c r="Y2" s="3"/>
      <c r="Z2" s="10" t="s">
        <v>346</v>
      </c>
      <c r="AA2" s="10"/>
      <c r="AB2" s="10"/>
      <c r="AC2" s="10"/>
      <c r="AD2" s="10"/>
      <c r="AE2" s="10"/>
      <c r="AF2" s="10"/>
      <c r="AG2" s="10"/>
      <c r="AH2" s="11" t="s">
        <v>511</v>
      </c>
      <c r="AI2" s="11"/>
      <c r="AJ2" s="11"/>
      <c r="AK2" s="11"/>
      <c r="AL2" s="11"/>
      <c r="AM2" s="11"/>
      <c r="AN2" s="11"/>
      <c r="AO2" s="145" t="s">
        <v>1056</v>
      </c>
      <c r="AP2" s="145"/>
      <c r="AQ2" s="145"/>
      <c r="AR2" s="145"/>
      <c r="AS2" s="145"/>
      <c r="AT2" s="145"/>
      <c r="AU2" s="145"/>
      <c r="AV2" s="145" t="s">
        <v>1057</v>
      </c>
      <c r="AW2" s="145"/>
      <c r="AX2" s="145"/>
      <c r="AY2" s="145"/>
      <c r="AZ2" s="145"/>
      <c r="BA2" s="145"/>
      <c r="BB2" s="145"/>
      <c r="BC2" s="10" t="s">
        <v>1058</v>
      </c>
      <c r="BD2" s="10"/>
      <c r="BE2" s="10"/>
      <c r="BF2" s="10"/>
      <c r="BG2" s="10"/>
      <c r="BH2" s="10"/>
      <c r="BI2" s="10"/>
      <c r="BJ2" s="11" t="s">
        <v>1059</v>
      </c>
      <c r="BK2" s="11"/>
      <c r="BL2" s="11"/>
      <c r="BM2" s="11"/>
      <c r="BN2" s="11"/>
      <c r="BO2" s="11"/>
      <c r="BP2" s="11"/>
      <c r="BQ2" s="10" t="s">
        <v>1060</v>
      </c>
      <c r="BR2" s="10"/>
      <c r="BS2" s="10"/>
      <c r="BT2" s="10"/>
      <c r="BU2" s="10"/>
      <c r="BV2" s="10"/>
      <c r="BW2" s="10"/>
      <c r="BX2" s="166" t="s">
        <v>1061</v>
      </c>
      <c r="BY2" s="166"/>
      <c r="BZ2" s="166"/>
      <c r="CA2" s="10" t="s">
        <v>1062</v>
      </c>
      <c r="CB2" s="10"/>
      <c r="CC2" s="10"/>
      <c r="CD2" s="10"/>
      <c r="CE2" s="10"/>
      <c r="CF2" s="10"/>
      <c r="CG2" s="10"/>
      <c r="CH2" s="10" t="s">
        <v>1063</v>
      </c>
      <c r="CI2" s="10"/>
      <c r="CJ2" s="10"/>
      <c r="CK2" s="10"/>
      <c r="CL2" s="10"/>
      <c r="CM2" s="10"/>
      <c r="CN2" s="10"/>
      <c r="CO2" s="10" t="s">
        <v>1064</v>
      </c>
      <c r="CP2" s="10"/>
      <c r="CQ2" s="10"/>
      <c r="CR2" s="10"/>
      <c r="CS2" s="10"/>
      <c r="CT2" s="10"/>
      <c r="CU2" s="10"/>
      <c r="CV2" s="10" t="s">
        <v>1065</v>
      </c>
      <c r="CW2" s="10"/>
      <c r="CX2" s="10"/>
      <c r="CY2" s="10"/>
      <c r="CZ2" s="10"/>
      <c r="DA2" s="10"/>
      <c r="DB2" s="10"/>
      <c r="DC2" s="145" t="s">
        <v>1066</v>
      </c>
      <c r="DD2" s="145"/>
      <c r="DE2" s="145"/>
      <c r="DF2" s="145"/>
      <c r="DG2" s="145"/>
      <c r="DH2" s="145"/>
      <c r="DI2" s="145"/>
      <c r="DJ2" s="145" t="s">
        <v>1067</v>
      </c>
      <c r="DK2" s="145"/>
      <c r="DL2" s="145"/>
      <c r="DM2" s="145"/>
      <c r="DN2" s="145"/>
      <c r="DO2" s="145"/>
      <c r="DP2" s="145"/>
    </row>
    <row r="3" customFormat="false" ht="12.8" hidden="false" customHeight="false" outlineLevel="0" collapsed="false">
      <c r="A3" s="120"/>
      <c r="B3" s="120"/>
      <c r="C3" s="120"/>
      <c r="D3" s="120"/>
      <c r="E3" s="120"/>
      <c r="F3" s="120"/>
      <c r="G3" s="196"/>
      <c r="H3" s="143"/>
      <c r="I3" s="196"/>
      <c r="J3" s="196"/>
      <c r="K3" s="196"/>
      <c r="L3" s="4"/>
      <c r="M3" s="4"/>
      <c r="N3" s="197" t="s">
        <v>56</v>
      </c>
      <c r="O3" s="197"/>
      <c r="P3" s="197"/>
      <c r="Q3" s="197"/>
      <c r="R3" s="197"/>
      <c r="S3" s="10" t="s">
        <v>5</v>
      </c>
      <c r="T3" s="10"/>
      <c r="U3" s="10"/>
      <c r="V3" s="3"/>
      <c r="W3" s="7" t="s">
        <v>1068</v>
      </c>
      <c r="X3" s="7"/>
      <c r="Y3" s="7"/>
      <c r="Z3" s="52"/>
      <c r="AA3" s="52"/>
      <c r="AB3" s="52"/>
      <c r="AC3" s="52"/>
      <c r="AD3" s="10" t="s">
        <v>353</v>
      </c>
      <c r="AE3" s="10"/>
      <c r="AF3" s="10"/>
      <c r="AG3" s="146"/>
      <c r="AH3" s="11" t="s">
        <v>355</v>
      </c>
      <c r="AI3" s="11"/>
      <c r="AJ3" s="10" t="s">
        <v>356</v>
      </c>
      <c r="AK3" s="10"/>
      <c r="AL3" s="10"/>
      <c r="AM3" s="10"/>
      <c r="AN3" s="10"/>
      <c r="AO3" s="145" t="s">
        <v>355</v>
      </c>
      <c r="AP3" s="145"/>
      <c r="AQ3" s="145" t="s">
        <v>356</v>
      </c>
      <c r="AR3" s="145"/>
      <c r="AS3" s="145"/>
      <c r="AT3" s="145"/>
      <c r="AU3" s="145"/>
      <c r="AV3" s="145" t="s">
        <v>355</v>
      </c>
      <c r="AW3" s="145"/>
      <c r="AX3" s="145" t="s">
        <v>356</v>
      </c>
      <c r="AY3" s="145"/>
      <c r="AZ3" s="145"/>
      <c r="BA3" s="145"/>
      <c r="BB3" s="145"/>
      <c r="BC3" s="10" t="s">
        <v>355</v>
      </c>
      <c r="BD3" s="10"/>
      <c r="BE3" s="10" t="s">
        <v>356</v>
      </c>
      <c r="BF3" s="10"/>
      <c r="BG3" s="10"/>
      <c r="BH3" s="10"/>
      <c r="BI3" s="10"/>
      <c r="BJ3" s="11" t="s">
        <v>355</v>
      </c>
      <c r="BK3" s="11"/>
      <c r="BL3" s="10" t="s">
        <v>356</v>
      </c>
      <c r="BM3" s="10"/>
      <c r="BN3" s="10"/>
      <c r="BO3" s="10"/>
      <c r="BP3" s="10"/>
      <c r="BQ3" s="10" t="s">
        <v>355</v>
      </c>
      <c r="BR3" s="10"/>
      <c r="BS3" s="10" t="s">
        <v>356</v>
      </c>
      <c r="BT3" s="10"/>
      <c r="BU3" s="10"/>
      <c r="BV3" s="10"/>
      <c r="BW3" s="10"/>
      <c r="BX3" s="11" t="s">
        <v>355</v>
      </c>
      <c r="BY3" s="11"/>
      <c r="BZ3" s="9" t="s">
        <v>356</v>
      </c>
      <c r="CA3" s="10" t="s">
        <v>355</v>
      </c>
      <c r="CB3" s="10"/>
      <c r="CC3" s="10" t="s">
        <v>356</v>
      </c>
      <c r="CD3" s="10"/>
      <c r="CE3" s="10"/>
      <c r="CF3" s="10"/>
      <c r="CG3" s="10"/>
      <c r="CH3" s="10" t="s">
        <v>355</v>
      </c>
      <c r="CI3" s="10"/>
      <c r="CJ3" s="10" t="s">
        <v>356</v>
      </c>
      <c r="CK3" s="10"/>
      <c r="CL3" s="10"/>
      <c r="CM3" s="10"/>
      <c r="CN3" s="10"/>
      <c r="CO3" s="10" t="s">
        <v>355</v>
      </c>
      <c r="CP3" s="10"/>
      <c r="CQ3" s="10" t="s">
        <v>356</v>
      </c>
      <c r="CR3" s="10"/>
      <c r="CS3" s="10"/>
      <c r="CT3" s="10"/>
      <c r="CU3" s="10"/>
      <c r="CV3" s="10" t="s">
        <v>355</v>
      </c>
      <c r="CW3" s="10"/>
      <c r="CX3" s="10" t="s">
        <v>356</v>
      </c>
      <c r="CY3" s="10"/>
      <c r="CZ3" s="10"/>
      <c r="DA3" s="10"/>
      <c r="DB3" s="10"/>
      <c r="DC3" s="145" t="s">
        <v>355</v>
      </c>
      <c r="DD3" s="145"/>
      <c r="DE3" s="198" t="s">
        <v>356</v>
      </c>
      <c r="DF3" s="198"/>
      <c r="DG3" s="198"/>
      <c r="DH3" s="198"/>
      <c r="DI3" s="198"/>
      <c r="DJ3" s="145" t="s">
        <v>355</v>
      </c>
      <c r="DK3" s="145"/>
      <c r="DL3" s="198" t="s">
        <v>356</v>
      </c>
      <c r="DM3" s="198"/>
      <c r="DN3" s="198"/>
      <c r="DO3" s="198"/>
      <c r="DP3" s="198"/>
    </row>
    <row r="4" customFormat="false" ht="12.8" hidden="false" customHeight="false" outlineLevel="0" collapsed="false">
      <c r="A4" s="16" t="s">
        <v>12</v>
      </c>
      <c r="B4" s="16" t="s">
        <v>13</v>
      </c>
      <c r="C4" s="16" t="s">
        <v>14</v>
      </c>
      <c r="D4" s="16" t="s">
        <v>15</v>
      </c>
      <c r="E4" s="16" t="s">
        <v>16</v>
      </c>
      <c r="F4" s="16" t="s">
        <v>17</v>
      </c>
      <c r="G4" s="147" t="s">
        <v>357</v>
      </c>
      <c r="H4" s="148" t="s">
        <v>540</v>
      </c>
      <c r="I4" s="21" t="s">
        <v>433</v>
      </c>
      <c r="J4" s="21" t="s">
        <v>434</v>
      </c>
      <c r="K4" s="199" t="s">
        <v>358</v>
      </c>
      <c r="L4" s="21" t="s">
        <v>359</v>
      </c>
      <c r="M4" s="21" t="s">
        <v>360</v>
      </c>
      <c r="N4" s="200" t="s">
        <v>22</v>
      </c>
      <c r="O4" s="200" t="s">
        <v>1069</v>
      </c>
      <c r="P4" s="200" t="s">
        <v>73</v>
      </c>
      <c r="Q4" s="200" t="s">
        <v>21</v>
      </c>
      <c r="R4" s="200" t="s">
        <v>1070</v>
      </c>
      <c r="S4" s="173" t="s">
        <v>20</v>
      </c>
      <c r="T4" s="173" t="s">
        <v>21</v>
      </c>
      <c r="U4" s="174" t="s">
        <v>22</v>
      </c>
      <c r="V4" s="17" t="s">
        <v>1071</v>
      </c>
      <c r="W4" s="17" t="s">
        <v>1072</v>
      </c>
      <c r="X4" s="17" t="s">
        <v>1073</v>
      </c>
      <c r="Y4" s="17" t="s">
        <v>51</v>
      </c>
      <c r="Z4" s="148" t="s">
        <v>15</v>
      </c>
      <c r="AA4" s="148" t="s">
        <v>361</v>
      </c>
      <c r="AB4" s="148" t="s">
        <v>362</v>
      </c>
      <c r="AC4" s="148" t="s">
        <v>363</v>
      </c>
      <c r="AD4" s="148" t="s">
        <v>364</v>
      </c>
      <c r="AE4" s="148" t="s">
        <v>365</v>
      </c>
      <c r="AF4" s="148" t="s">
        <v>366</v>
      </c>
      <c r="AG4" s="147" t="s">
        <v>367</v>
      </c>
      <c r="AH4" s="172" t="s">
        <v>369</v>
      </c>
      <c r="AI4" s="173" t="s">
        <v>370</v>
      </c>
      <c r="AJ4" s="201" t="s">
        <v>371</v>
      </c>
      <c r="AK4" s="201" t="s">
        <v>372</v>
      </c>
      <c r="AL4" s="201" t="s">
        <v>373</v>
      </c>
      <c r="AM4" s="201" t="s">
        <v>374</v>
      </c>
      <c r="AN4" s="201" t="s">
        <v>439</v>
      </c>
      <c r="AO4" s="105" t="s">
        <v>369</v>
      </c>
      <c r="AP4" s="108" t="s">
        <v>370</v>
      </c>
      <c r="AQ4" s="39" t="s">
        <v>371</v>
      </c>
      <c r="AR4" s="39" t="s">
        <v>372</v>
      </c>
      <c r="AS4" s="39" t="s">
        <v>373</v>
      </c>
      <c r="AT4" s="39" t="s">
        <v>374</v>
      </c>
      <c r="AU4" s="39" t="s">
        <v>439</v>
      </c>
      <c r="AV4" s="105" t="s">
        <v>369</v>
      </c>
      <c r="AW4" s="108" t="s">
        <v>370</v>
      </c>
      <c r="AX4" s="39" t="s">
        <v>371</v>
      </c>
      <c r="AY4" s="39" t="s">
        <v>372</v>
      </c>
      <c r="AZ4" s="39" t="s">
        <v>373</v>
      </c>
      <c r="BA4" s="39" t="s">
        <v>374</v>
      </c>
      <c r="BB4" s="39" t="s">
        <v>439</v>
      </c>
      <c r="BC4" s="148" t="s">
        <v>369</v>
      </c>
      <c r="BD4" s="148" t="s">
        <v>370</v>
      </c>
      <c r="BE4" s="150" t="s">
        <v>371</v>
      </c>
      <c r="BF4" s="150" t="s">
        <v>372</v>
      </c>
      <c r="BG4" s="150" t="s">
        <v>373</v>
      </c>
      <c r="BH4" s="150" t="s">
        <v>374</v>
      </c>
      <c r="BI4" s="150" t="s">
        <v>439</v>
      </c>
      <c r="BJ4" s="17" t="s">
        <v>369</v>
      </c>
      <c r="BK4" s="148" t="s">
        <v>370</v>
      </c>
      <c r="BL4" s="150" t="s">
        <v>371</v>
      </c>
      <c r="BM4" s="150" t="s">
        <v>372</v>
      </c>
      <c r="BN4" s="150" t="s">
        <v>373</v>
      </c>
      <c r="BO4" s="150" t="s">
        <v>374</v>
      </c>
      <c r="BP4" s="150" t="s">
        <v>439</v>
      </c>
      <c r="BQ4" s="148" t="s">
        <v>369</v>
      </c>
      <c r="BR4" s="148" t="s">
        <v>370</v>
      </c>
      <c r="BS4" s="150" t="s">
        <v>371</v>
      </c>
      <c r="BT4" s="150" t="s">
        <v>372</v>
      </c>
      <c r="BU4" s="150" t="s">
        <v>373</v>
      </c>
      <c r="BV4" s="150" t="s">
        <v>374</v>
      </c>
      <c r="BW4" s="150" t="s">
        <v>439</v>
      </c>
      <c r="BX4" s="17" t="s">
        <v>369</v>
      </c>
      <c r="BY4" s="148" t="s">
        <v>370</v>
      </c>
      <c r="BZ4" s="150" t="s">
        <v>371</v>
      </c>
      <c r="CA4" s="17" t="s">
        <v>369</v>
      </c>
      <c r="CB4" s="148" t="s">
        <v>370</v>
      </c>
      <c r="CC4" s="150" t="s">
        <v>371</v>
      </c>
      <c r="CD4" s="150" t="s">
        <v>372</v>
      </c>
      <c r="CE4" s="150" t="s">
        <v>373</v>
      </c>
      <c r="CF4" s="150" t="s">
        <v>374</v>
      </c>
      <c r="CG4" s="150" t="s">
        <v>439</v>
      </c>
      <c r="CH4" s="17" t="s">
        <v>369</v>
      </c>
      <c r="CI4" s="148" t="s">
        <v>370</v>
      </c>
      <c r="CJ4" s="150" t="s">
        <v>371</v>
      </c>
      <c r="CK4" s="150" t="s">
        <v>372</v>
      </c>
      <c r="CL4" s="150" t="s">
        <v>373</v>
      </c>
      <c r="CM4" s="150" t="s">
        <v>374</v>
      </c>
      <c r="CN4" s="150" t="s">
        <v>439</v>
      </c>
      <c r="CO4" s="148" t="s">
        <v>369</v>
      </c>
      <c r="CP4" s="148" t="s">
        <v>370</v>
      </c>
      <c r="CQ4" s="150" t="s">
        <v>371</v>
      </c>
      <c r="CR4" s="150" t="s">
        <v>372</v>
      </c>
      <c r="CS4" s="150" t="s">
        <v>373</v>
      </c>
      <c r="CT4" s="150" t="s">
        <v>374</v>
      </c>
      <c r="CU4" s="150" t="s">
        <v>439</v>
      </c>
      <c r="CV4" s="148" t="s">
        <v>369</v>
      </c>
      <c r="CW4" s="148" t="s">
        <v>370</v>
      </c>
      <c r="CX4" s="150" t="s">
        <v>371</v>
      </c>
      <c r="CY4" s="150" t="s">
        <v>372</v>
      </c>
      <c r="CZ4" s="150" t="s">
        <v>373</v>
      </c>
      <c r="DA4" s="150" t="s">
        <v>374</v>
      </c>
      <c r="DB4" s="150" t="s">
        <v>439</v>
      </c>
      <c r="DC4" s="105" t="s">
        <v>369</v>
      </c>
      <c r="DD4" s="108" t="s">
        <v>370</v>
      </c>
      <c r="DE4" s="39" t="s">
        <v>371</v>
      </c>
      <c r="DF4" s="39" t="s">
        <v>372</v>
      </c>
      <c r="DG4" s="39" t="s">
        <v>373</v>
      </c>
      <c r="DH4" s="39" t="s">
        <v>374</v>
      </c>
      <c r="DI4" s="39" t="s">
        <v>439</v>
      </c>
      <c r="DJ4" s="105" t="s">
        <v>369</v>
      </c>
      <c r="DK4" s="108" t="s">
        <v>370</v>
      </c>
      <c r="DL4" s="39" t="s">
        <v>371</v>
      </c>
      <c r="DM4" s="39" t="s">
        <v>372</v>
      </c>
      <c r="DN4" s="39" t="s">
        <v>373</v>
      </c>
      <c r="DO4" s="39" t="s">
        <v>374</v>
      </c>
      <c r="DP4" s="39" t="s">
        <v>439</v>
      </c>
    </row>
    <row r="5" customFormat="false" ht="12.8" hidden="false" customHeight="false" outlineLevel="0" collapsed="false">
      <c r="A5" s="16" t="s">
        <v>52</v>
      </c>
      <c r="B5" s="17" t="s">
        <v>81</v>
      </c>
      <c r="C5" s="17" t="s">
        <v>185</v>
      </c>
      <c r="D5" s="16" t="s">
        <v>186</v>
      </c>
      <c r="E5" s="156" t="s">
        <v>89</v>
      </c>
      <c r="F5" s="202" t="s">
        <v>153</v>
      </c>
      <c r="G5" s="154" t="s">
        <v>1074</v>
      </c>
      <c r="H5" s="148" t="s">
        <v>92</v>
      </c>
      <c r="I5" s="16"/>
      <c r="J5" s="130"/>
      <c r="K5" s="128" t="n">
        <v>3500</v>
      </c>
      <c r="L5" s="203" t="n">
        <v>4</v>
      </c>
      <c r="M5" s="203" t="n">
        <f aca="false">IF(AA5,1,0)+AI5+AP5+AW5+BD5+BK5+BR5+BY5+CB5+CI5+CP5+CW5+DD5+DK5</f>
        <v>0</v>
      </c>
      <c r="N5" s="204" t="n">
        <v>1</v>
      </c>
      <c r="O5" s="204"/>
      <c r="P5" s="204"/>
      <c r="Q5" s="204"/>
      <c r="R5" s="204"/>
      <c r="S5" s="20"/>
      <c r="T5" s="20"/>
      <c r="U5" s="20" t="n">
        <v>1512</v>
      </c>
      <c r="V5" s="204"/>
      <c r="W5" s="204"/>
      <c r="X5" s="204"/>
      <c r="Y5" s="204"/>
      <c r="Z5" s="160"/>
      <c r="AA5" s="20"/>
      <c r="AB5" s="20"/>
      <c r="AC5" s="20"/>
      <c r="AD5" s="20"/>
      <c r="AE5" s="20"/>
      <c r="AF5" s="20"/>
      <c r="AG5" s="201"/>
      <c r="AH5" s="128" t="n">
        <v>10</v>
      </c>
      <c r="AI5" s="128" t="n">
        <v>1</v>
      </c>
      <c r="AJ5" s="131" t="s">
        <v>633</v>
      </c>
      <c r="AK5" s="131" t="s">
        <v>634</v>
      </c>
      <c r="AL5" s="131" t="s">
        <v>635</v>
      </c>
      <c r="AM5" s="131" t="s">
        <v>636</v>
      </c>
      <c r="AN5" s="131" t="s">
        <v>563</v>
      </c>
      <c r="AO5" s="131"/>
      <c r="AP5" s="128"/>
      <c r="AQ5" s="131"/>
      <c r="AR5" s="131"/>
      <c r="AS5" s="131"/>
      <c r="AT5" s="131"/>
      <c r="AU5" s="131"/>
      <c r="AV5" s="131"/>
      <c r="AW5" s="128"/>
      <c r="AX5" s="131"/>
      <c r="AY5" s="131"/>
      <c r="AZ5" s="131"/>
      <c r="BA5" s="131"/>
      <c r="BB5" s="131"/>
      <c r="BC5" s="131"/>
      <c r="BD5" s="128"/>
      <c r="BE5" s="131"/>
      <c r="BF5" s="131"/>
      <c r="BG5" s="131"/>
      <c r="BH5" s="131"/>
      <c r="BI5" s="131"/>
      <c r="BJ5" s="128" t="n">
        <v>10</v>
      </c>
      <c r="BK5" s="128" t="n">
        <v>1</v>
      </c>
      <c r="BL5" s="131" t="s">
        <v>381</v>
      </c>
      <c r="BM5" s="131" t="s">
        <v>382</v>
      </c>
      <c r="BN5" s="131" t="s">
        <v>383</v>
      </c>
      <c r="BO5" s="131" t="s">
        <v>384</v>
      </c>
      <c r="BP5" s="131" t="s">
        <v>399</v>
      </c>
      <c r="BQ5" s="128" t="n">
        <v>10</v>
      </c>
      <c r="BR5" s="128" t="n">
        <v>2</v>
      </c>
      <c r="BS5" s="131" t="s">
        <v>572</v>
      </c>
      <c r="BT5" s="131" t="s">
        <v>383</v>
      </c>
      <c r="BU5" s="131" t="s">
        <v>573</v>
      </c>
      <c r="BV5" s="131" t="s">
        <v>574</v>
      </c>
      <c r="BW5" s="131" t="s">
        <v>378</v>
      </c>
      <c r="BX5" s="131"/>
      <c r="BY5" s="131"/>
      <c r="BZ5" s="131"/>
      <c r="CA5" s="128" t="n">
        <v>10</v>
      </c>
      <c r="CB5" s="128" t="n">
        <v>1</v>
      </c>
      <c r="CC5" s="131" t="s">
        <v>382</v>
      </c>
      <c r="CD5" s="131" t="s">
        <v>384</v>
      </c>
      <c r="CE5" s="131" t="s">
        <v>574</v>
      </c>
      <c r="CF5" s="131" t="s">
        <v>616</v>
      </c>
      <c r="CG5" s="131" t="s">
        <v>615</v>
      </c>
      <c r="CH5" s="131"/>
      <c r="CI5" s="131"/>
      <c r="CJ5" s="131"/>
      <c r="CK5" s="131"/>
      <c r="CL5" s="131"/>
      <c r="CM5" s="131"/>
      <c r="CN5" s="131"/>
      <c r="CO5" s="128" t="n">
        <v>10</v>
      </c>
      <c r="CP5" s="128" t="n">
        <v>1</v>
      </c>
      <c r="CQ5" s="131" t="s">
        <v>382</v>
      </c>
      <c r="CR5" s="131" t="s">
        <v>384</v>
      </c>
      <c r="CS5" s="131" t="s">
        <v>574</v>
      </c>
      <c r="CT5" s="131" t="s">
        <v>616</v>
      </c>
      <c r="CU5" s="131" t="s">
        <v>615</v>
      </c>
      <c r="CV5" s="131"/>
      <c r="CW5" s="131"/>
      <c r="CX5" s="131"/>
      <c r="CY5" s="131"/>
      <c r="CZ5" s="131"/>
      <c r="DA5" s="131"/>
      <c r="DB5" s="131"/>
      <c r="DC5" s="131"/>
      <c r="DD5" s="128"/>
      <c r="DE5" s="131"/>
      <c r="DF5" s="131"/>
      <c r="DG5" s="131"/>
      <c r="DH5" s="131"/>
      <c r="DI5" s="131"/>
      <c r="DJ5" s="131"/>
      <c r="DK5" s="128"/>
      <c r="DL5" s="131"/>
      <c r="DM5" s="131"/>
      <c r="DN5" s="131"/>
      <c r="DO5" s="131"/>
      <c r="DP5" s="131"/>
    </row>
    <row r="6" customFormat="false" ht="12.8" hidden="false" customHeight="false" outlineLevel="0" collapsed="false">
      <c r="A6" s="16" t="s">
        <v>52</v>
      </c>
      <c r="B6" s="17" t="s">
        <v>81</v>
      </c>
      <c r="C6" s="17" t="s">
        <v>171</v>
      </c>
      <c r="D6" s="16" t="s">
        <v>172</v>
      </c>
      <c r="E6" s="156" t="s">
        <v>89</v>
      </c>
      <c r="F6" s="202" t="s">
        <v>139</v>
      </c>
      <c r="G6" s="154" t="s">
        <v>1075</v>
      </c>
      <c r="H6" s="148" t="s">
        <v>92</v>
      </c>
      <c r="I6" s="16"/>
      <c r="J6" s="130"/>
      <c r="K6" s="128" t="n">
        <v>3500</v>
      </c>
      <c r="L6" s="128" t="n">
        <v>5</v>
      </c>
      <c r="M6" s="203" t="n">
        <f aca="false">IF(AA6,1,0)+AI6+AP6+AW6+BD6+BK6+BR6+BY6+CB6+CI6+CP6+CW6+DD6+DK6</f>
        <v>0</v>
      </c>
      <c r="N6" s="204"/>
      <c r="O6" s="204" t="n">
        <v>4</v>
      </c>
      <c r="P6" s="204"/>
      <c r="Q6" s="204"/>
      <c r="R6" s="204"/>
      <c r="S6" s="20" t="n">
        <v>5600</v>
      </c>
      <c r="T6" s="20"/>
      <c r="U6" s="20" t="n">
        <v>1120</v>
      </c>
      <c r="V6" s="204"/>
      <c r="W6" s="204"/>
      <c r="X6" s="204"/>
      <c r="Y6" s="204"/>
      <c r="Z6" s="23" t="s">
        <v>593</v>
      </c>
      <c r="AA6" s="128" t="n">
        <v>18</v>
      </c>
      <c r="AB6" s="21" t="s">
        <v>594</v>
      </c>
      <c r="AC6" s="128"/>
      <c r="AD6" s="128"/>
      <c r="AE6" s="128"/>
      <c r="AF6" s="128"/>
      <c r="AG6" s="205" t="s">
        <v>1076</v>
      </c>
      <c r="AH6" s="128" t="n">
        <v>12</v>
      </c>
      <c r="AI6" s="128" t="n">
        <v>1</v>
      </c>
      <c r="AJ6" s="131" t="s">
        <v>633</v>
      </c>
      <c r="AK6" s="131" t="s">
        <v>634</v>
      </c>
      <c r="AL6" s="131" t="s">
        <v>635</v>
      </c>
      <c r="AM6" s="131" t="s">
        <v>1077</v>
      </c>
      <c r="AN6" s="131" t="s">
        <v>1078</v>
      </c>
      <c r="AO6" s="131"/>
      <c r="AP6" s="128"/>
      <c r="AQ6" s="131"/>
      <c r="AR6" s="131"/>
      <c r="AS6" s="131"/>
      <c r="AT6" s="131"/>
      <c r="AU6" s="206"/>
      <c r="AV6" s="206"/>
      <c r="AW6" s="207"/>
      <c r="AX6" s="206"/>
      <c r="AY6" s="206"/>
      <c r="AZ6" s="206"/>
      <c r="BA6" s="206"/>
      <c r="BB6" s="206"/>
      <c r="BC6" s="207" t="n">
        <v>12</v>
      </c>
      <c r="BD6" s="207" t="n">
        <v>1</v>
      </c>
      <c r="BE6" s="206" t="s">
        <v>634</v>
      </c>
      <c r="BF6" s="131" t="s">
        <v>636</v>
      </c>
      <c r="BG6" s="131" t="s">
        <v>1079</v>
      </c>
      <c r="BH6" s="131" t="s">
        <v>1080</v>
      </c>
      <c r="BI6" s="131" t="s">
        <v>1081</v>
      </c>
      <c r="BJ6" s="128" t="n">
        <v>12</v>
      </c>
      <c r="BK6" s="128" t="n">
        <v>2</v>
      </c>
      <c r="BL6" s="131" t="s">
        <v>381</v>
      </c>
      <c r="BM6" s="131" t="s">
        <v>382</v>
      </c>
      <c r="BN6" s="131" t="s">
        <v>383</v>
      </c>
      <c r="BO6" s="131" t="s">
        <v>397</v>
      </c>
      <c r="BP6" s="131" t="s">
        <v>473</v>
      </c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28" t="n">
        <v>12</v>
      </c>
      <c r="CB6" s="128" t="n">
        <v>2</v>
      </c>
      <c r="CC6" s="131" t="s">
        <v>382</v>
      </c>
      <c r="CD6" s="131" t="s">
        <v>384</v>
      </c>
      <c r="CE6" s="131" t="s">
        <v>574</v>
      </c>
      <c r="CF6" s="131" t="s">
        <v>1082</v>
      </c>
      <c r="CG6" s="131" t="s">
        <v>625</v>
      </c>
      <c r="CH6" s="131"/>
      <c r="CI6" s="131"/>
      <c r="CJ6" s="131"/>
      <c r="CK6" s="131"/>
      <c r="CL6" s="131"/>
      <c r="CM6" s="131"/>
      <c r="CN6" s="131"/>
      <c r="CO6" s="16"/>
      <c r="CP6" s="16"/>
      <c r="CQ6" s="16"/>
      <c r="CR6" s="16"/>
      <c r="CS6" s="16"/>
      <c r="CT6" s="52"/>
      <c r="CU6" s="52"/>
      <c r="CV6" s="52"/>
      <c r="CW6" s="52"/>
      <c r="CX6" s="52"/>
      <c r="CY6" s="52"/>
      <c r="CZ6" s="52"/>
      <c r="DA6" s="52"/>
      <c r="DB6" s="52"/>
      <c r="DC6" s="131"/>
      <c r="DD6" s="128"/>
      <c r="DE6" s="131"/>
      <c r="DF6" s="131"/>
      <c r="DG6" s="131"/>
      <c r="DH6" s="131"/>
      <c r="DI6" s="131"/>
      <c r="DJ6" s="131"/>
      <c r="DK6" s="128"/>
      <c r="DL6" s="131"/>
      <c r="DM6" s="131"/>
      <c r="DN6" s="131"/>
      <c r="DO6" s="131"/>
      <c r="DP6" s="131"/>
    </row>
    <row r="7" customFormat="false" ht="12.8" hidden="false" customHeight="false" outlineLevel="0" collapsed="false">
      <c r="A7" s="16" t="s">
        <v>52</v>
      </c>
      <c r="B7" s="17" t="s">
        <v>81</v>
      </c>
      <c r="C7" s="16" t="s">
        <v>171</v>
      </c>
      <c r="D7" s="16" t="s">
        <v>173</v>
      </c>
      <c r="E7" s="156" t="s">
        <v>87</v>
      </c>
      <c r="F7" s="16" t="s">
        <v>163</v>
      </c>
      <c r="G7" s="154" t="s">
        <v>1083</v>
      </c>
      <c r="H7" s="150"/>
      <c r="I7" s="16"/>
      <c r="J7" s="130"/>
      <c r="K7" s="128"/>
      <c r="L7" s="128"/>
      <c r="M7" s="203" t="n">
        <f aca="false">IF(AA7,1,0)+AI7+AP7+AW7+BD7+BK7+BR7+BY7+CB7+CI7+CP7+CW7+DD7+DK7</f>
        <v>0</v>
      </c>
      <c r="N7" s="204"/>
      <c r="O7" s="204"/>
      <c r="P7" s="204"/>
      <c r="Q7" s="204"/>
      <c r="R7" s="204"/>
      <c r="S7" s="20"/>
      <c r="T7" s="20"/>
      <c r="U7" s="20"/>
      <c r="V7" s="204"/>
      <c r="W7" s="204"/>
      <c r="X7" s="204"/>
      <c r="Y7" s="204"/>
      <c r="Z7" s="131"/>
      <c r="AA7" s="128"/>
      <c r="AB7" s="128"/>
      <c r="AC7" s="128"/>
      <c r="AD7" s="128"/>
      <c r="AE7" s="128"/>
      <c r="AF7" s="128"/>
      <c r="AG7" s="205"/>
      <c r="AH7" s="131"/>
      <c r="AI7" s="128"/>
      <c r="AJ7" s="131"/>
      <c r="AK7" s="131"/>
      <c r="AL7" s="131"/>
      <c r="AM7" s="131"/>
      <c r="AN7" s="131"/>
      <c r="AO7" s="131"/>
      <c r="AP7" s="128"/>
      <c r="AQ7" s="131"/>
      <c r="AR7" s="131"/>
      <c r="AS7" s="131"/>
      <c r="AT7" s="133"/>
      <c r="AU7" s="131"/>
      <c r="AV7" s="131"/>
      <c r="AW7" s="128"/>
      <c r="AX7" s="131"/>
      <c r="AY7" s="131"/>
      <c r="AZ7" s="131"/>
      <c r="BA7" s="131"/>
      <c r="BB7" s="131"/>
      <c r="BC7" s="131"/>
      <c r="BD7" s="128"/>
      <c r="BE7" s="131"/>
      <c r="BF7" s="134"/>
      <c r="BG7" s="131"/>
      <c r="BH7" s="131"/>
      <c r="BI7" s="131"/>
      <c r="BJ7" s="131"/>
      <c r="BK7" s="128"/>
      <c r="BL7" s="131"/>
      <c r="BM7" s="131"/>
      <c r="BN7" s="131"/>
      <c r="BO7" s="131"/>
      <c r="BP7" s="131"/>
      <c r="BQ7" s="131"/>
      <c r="BR7" s="128"/>
      <c r="BS7" s="131"/>
      <c r="BT7" s="131"/>
      <c r="BU7" s="131"/>
      <c r="BV7" s="131"/>
      <c r="BW7" s="131"/>
      <c r="BX7" s="131"/>
      <c r="BY7" s="131"/>
      <c r="BZ7" s="131"/>
      <c r="CA7" s="131"/>
      <c r="CB7" s="128"/>
      <c r="CC7" s="131"/>
      <c r="CD7" s="131"/>
      <c r="CE7" s="131"/>
      <c r="CF7" s="131"/>
      <c r="CG7" s="131"/>
      <c r="CH7" s="131"/>
      <c r="CI7" s="131"/>
      <c r="CJ7" s="131"/>
      <c r="CK7" s="131"/>
      <c r="CL7" s="131"/>
      <c r="CM7" s="131"/>
      <c r="CN7" s="131"/>
      <c r="CO7" s="131"/>
      <c r="CP7" s="128"/>
      <c r="CQ7" s="131"/>
      <c r="CR7" s="131"/>
      <c r="CS7" s="131"/>
      <c r="CT7" s="131"/>
      <c r="CU7" s="131"/>
      <c r="CV7" s="131"/>
      <c r="CW7" s="131"/>
      <c r="CX7" s="131"/>
      <c r="CY7" s="131"/>
      <c r="CZ7" s="131"/>
      <c r="DA7" s="131"/>
      <c r="DB7" s="131"/>
      <c r="DC7" s="131"/>
      <c r="DD7" s="128"/>
      <c r="DE7" s="131"/>
      <c r="DF7" s="131"/>
      <c r="DG7" s="131"/>
      <c r="DH7" s="131"/>
      <c r="DI7" s="131"/>
      <c r="DJ7" s="131"/>
      <c r="DK7" s="128"/>
      <c r="DL7" s="131"/>
      <c r="DM7" s="131"/>
      <c r="DN7" s="131"/>
      <c r="DO7" s="131"/>
      <c r="DP7" s="131"/>
    </row>
    <row r="8" customFormat="false" ht="12.8" hidden="false" customHeight="false" outlineLevel="0" collapsed="false">
      <c r="A8" s="16" t="s">
        <v>52</v>
      </c>
      <c r="B8" s="16" t="s">
        <v>158</v>
      </c>
      <c r="C8" s="16" t="s">
        <v>168</v>
      </c>
      <c r="D8" s="16" t="s">
        <v>169</v>
      </c>
      <c r="E8" s="156" t="s">
        <v>89</v>
      </c>
      <c r="F8" s="202" t="s">
        <v>170</v>
      </c>
      <c r="G8" s="154" t="s">
        <v>1084</v>
      </c>
      <c r="H8" s="148" t="s">
        <v>92</v>
      </c>
      <c r="I8" s="16"/>
      <c r="J8" s="130"/>
      <c r="K8" s="128" t="n">
        <v>3500</v>
      </c>
      <c r="L8" s="128" t="n">
        <v>4</v>
      </c>
      <c r="M8" s="203" t="n">
        <f aca="false">IF(AA8,1,0)+AI8+AP8+AW8+BD8+BK8+BR8+BY8+CB8+CI8+CP8+CW8+DD8+DK8</f>
        <v>0</v>
      </c>
      <c r="N8" s="204" t="n">
        <v>1</v>
      </c>
      <c r="O8" s="204"/>
      <c r="P8" s="204"/>
      <c r="Q8" s="204"/>
      <c r="R8" s="204"/>
      <c r="S8" s="20"/>
      <c r="T8" s="20"/>
      <c r="U8" s="20" t="n">
        <v>1512</v>
      </c>
      <c r="V8" s="204"/>
      <c r="W8" s="204"/>
      <c r="X8" s="204"/>
      <c r="Y8" s="204"/>
      <c r="Z8" s="131"/>
      <c r="AA8" s="128"/>
      <c r="AB8" s="128"/>
      <c r="AC8" s="128"/>
      <c r="AD8" s="128"/>
      <c r="AE8" s="128"/>
      <c r="AF8" s="128"/>
      <c r="AG8" s="205"/>
      <c r="AH8" s="128" t="n">
        <v>10</v>
      </c>
      <c r="AI8" s="128" t="n">
        <v>1</v>
      </c>
      <c r="AJ8" s="131" t="s">
        <v>633</v>
      </c>
      <c r="AK8" s="131" t="s">
        <v>634</v>
      </c>
      <c r="AL8" s="131" t="s">
        <v>635</v>
      </c>
      <c r="AM8" s="131" t="s">
        <v>636</v>
      </c>
      <c r="AN8" s="131" t="s">
        <v>563</v>
      </c>
      <c r="AO8" s="131"/>
      <c r="AP8" s="128"/>
      <c r="AQ8" s="131"/>
      <c r="AR8" s="131"/>
      <c r="AS8" s="131"/>
      <c r="AT8" s="133"/>
      <c r="AU8" s="131"/>
      <c r="AV8" s="131"/>
      <c r="AW8" s="128"/>
      <c r="AX8" s="131"/>
      <c r="AY8" s="131"/>
      <c r="AZ8" s="131"/>
      <c r="BA8" s="131"/>
      <c r="BB8" s="131"/>
      <c r="BC8" s="131"/>
      <c r="BD8" s="128"/>
      <c r="BE8" s="131"/>
      <c r="BF8" s="134"/>
      <c r="BG8" s="131"/>
      <c r="BH8" s="131"/>
      <c r="BI8" s="131"/>
      <c r="BJ8" s="128" t="n">
        <v>10</v>
      </c>
      <c r="BK8" s="128" t="n">
        <v>1</v>
      </c>
      <c r="BL8" s="131" t="s">
        <v>381</v>
      </c>
      <c r="BM8" s="131" t="s">
        <v>382</v>
      </c>
      <c r="BN8" s="131" t="s">
        <v>383</v>
      </c>
      <c r="BO8" s="131" t="s">
        <v>384</v>
      </c>
      <c r="BP8" s="131" t="s">
        <v>399</v>
      </c>
      <c r="BQ8" s="128" t="n">
        <v>10</v>
      </c>
      <c r="BR8" s="128" t="n">
        <v>2</v>
      </c>
      <c r="BS8" s="131" t="s">
        <v>572</v>
      </c>
      <c r="BT8" s="131" t="s">
        <v>383</v>
      </c>
      <c r="BU8" s="131" t="s">
        <v>573</v>
      </c>
      <c r="BV8" s="131" t="s">
        <v>574</v>
      </c>
      <c r="BW8" s="131" t="s">
        <v>378</v>
      </c>
      <c r="BX8" s="131"/>
      <c r="BY8" s="131"/>
      <c r="BZ8" s="131"/>
      <c r="CA8" s="128" t="n">
        <v>10</v>
      </c>
      <c r="CB8" s="128" t="n">
        <v>1</v>
      </c>
      <c r="CC8" s="131" t="s">
        <v>382</v>
      </c>
      <c r="CD8" s="131" t="s">
        <v>384</v>
      </c>
      <c r="CE8" s="131" t="s">
        <v>574</v>
      </c>
      <c r="CF8" s="131" t="s">
        <v>616</v>
      </c>
      <c r="CG8" s="131" t="s">
        <v>615</v>
      </c>
      <c r="CH8" s="131"/>
      <c r="CI8" s="131"/>
      <c r="CJ8" s="131"/>
      <c r="CK8" s="131"/>
      <c r="CL8" s="131"/>
      <c r="CM8" s="131"/>
      <c r="CN8" s="131"/>
      <c r="CO8" s="128" t="n">
        <v>10</v>
      </c>
      <c r="CP8" s="128" t="n">
        <v>1</v>
      </c>
      <c r="CQ8" s="131" t="s">
        <v>382</v>
      </c>
      <c r="CR8" s="131" t="s">
        <v>384</v>
      </c>
      <c r="CS8" s="131" t="s">
        <v>574</v>
      </c>
      <c r="CT8" s="131" t="s">
        <v>616</v>
      </c>
      <c r="CU8" s="131" t="s">
        <v>615</v>
      </c>
      <c r="CV8" s="131"/>
      <c r="CW8" s="131"/>
      <c r="CX8" s="131"/>
      <c r="CY8" s="131"/>
      <c r="CZ8" s="131"/>
      <c r="DA8" s="131"/>
      <c r="DB8" s="131"/>
      <c r="DC8" s="131"/>
      <c r="DD8" s="128"/>
      <c r="DE8" s="131"/>
      <c r="DF8" s="131"/>
      <c r="DG8" s="131"/>
      <c r="DH8" s="131"/>
      <c r="DI8" s="131"/>
      <c r="DJ8" s="131"/>
      <c r="DK8" s="128"/>
      <c r="DL8" s="131"/>
      <c r="DM8" s="131"/>
      <c r="DN8" s="131"/>
      <c r="DO8" s="131"/>
      <c r="DP8" s="131"/>
    </row>
    <row r="9" customFormat="false" ht="12.8" hidden="false" customHeight="false" outlineLevel="0" collapsed="false">
      <c r="A9" s="16" t="s">
        <v>52</v>
      </c>
      <c r="B9" s="16" t="s">
        <v>158</v>
      </c>
      <c r="C9" s="16" t="s">
        <v>168</v>
      </c>
      <c r="D9" s="16" t="s">
        <v>162</v>
      </c>
      <c r="E9" s="156" t="s">
        <v>87</v>
      </c>
      <c r="F9" s="16" t="s">
        <v>163</v>
      </c>
      <c r="G9" s="154" t="s">
        <v>1085</v>
      </c>
      <c r="H9" s="148" t="s">
        <v>92</v>
      </c>
      <c r="I9" s="16"/>
      <c r="J9" s="130"/>
      <c r="K9" s="128" t="n">
        <v>3500</v>
      </c>
      <c r="L9" s="128" t="n">
        <v>4</v>
      </c>
      <c r="M9" s="203" t="n">
        <f aca="false">IF(AA9,1,0)+AI9+AP9+AW9+BD9+BK9+BR9+BY9+CB9+CI9+CP9+CW9+DD9+DK9</f>
        <v>0</v>
      </c>
      <c r="N9" s="204"/>
      <c r="O9" s="204"/>
      <c r="P9" s="204"/>
      <c r="Q9" s="204"/>
      <c r="R9" s="204"/>
      <c r="S9" s="20"/>
      <c r="T9" s="20"/>
      <c r="U9" s="20"/>
      <c r="V9" s="204"/>
      <c r="W9" s="204"/>
      <c r="X9" s="204"/>
      <c r="Y9" s="204"/>
      <c r="Z9" s="131"/>
      <c r="AA9" s="128"/>
      <c r="AB9" s="128"/>
      <c r="AC9" s="128"/>
      <c r="AD9" s="128"/>
      <c r="AE9" s="128"/>
      <c r="AF9" s="128"/>
      <c r="AG9" s="205"/>
      <c r="AH9" s="128"/>
      <c r="AI9" s="128"/>
      <c r="AJ9" s="131"/>
      <c r="AK9" s="131"/>
      <c r="AL9" s="131"/>
      <c r="AM9" s="131"/>
      <c r="AN9" s="131"/>
      <c r="AO9" s="131"/>
      <c r="AP9" s="128"/>
      <c r="AQ9" s="131"/>
      <c r="AR9" s="131"/>
      <c r="AS9" s="131"/>
      <c r="AT9" s="133"/>
      <c r="AU9" s="131"/>
      <c r="AV9" s="131"/>
      <c r="AW9" s="128"/>
      <c r="AX9" s="131"/>
      <c r="AY9" s="131"/>
      <c r="AZ9" s="131"/>
      <c r="BA9" s="131"/>
      <c r="BB9" s="131"/>
      <c r="BC9" s="131"/>
      <c r="BD9" s="128"/>
      <c r="BE9" s="131"/>
      <c r="BF9" s="134"/>
      <c r="BG9" s="131"/>
      <c r="BH9" s="131"/>
      <c r="BI9" s="131"/>
      <c r="BJ9" s="128"/>
      <c r="BK9" s="128"/>
      <c r="BL9" s="131"/>
      <c r="BM9" s="131"/>
      <c r="BN9" s="131"/>
      <c r="BO9" s="131"/>
      <c r="BP9" s="131"/>
      <c r="BQ9" s="128"/>
      <c r="BR9" s="128"/>
      <c r="BS9" s="131"/>
      <c r="BT9" s="131"/>
      <c r="BU9" s="131"/>
      <c r="BV9" s="131"/>
      <c r="BW9" s="131"/>
      <c r="BX9" s="131"/>
      <c r="BY9" s="131"/>
      <c r="BZ9" s="131"/>
      <c r="CA9" s="128"/>
      <c r="CB9" s="128"/>
      <c r="CC9" s="131"/>
      <c r="CD9" s="131"/>
      <c r="CE9" s="131"/>
      <c r="CF9" s="131"/>
      <c r="CG9" s="131"/>
      <c r="CH9" s="131"/>
      <c r="CI9" s="131"/>
      <c r="CJ9" s="131"/>
      <c r="CK9" s="131"/>
      <c r="CL9" s="131"/>
      <c r="CM9" s="131"/>
      <c r="CN9" s="131"/>
      <c r="CO9" s="128"/>
      <c r="CP9" s="128"/>
      <c r="CQ9" s="131"/>
      <c r="CR9" s="131"/>
      <c r="CS9" s="131"/>
      <c r="CT9" s="131"/>
      <c r="CU9" s="131"/>
      <c r="CV9" s="131"/>
      <c r="CW9" s="131"/>
      <c r="CX9" s="131"/>
      <c r="CY9" s="131"/>
      <c r="CZ9" s="131"/>
      <c r="DA9" s="131"/>
      <c r="DB9" s="131"/>
      <c r="DC9" s="131"/>
      <c r="DD9" s="128"/>
      <c r="DE9" s="131"/>
      <c r="DF9" s="131"/>
      <c r="DG9" s="131"/>
      <c r="DH9" s="131"/>
      <c r="DI9" s="131"/>
      <c r="DJ9" s="131"/>
      <c r="DK9" s="128"/>
      <c r="DL9" s="131"/>
      <c r="DM9" s="131"/>
      <c r="DN9" s="131"/>
      <c r="DO9" s="131"/>
      <c r="DP9" s="131"/>
    </row>
    <row r="10" customFormat="false" ht="12.8" hidden="false" customHeight="false" outlineLevel="0" collapsed="false">
      <c r="A10" s="36" t="s">
        <v>52</v>
      </c>
      <c r="B10" s="35" t="s">
        <v>113</v>
      </c>
      <c r="C10" s="34" t="s">
        <v>151</v>
      </c>
      <c r="D10" s="35" t="s">
        <v>152</v>
      </c>
      <c r="E10" s="34" t="s">
        <v>89</v>
      </c>
      <c r="F10" s="35" t="s">
        <v>153</v>
      </c>
      <c r="G10" s="154" t="s">
        <v>1086</v>
      </c>
      <c r="H10" s="148" t="s">
        <v>92</v>
      </c>
      <c r="I10" s="16"/>
      <c r="J10" s="130"/>
      <c r="K10" s="128" t="n">
        <v>3500</v>
      </c>
      <c r="L10" s="128" t="n">
        <v>4</v>
      </c>
      <c r="M10" s="203" t="n">
        <f aca="false">IF(AA10,1,0)+AI10+AP10+AW10+BD10+BK10+BR10+BY10+CB10+CI10+CP10+CW10+DD10+DK10</f>
        <v>0</v>
      </c>
      <c r="N10" s="204" t="n">
        <v>1</v>
      </c>
      <c r="O10" s="204"/>
      <c r="P10" s="204"/>
      <c r="Q10" s="204"/>
      <c r="R10" s="204"/>
      <c r="S10" s="20"/>
      <c r="T10" s="20"/>
      <c r="U10" s="20" t="n">
        <v>1512</v>
      </c>
      <c r="V10" s="204"/>
      <c r="W10" s="204"/>
      <c r="X10" s="204"/>
      <c r="Y10" s="204"/>
      <c r="Z10" s="131"/>
      <c r="AA10" s="128"/>
      <c r="AB10" s="128"/>
      <c r="AC10" s="128"/>
      <c r="AD10" s="128"/>
      <c r="AE10" s="128"/>
      <c r="AF10" s="128"/>
      <c r="AG10" s="205"/>
      <c r="AH10" s="128" t="n">
        <v>15</v>
      </c>
      <c r="AI10" s="128" t="n">
        <v>1</v>
      </c>
      <c r="AJ10" s="131" t="s">
        <v>1087</v>
      </c>
      <c r="AK10" s="131" t="s">
        <v>1088</v>
      </c>
      <c r="AL10" s="131" t="s">
        <v>1089</v>
      </c>
      <c r="AM10" s="131" t="s">
        <v>1077</v>
      </c>
      <c r="AN10" s="131" t="s">
        <v>1078</v>
      </c>
      <c r="AO10" s="128"/>
      <c r="AP10" s="128"/>
      <c r="AQ10" s="131"/>
      <c r="AR10" s="131"/>
      <c r="AS10" s="131"/>
      <c r="AT10" s="133"/>
      <c r="AU10" s="131"/>
      <c r="AV10" s="131"/>
      <c r="AW10" s="128"/>
      <c r="AX10" s="131"/>
      <c r="AY10" s="131"/>
      <c r="AZ10" s="131"/>
      <c r="BA10" s="131"/>
      <c r="BB10" s="131"/>
      <c r="BC10" s="128"/>
      <c r="BD10" s="128"/>
      <c r="BE10" s="131"/>
      <c r="BF10" s="134"/>
      <c r="BG10" s="131"/>
      <c r="BH10" s="131"/>
      <c r="BI10" s="131"/>
      <c r="BJ10" s="128" t="n">
        <v>15</v>
      </c>
      <c r="BK10" s="128" t="n">
        <v>1</v>
      </c>
      <c r="BL10" s="131" t="s">
        <v>641</v>
      </c>
      <c r="BM10" s="131" t="s">
        <v>642</v>
      </c>
      <c r="BN10" s="131" t="s">
        <v>396</v>
      </c>
      <c r="BO10" s="131" t="s">
        <v>1090</v>
      </c>
      <c r="BP10" s="131" t="s">
        <v>473</v>
      </c>
      <c r="BQ10" s="128" t="n">
        <v>15</v>
      </c>
      <c r="BR10" s="128" t="n">
        <v>2</v>
      </c>
      <c r="BS10" s="131" t="s">
        <v>643</v>
      </c>
      <c r="BT10" s="131" t="s">
        <v>396</v>
      </c>
      <c r="BU10" s="131" t="s">
        <v>644</v>
      </c>
      <c r="BV10" s="131" t="s">
        <v>606</v>
      </c>
      <c r="BW10" s="131" t="s">
        <v>607</v>
      </c>
      <c r="BX10" s="131"/>
      <c r="BY10" s="131"/>
      <c r="BZ10" s="131"/>
      <c r="CA10" s="128" t="n">
        <v>15</v>
      </c>
      <c r="CB10" s="128" t="n">
        <v>1</v>
      </c>
      <c r="CC10" s="131" t="s">
        <v>642</v>
      </c>
      <c r="CD10" s="131" t="s">
        <v>397</v>
      </c>
      <c r="CE10" s="131" t="s">
        <v>606</v>
      </c>
      <c r="CF10" s="131" t="s">
        <v>1082</v>
      </c>
      <c r="CG10" s="131" t="s">
        <v>625</v>
      </c>
      <c r="CH10" s="131"/>
      <c r="CI10" s="131"/>
      <c r="CJ10" s="131"/>
      <c r="CK10" s="131"/>
      <c r="CL10" s="131"/>
      <c r="CM10" s="131"/>
      <c r="CN10" s="131"/>
      <c r="CO10" s="128" t="n">
        <v>15</v>
      </c>
      <c r="CP10" s="128" t="n">
        <v>1</v>
      </c>
      <c r="CQ10" s="131" t="s">
        <v>642</v>
      </c>
      <c r="CR10" s="131" t="s">
        <v>397</v>
      </c>
      <c r="CS10" s="131" t="s">
        <v>606</v>
      </c>
      <c r="CT10" s="131" t="s">
        <v>1082</v>
      </c>
      <c r="CU10" s="131" t="s">
        <v>625</v>
      </c>
      <c r="CV10" s="131"/>
      <c r="CW10" s="131"/>
      <c r="CX10" s="131"/>
      <c r="CY10" s="131"/>
      <c r="CZ10" s="131"/>
      <c r="DA10" s="131"/>
      <c r="DB10" s="131"/>
      <c r="DC10" s="131"/>
      <c r="DD10" s="128"/>
      <c r="DE10" s="131"/>
      <c r="DF10" s="131"/>
      <c r="DG10" s="131"/>
      <c r="DH10" s="131"/>
      <c r="DI10" s="131"/>
      <c r="DJ10" s="131"/>
      <c r="DK10" s="128"/>
      <c r="DL10" s="131"/>
      <c r="DM10" s="131"/>
      <c r="DN10" s="131"/>
      <c r="DO10" s="131"/>
      <c r="DP10" s="131"/>
    </row>
    <row r="11" customFormat="false" ht="12.8" hidden="false" customHeight="false" outlineLevel="0" collapsed="false">
      <c r="A11" s="16" t="s">
        <v>53</v>
      </c>
      <c r="B11" s="16" t="s">
        <v>98</v>
      </c>
      <c r="C11" s="16" t="s">
        <v>217</v>
      </c>
      <c r="D11" s="16" t="s">
        <v>218</v>
      </c>
      <c r="E11" s="156" t="s">
        <v>89</v>
      </c>
      <c r="F11" s="16" t="s">
        <v>188</v>
      </c>
      <c r="G11" s="154" t="s">
        <v>1091</v>
      </c>
      <c r="H11" s="150"/>
      <c r="I11" s="16"/>
      <c r="J11" s="130"/>
      <c r="K11" s="128" t="n">
        <v>5500</v>
      </c>
      <c r="L11" s="128" t="n">
        <v>5</v>
      </c>
      <c r="M11" s="203" t="n">
        <f aca="false">IF(AA11,1,0)+AI11+AP11+AW11+BD11+BK11+BR11+BY11+CB11+CI11+CP11+CW11+DD11+DK11</f>
        <v>0</v>
      </c>
      <c r="N11" s="204"/>
      <c r="O11" s="204"/>
      <c r="P11" s="204" t="n">
        <v>1</v>
      </c>
      <c r="Q11" s="204" t="n">
        <v>1</v>
      </c>
      <c r="R11" s="204"/>
      <c r="S11" s="20"/>
      <c r="T11" s="20" t="n">
        <v>1920</v>
      </c>
      <c r="U11" s="20"/>
      <c r="V11" s="204"/>
      <c r="W11" s="204"/>
      <c r="X11" s="204"/>
      <c r="Y11" s="204"/>
      <c r="Z11" s="23" t="s">
        <v>1092</v>
      </c>
      <c r="AA11" s="128" t="n">
        <v>12</v>
      </c>
      <c r="AB11" s="21" t="s">
        <v>401</v>
      </c>
      <c r="AC11" s="21" t="s">
        <v>92</v>
      </c>
      <c r="AD11" s="128"/>
      <c r="AE11" s="128" t="n">
        <v>40</v>
      </c>
      <c r="AF11" s="128"/>
      <c r="AG11" s="205" t="s">
        <v>1093</v>
      </c>
      <c r="AH11" s="131"/>
      <c r="AI11" s="128"/>
      <c r="AJ11" s="131"/>
      <c r="AK11" s="131"/>
      <c r="AL11" s="131"/>
      <c r="AM11" s="131"/>
      <c r="AN11" s="131"/>
      <c r="AO11" s="128" t="n">
        <v>8</v>
      </c>
      <c r="AP11" s="128" t="n">
        <v>1</v>
      </c>
      <c r="AQ11" s="131" t="s">
        <v>391</v>
      </c>
      <c r="AR11" s="131" t="s">
        <v>411</v>
      </c>
      <c r="AS11" s="131" t="s">
        <v>574</v>
      </c>
      <c r="AT11" s="133" t="s">
        <v>616</v>
      </c>
      <c r="AU11" s="131" t="s">
        <v>615</v>
      </c>
      <c r="AV11" s="131"/>
      <c r="AW11" s="128"/>
      <c r="AX11" s="131"/>
      <c r="AY11" s="131"/>
      <c r="AZ11" s="131"/>
      <c r="BA11" s="131"/>
      <c r="BB11" s="131"/>
      <c r="BC11" s="128" t="n">
        <v>8</v>
      </c>
      <c r="BD11" s="128" t="n">
        <v>1</v>
      </c>
      <c r="BE11" s="131" t="s">
        <v>746</v>
      </c>
      <c r="BF11" s="134" t="s">
        <v>761</v>
      </c>
      <c r="BG11" s="131" t="s">
        <v>1079</v>
      </c>
      <c r="BH11" s="131" t="s">
        <v>1094</v>
      </c>
      <c r="BI11" s="131" t="s">
        <v>1095</v>
      </c>
      <c r="BJ11" s="131"/>
      <c r="BK11" s="128"/>
      <c r="BL11" s="131"/>
      <c r="BM11" s="131"/>
      <c r="BN11" s="131"/>
      <c r="BO11" s="131"/>
      <c r="BP11" s="131"/>
      <c r="BQ11" s="131"/>
      <c r="BR11" s="128"/>
      <c r="BS11" s="131"/>
      <c r="BT11" s="131"/>
      <c r="BU11" s="131"/>
      <c r="BV11" s="131"/>
      <c r="BW11" s="131"/>
      <c r="BX11" s="131"/>
      <c r="BY11" s="131"/>
      <c r="BZ11" s="131"/>
      <c r="CA11" s="128" t="n">
        <v>8</v>
      </c>
      <c r="CB11" s="128" t="n">
        <v>3</v>
      </c>
      <c r="CC11" s="131" t="s">
        <v>391</v>
      </c>
      <c r="CD11" s="131" t="s">
        <v>411</v>
      </c>
      <c r="CE11" s="131" t="s">
        <v>574</v>
      </c>
      <c r="CF11" s="131" t="s">
        <v>616</v>
      </c>
      <c r="CG11" s="131" t="s">
        <v>615</v>
      </c>
      <c r="CH11" s="131"/>
      <c r="CI11" s="131"/>
      <c r="CJ11" s="131"/>
      <c r="CK11" s="131"/>
      <c r="CL11" s="131"/>
      <c r="CM11" s="131"/>
      <c r="CN11" s="131"/>
      <c r="CO11" s="128" t="n">
        <v>8</v>
      </c>
      <c r="CP11" s="128" t="n">
        <v>1</v>
      </c>
      <c r="CQ11" s="131" t="s">
        <v>391</v>
      </c>
      <c r="CR11" s="131" t="s">
        <v>411</v>
      </c>
      <c r="CS11" s="131" t="s">
        <v>574</v>
      </c>
      <c r="CT11" s="131" t="s">
        <v>616</v>
      </c>
      <c r="CU11" s="131" t="s">
        <v>615</v>
      </c>
      <c r="CV11" s="131"/>
      <c r="CW11" s="131"/>
      <c r="CX11" s="131"/>
      <c r="CY11" s="131"/>
      <c r="CZ11" s="131"/>
      <c r="DA11" s="131"/>
      <c r="DB11" s="131"/>
      <c r="DC11" s="131"/>
      <c r="DD11" s="128"/>
      <c r="DE11" s="131"/>
      <c r="DF11" s="131"/>
      <c r="DG11" s="131"/>
      <c r="DH11" s="131"/>
      <c r="DI11" s="131"/>
      <c r="DJ11" s="131"/>
      <c r="DK11" s="128"/>
      <c r="DL11" s="131"/>
      <c r="DM11" s="131"/>
      <c r="DN11" s="131"/>
      <c r="DO11" s="131"/>
      <c r="DP11" s="131"/>
    </row>
    <row r="12" customFormat="false" ht="12.8" hidden="false" customHeight="false" outlineLevel="0" collapsed="false">
      <c r="A12" s="16" t="s">
        <v>53</v>
      </c>
      <c r="B12" s="17" t="s">
        <v>81</v>
      </c>
      <c r="C12" s="17" t="s">
        <v>246</v>
      </c>
      <c r="D12" s="16" t="s">
        <v>222</v>
      </c>
      <c r="E12" s="156" t="s">
        <v>89</v>
      </c>
      <c r="F12" s="16" t="s">
        <v>188</v>
      </c>
      <c r="G12" s="154" t="s">
        <v>1096</v>
      </c>
      <c r="H12" s="148" t="s">
        <v>92</v>
      </c>
      <c r="I12" s="16"/>
      <c r="J12" s="130"/>
      <c r="K12" s="128" t="n">
        <v>5500</v>
      </c>
      <c r="L12" s="128" t="n">
        <v>6</v>
      </c>
      <c r="M12" s="203" t="n">
        <f aca="false">IF(AA12,1,0)+AI12+AP12+AW12+BD12+BK12+BR12+BY12+CB12+CI12+CP12+CW12+DD12+DK12</f>
        <v>0</v>
      </c>
      <c r="N12" s="204"/>
      <c r="O12" s="204"/>
      <c r="P12" s="204" t="n">
        <v>1</v>
      </c>
      <c r="Q12" s="204" t="n">
        <v>2</v>
      </c>
      <c r="R12" s="204"/>
      <c r="S12" s="20"/>
      <c r="T12" s="20" t="n">
        <v>3840</v>
      </c>
      <c r="U12" s="20"/>
      <c r="V12" s="204"/>
      <c r="W12" s="204"/>
      <c r="X12" s="204"/>
      <c r="Y12" s="204"/>
      <c r="Z12" s="23" t="s">
        <v>1092</v>
      </c>
      <c r="AA12" s="128" t="n">
        <v>15</v>
      </c>
      <c r="AB12" s="21" t="s">
        <v>401</v>
      </c>
      <c r="AC12" s="21" t="s">
        <v>92</v>
      </c>
      <c r="AD12" s="128"/>
      <c r="AE12" s="128" t="n">
        <v>40</v>
      </c>
      <c r="AF12" s="128"/>
      <c r="AG12" s="205" t="s">
        <v>1093</v>
      </c>
      <c r="AH12" s="128" t="n">
        <v>10</v>
      </c>
      <c r="AI12" s="128" t="n">
        <v>1</v>
      </c>
      <c r="AJ12" s="131" t="s">
        <v>633</v>
      </c>
      <c r="AK12" s="131" t="s">
        <v>634</v>
      </c>
      <c r="AL12" s="131" t="s">
        <v>635</v>
      </c>
      <c r="AM12" s="131" t="s">
        <v>636</v>
      </c>
      <c r="AN12" s="131" t="s">
        <v>563</v>
      </c>
      <c r="AO12" s="131"/>
      <c r="AP12" s="128"/>
      <c r="AQ12" s="131"/>
      <c r="AR12" s="131"/>
      <c r="AS12" s="131"/>
      <c r="AT12" s="133"/>
      <c r="AU12" s="131"/>
      <c r="AV12" s="128" t="n">
        <v>10</v>
      </c>
      <c r="AW12" s="128" t="n">
        <v>2</v>
      </c>
      <c r="AX12" s="131" t="s">
        <v>381</v>
      </c>
      <c r="AY12" s="131" t="s">
        <v>382</v>
      </c>
      <c r="AZ12" s="131" t="s">
        <v>383</v>
      </c>
      <c r="BA12" s="131" t="s">
        <v>384</v>
      </c>
      <c r="BB12" s="131" t="s">
        <v>399</v>
      </c>
      <c r="BC12" s="131"/>
      <c r="BD12" s="128"/>
      <c r="BE12" s="131"/>
      <c r="BF12" s="134"/>
      <c r="BG12" s="131"/>
      <c r="BH12" s="131"/>
      <c r="BI12" s="131"/>
      <c r="BJ12" s="128" t="n">
        <v>10</v>
      </c>
      <c r="BK12" s="128" t="n">
        <v>2</v>
      </c>
      <c r="BL12" s="131" t="s">
        <v>381</v>
      </c>
      <c r="BM12" s="131" t="s">
        <v>382</v>
      </c>
      <c r="BN12" s="131" t="s">
        <v>383</v>
      </c>
      <c r="BO12" s="131" t="s">
        <v>384</v>
      </c>
      <c r="BP12" s="131" t="s">
        <v>399</v>
      </c>
      <c r="BQ12" s="131"/>
      <c r="BR12" s="128"/>
      <c r="BS12" s="131"/>
      <c r="BT12" s="131"/>
      <c r="BU12" s="131"/>
      <c r="BV12" s="131"/>
      <c r="BW12" s="131"/>
      <c r="BX12" s="131"/>
      <c r="BY12" s="131"/>
      <c r="BZ12" s="131"/>
      <c r="CA12" s="128" t="n">
        <v>10</v>
      </c>
      <c r="CB12" s="128" t="n">
        <v>2</v>
      </c>
      <c r="CC12" s="131" t="s">
        <v>382</v>
      </c>
      <c r="CD12" s="131" t="s">
        <v>384</v>
      </c>
      <c r="CE12" s="131" t="s">
        <v>574</v>
      </c>
      <c r="CF12" s="131" t="s">
        <v>616</v>
      </c>
      <c r="CG12" s="131" t="s">
        <v>615</v>
      </c>
      <c r="CH12" s="131"/>
      <c r="CI12" s="131"/>
      <c r="CJ12" s="131"/>
      <c r="CK12" s="131"/>
      <c r="CL12" s="131"/>
      <c r="CM12" s="131"/>
      <c r="CN12" s="131"/>
      <c r="CO12" s="128" t="n">
        <v>10</v>
      </c>
      <c r="CP12" s="128" t="n">
        <v>1</v>
      </c>
      <c r="CQ12" s="131" t="s">
        <v>382</v>
      </c>
      <c r="CR12" s="131" t="s">
        <v>384</v>
      </c>
      <c r="CS12" s="131" t="s">
        <v>574</v>
      </c>
      <c r="CT12" s="131" t="s">
        <v>616</v>
      </c>
      <c r="CU12" s="131" t="s">
        <v>615</v>
      </c>
      <c r="CV12" s="131"/>
      <c r="CW12" s="131"/>
      <c r="CX12" s="131"/>
      <c r="CY12" s="131"/>
      <c r="CZ12" s="131"/>
      <c r="DA12" s="131"/>
      <c r="DB12" s="131"/>
      <c r="DC12" s="131"/>
      <c r="DD12" s="128"/>
      <c r="DE12" s="131"/>
      <c r="DF12" s="131"/>
      <c r="DG12" s="131"/>
      <c r="DH12" s="131"/>
      <c r="DI12" s="131"/>
      <c r="DJ12" s="131"/>
      <c r="DK12" s="128"/>
      <c r="DL12" s="131"/>
      <c r="DM12" s="131"/>
      <c r="DN12" s="131"/>
      <c r="DO12" s="131"/>
      <c r="DP12" s="131"/>
    </row>
    <row r="13" customFormat="false" ht="12.8" hidden="false" customHeight="false" outlineLevel="0" collapsed="false">
      <c r="A13" s="16" t="s">
        <v>53</v>
      </c>
      <c r="B13" s="16" t="s">
        <v>158</v>
      </c>
      <c r="C13" s="16" t="s">
        <v>235</v>
      </c>
      <c r="D13" s="16" t="s">
        <v>236</v>
      </c>
      <c r="E13" s="156" t="s">
        <v>89</v>
      </c>
      <c r="F13" s="16" t="s">
        <v>237</v>
      </c>
      <c r="G13" s="154" t="s">
        <v>1097</v>
      </c>
      <c r="H13" s="148" t="s">
        <v>92</v>
      </c>
      <c r="I13" s="16"/>
      <c r="J13" s="130"/>
      <c r="K13" s="128" t="n">
        <v>5500</v>
      </c>
      <c r="L13" s="128" t="n">
        <v>6</v>
      </c>
      <c r="M13" s="203" t="n">
        <f aca="false">IF(AA13,1,0)+AI13+AP13+AW13+BD13+BK13+BR13+BY13+CB13+CI13+CP13+CW13+DD13+DK13</f>
        <v>0</v>
      </c>
      <c r="N13" s="204"/>
      <c r="O13" s="204"/>
      <c r="P13" s="204"/>
      <c r="Q13" s="204"/>
      <c r="R13" s="204"/>
      <c r="S13" s="20"/>
      <c r="T13" s="20"/>
      <c r="U13" s="20"/>
      <c r="V13" s="208" t="n">
        <v>0.1</v>
      </c>
      <c r="W13" s="204" t="n">
        <v>2</v>
      </c>
      <c r="X13" s="204"/>
      <c r="Y13" s="204"/>
      <c r="Z13" s="16"/>
      <c r="AA13" s="16"/>
      <c r="AB13" s="16"/>
      <c r="AC13" s="128"/>
      <c r="AD13" s="128"/>
      <c r="AE13" s="128"/>
      <c r="AF13" s="128"/>
      <c r="AG13" s="209"/>
      <c r="AH13" s="128" t="n">
        <v>10</v>
      </c>
      <c r="AI13" s="128" t="n">
        <v>1</v>
      </c>
      <c r="AJ13" s="131" t="s">
        <v>633</v>
      </c>
      <c r="AK13" s="131" t="s">
        <v>634</v>
      </c>
      <c r="AL13" s="131" t="s">
        <v>635</v>
      </c>
      <c r="AM13" s="131" t="s">
        <v>636</v>
      </c>
      <c r="AN13" s="131" t="s">
        <v>563</v>
      </c>
      <c r="AO13" s="128" t="n">
        <v>10</v>
      </c>
      <c r="AP13" s="128" t="n">
        <v>1</v>
      </c>
      <c r="AQ13" s="131" t="s">
        <v>382</v>
      </c>
      <c r="AR13" s="131" t="s">
        <v>384</v>
      </c>
      <c r="AS13" s="131" t="s">
        <v>574</v>
      </c>
      <c r="AT13" s="133" t="s">
        <v>616</v>
      </c>
      <c r="AU13" s="131" t="s">
        <v>615</v>
      </c>
      <c r="AV13" s="131"/>
      <c r="AW13" s="128"/>
      <c r="AX13" s="131"/>
      <c r="AY13" s="131"/>
      <c r="AZ13" s="131"/>
      <c r="BA13" s="131"/>
      <c r="BB13" s="131"/>
      <c r="BC13" s="128" t="n">
        <v>10</v>
      </c>
      <c r="BD13" s="128" t="n">
        <v>1</v>
      </c>
      <c r="BE13" s="131" t="s">
        <v>634</v>
      </c>
      <c r="BF13" s="134" t="s">
        <v>636</v>
      </c>
      <c r="BG13" s="131" t="s">
        <v>1079</v>
      </c>
      <c r="BH13" s="131" t="s">
        <v>1094</v>
      </c>
      <c r="BI13" s="131" t="s">
        <v>1095</v>
      </c>
      <c r="BJ13" s="128" t="n">
        <v>10</v>
      </c>
      <c r="BK13" s="128" t="n">
        <v>1</v>
      </c>
      <c r="BL13" s="131" t="s">
        <v>381</v>
      </c>
      <c r="BM13" s="131" t="s">
        <v>382</v>
      </c>
      <c r="BN13" s="131" t="s">
        <v>383</v>
      </c>
      <c r="BO13" s="131" t="s">
        <v>384</v>
      </c>
      <c r="BP13" s="131" t="s">
        <v>399</v>
      </c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28" t="n">
        <v>10</v>
      </c>
      <c r="CB13" s="128" t="n">
        <v>1</v>
      </c>
      <c r="CC13" s="131" t="s">
        <v>382</v>
      </c>
      <c r="CD13" s="131" t="s">
        <v>384</v>
      </c>
      <c r="CE13" s="131" t="s">
        <v>574</v>
      </c>
      <c r="CF13" s="131" t="s">
        <v>616</v>
      </c>
      <c r="CG13" s="131" t="s">
        <v>615</v>
      </c>
      <c r="CH13" s="131"/>
      <c r="CI13" s="131"/>
      <c r="CJ13" s="131"/>
      <c r="CK13" s="131"/>
      <c r="CL13" s="131"/>
      <c r="CM13" s="131"/>
      <c r="CN13" s="131"/>
      <c r="CO13" s="128" t="n">
        <v>10</v>
      </c>
      <c r="CP13" s="128" t="n">
        <v>1</v>
      </c>
      <c r="CQ13" s="131" t="s">
        <v>382</v>
      </c>
      <c r="CR13" s="131" t="s">
        <v>384</v>
      </c>
      <c r="CS13" s="131" t="s">
        <v>574</v>
      </c>
      <c r="CT13" s="131" t="s">
        <v>616</v>
      </c>
      <c r="CU13" s="131" t="s">
        <v>615</v>
      </c>
      <c r="CV13" s="131"/>
      <c r="CW13" s="131"/>
      <c r="CX13" s="131"/>
      <c r="CY13" s="131"/>
      <c r="CZ13" s="131"/>
      <c r="DA13" s="131"/>
      <c r="DB13" s="131"/>
      <c r="DC13" s="128" t="n">
        <v>10</v>
      </c>
      <c r="DD13" s="128" t="n">
        <v>1</v>
      </c>
      <c r="DE13" s="131" t="s">
        <v>383</v>
      </c>
      <c r="DF13" s="131" t="s">
        <v>574</v>
      </c>
      <c r="DG13" s="131" t="s">
        <v>467</v>
      </c>
      <c r="DH13" s="131" t="s">
        <v>468</v>
      </c>
      <c r="DI13" s="131" t="s">
        <v>380</v>
      </c>
      <c r="DJ13" s="128" t="n">
        <v>10</v>
      </c>
      <c r="DK13" s="128" t="n">
        <v>1</v>
      </c>
      <c r="DL13" s="131" t="s">
        <v>381</v>
      </c>
      <c r="DM13" s="131" t="s">
        <v>382</v>
      </c>
      <c r="DN13" s="131" t="s">
        <v>383</v>
      </c>
      <c r="DO13" s="131" t="s">
        <v>384</v>
      </c>
      <c r="DP13" s="131" t="s">
        <v>399</v>
      </c>
    </row>
    <row r="14" customFormat="false" ht="12.8" hidden="false" customHeight="false" outlineLevel="0" collapsed="false">
      <c r="A14" s="16" t="s">
        <v>53</v>
      </c>
      <c r="B14" s="16" t="s">
        <v>158</v>
      </c>
      <c r="C14" s="16" t="s">
        <v>235</v>
      </c>
      <c r="D14" s="16" t="s">
        <v>218</v>
      </c>
      <c r="E14" s="156" t="s">
        <v>87</v>
      </c>
      <c r="F14" s="16" t="s">
        <v>188</v>
      </c>
      <c r="G14" s="154" t="s">
        <v>1098</v>
      </c>
      <c r="H14" s="148" t="s">
        <v>92</v>
      </c>
      <c r="I14" s="16"/>
      <c r="J14" s="130"/>
      <c r="K14" s="128" t="n">
        <v>5500</v>
      </c>
      <c r="L14" s="128" t="n">
        <v>4</v>
      </c>
      <c r="M14" s="203" t="n">
        <f aca="false">IF(AA14,1,0)+AI14+AP14+AW14+BD14+BK14+BR14+BY14+CB14+CI14+CP14+CW14+DD14+DK14</f>
        <v>0</v>
      </c>
      <c r="N14" s="204"/>
      <c r="O14" s="204"/>
      <c r="P14" s="204" t="n">
        <v>2</v>
      </c>
      <c r="Q14" s="204" t="n">
        <v>1</v>
      </c>
      <c r="R14" s="204"/>
      <c r="S14" s="20"/>
      <c r="T14" s="20" t="n">
        <v>2880</v>
      </c>
      <c r="U14" s="20"/>
      <c r="V14" s="208"/>
      <c r="W14" s="204"/>
      <c r="X14" s="204"/>
      <c r="Y14" s="204"/>
      <c r="Z14" s="16"/>
      <c r="AA14" s="16"/>
      <c r="AB14" s="16"/>
      <c r="AC14" s="128"/>
      <c r="AD14" s="128"/>
      <c r="AE14" s="128"/>
      <c r="AF14" s="128"/>
      <c r="AG14" s="209"/>
      <c r="AH14" s="131"/>
      <c r="AI14" s="128"/>
      <c r="AJ14" s="131"/>
      <c r="AK14" s="131"/>
      <c r="AL14" s="131"/>
      <c r="AM14" s="131"/>
      <c r="AN14" s="131"/>
      <c r="AO14" s="131"/>
      <c r="AP14" s="128"/>
      <c r="AQ14" s="131"/>
      <c r="AR14" s="131"/>
      <c r="AS14" s="131"/>
      <c r="AT14" s="133"/>
      <c r="AU14" s="131"/>
      <c r="AV14" s="131"/>
      <c r="AW14" s="128"/>
      <c r="AX14" s="131"/>
      <c r="AY14" s="131"/>
      <c r="AZ14" s="131"/>
      <c r="BA14" s="131"/>
      <c r="BB14" s="131"/>
      <c r="BC14" s="131"/>
      <c r="BD14" s="128"/>
      <c r="BE14" s="131"/>
      <c r="BF14" s="134"/>
      <c r="BG14" s="131"/>
      <c r="BH14" s="131"/>
      <c r="BI14" s="131"/>
      <c r="BJ14" s="131"/>
      <c r="BK14" s="128"/>
      <c r="BL14" s="131"/>
      <c r="BM14" s="131"/>
      <c r="BN14" s="131"/>
      <c r="BO14" s="131"/>
      <c r="BP14" s="131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31"/>
      <c r="CB14" s="128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28"/>
      <c r="CQ14" s="131"/>
      <c r="CR14" s="131"/>
      <c r="CS14" s="131"/>
      <c r="CT14" s="131"/>
      <c r="CU14" s="131"/>
      <c r="CV14" s="131"/>
      <c r="CW14" s="131"/>
      <c r="CX14" s="131"/>
      <c r="CY14" s="131"/>
      <c r="CZ14" s="131"/>
      <c r="DA14" s="131"/>
      <c r="DB14" s="131"/>
      <c r="DC14" s="131"/>
      <c r="DD14" s="128"/>
      <c r="DE14" s="131"/>
      <c r="DF14" s="131"/>
      <c r="DG14" s="131"/>
      <c r="DH14" s="131"/>
      <c r="DI14" s="131"/>
      <c r="DJ14" s="131"/>
      <c r="DK14" s="128"/>
      <c r="DL14" s="131"/>
      <c r="DM14" s="131"/>
      <c r="DN14" s="131"/>
      <c r="DO14" s="131"/>
      <c r="DP14" s="131"/>
    </row>
    <row r="15" customFormat="false" ht="12.8" hidden="false" customHeight="false" outlineLevel="0" collapsed="false">
      <c r="A15" s="16" t="s">
        <v>53</v>
      </c>
      <c r="B15" s="16" t="s">
        <v>158</v>
      </c>
      <c r="C15" s="16" t="s">
        <v>235</v>
      </c>
      <c r="D15" s="16" t="s">
        <v>222</v>
      </c>
      <c r="E15" s="156" t="s">
        <v>88</v>
      </c>
      <c r="F15" s="16" t="s">
        <v>238</v>
      </c>
      <c r="G15" s="154" t="s">
        <v>1098</v>
      </c>
      <c r="H15" s="148" t="s">
        <v>92</v>
      </c>
      <c r="I15" s="16"/>
      <c r="J15" s="130"/>
      <c r="K15" s="128" t="n">
        <v>5500</v>
      </c>
      <c r="L15" s="128" t="n">
        <v>4</v>
      </c>
      <c r="M15" s="203" t="n">
        <f aca="false">IF(AA15,1,0)+AI15+AP15+AW15+BD15+BK15+BR15+BY15+CB15+CI15+CP15+CW15+DD15+DK15</f>
        <v>0</v>
      </c>
      <c r="N15" s="204"/>
      <c r="O15" s="204"/>
      <c r="P15" s="204"/>
      <c r="Q15" s="204"/>
      <c r="R15" s="204" t="n">
        <v>3</v>
      </c>
      <c r="S15" s="20"/>
      <c r="T15" s="20"/>
      <c r="U15" s="20"/>
      <c r="V15" s="208"/>
      <c r="W15" s="204"/>
      <c r="X15" s="204"/>
      <c r="Y15" s="204"/>
      <c r="Z15" s="16"/>
      <c r="AA15" s="16"/>
      <c r="AB15" s="16"/>
      <c r="AC15" s="128"/>
      <c r="AD15" s="128"/>
      <c r="AE15" s="128"/>
      <c r="AF15" s="128"/>
      <c r="AG15" s="209"/>
      <c r="AH15" s="131"/>
      <c r="AI15" s="128"/>
      <c r="AJ15" s="131"/>
      <c r="AK15" s="131"/>
      <c r="AL15" s="131"/>
      <c r="AM15" s="131"/>
      <c r="AN15" s="131"/>
      <c r="AO15" s="131"/>
      <c r="AP15" s="128"/>
      <c r="AQ15" s="131"/>
      <c r="AR15" s="131"/>
      <c r="AS15" s="131"/>
      <c r="AT15" s="133"/>
      <c r="AU15" s="131"/>
      <c r="AV15" s="131"/>
      <c r="AW15" s="128"/>
      <c r="AX15" s="131"/>
      <c r="AY15" s="131"/>
      <c r="AZ15" s="131"/>
      <c r="BA15" s="131"/>
      <c r="BB15" s="131"/>
      <c r="BC15" s="131"/>
      <c r="BD15" s="128"/>
      <c r="BE15" s="131"/>
      <c r="BF15" s="134"/>
      <c r="BG15" s="131"/>
      <c r="BH15" s="131"/>
      <c r="BI15" s="131"/>
      <c r="BJ15" s="131"/>
      <c r="BK15" s="128"/>
      <c r="BL15" s="131"/>
      <c r="BM15" s="131"/>
      <c r="BN15" s="131"/>
      <c r="BO15" s="131"/>
      <c r="BP15" s="131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31"/>
      <c r="CB15" s="128"/>
      <c r="CC15" s="131"/>
      <c r="CD15" s="131"/>
      <c r="CE15" s="131"/>
      <c r="CF15" s="131"/>
      <c r="CG15" s="131"/>
      <c r="CH15" s="131"/>
      <c r="CI15" s="131"/>
      <c r="CJ15" s="131"/>
      <c r="CK15" s="131"/>
      <c r="CL15" s="131"/>
      <c r="CM15" s="131"/>
      <c r="CN15" s="131"/>
      <c r="CO15" s="131"/>
      <c r="CP15" s="128"/>
      <c r="CQ15" s="131"/>
      <c r="CR15" s="131"/>
      <c r="CS15" s="131"/>
      <c r="CT15" s="131"/>
      <c r="CU15" s="131"/>
      <c r="CV15" s="131"/>
      <c r="CW15" s="131"/>
      <c r="CX15" s="131"/>
      <c r="CY15" s="131"/>
      <c r="CZ15" s="131"/>
      <c r="DA15" s="131"/>
      <c r="DB15" s="131"/>
      <c r="DC15" s="131"/>
      <c r="DD15" s="128"/>
      <c r="DE15" s="131"/>
      <c r="DF15" s="131"/>
      <c r="DG15" s="131"/>
      <c r="DH15" s="131"/>
      <c r="DI15" s="131"/>
      <c r="DJ15" s="131"/>
      <c r="DK15" s="128"/>
      <c r="DL15" s="131"/>
      <c r="DM15" s="131"/>
      <c r="DN15" s="131"/>
      <c r="DO15" s="131"/>
      <c r="DP15" s="131"/>
    </row>
    <row r="16" customFormat="false" ht="12.8" hidden="false" customHeight="false" outlineLevel="0" collapsed="false">
      <c r="A16" s="16" t="s">
        <v>53</v>
      </c>
      <c r="B16" s="17" t="s">
        <v>93</v>
      </c>
      <c r="C16" s="140" t="s">
        <v>250</v>
      </c>
      <c r="D16" s="16" t="s">
        <v>254</v>
      </c>
      <c r="E16" s="140" t="s">
        <v>255</v>
      </c>
      <c r="F16" s="16" t="s">
        <v>237</v>
      </c>
      <c r="G16" s="154" t="s">
        <v>1099</v>
      </c>
      <c r="H16" s="148" t="s">
        <v>92</v>
      </c>
      <c r="I16" s="16"/>
      <c r="J16" s="130"/>
      <c r="K16" s="128" t="n">
        <v>5500</v>
      </c>
      <c r="L16" s="128" t="n">
        <v>4</v>
      </c>
      <c r="M16" s="203" t="n">
        <f aca="false">IF(AA16,1,0)+AI16+AP16+AW16+BD16+BK16+BR16+BY16+CB16+CI16+CP16+CW16+DD16+DK16</f>
        <v>0</v>
      </c>
      <c r="N16" s="132"/>
      <c r="O16" s="132"/>
      <c r="P16" s="132"/>
      <c r="Q16" s="132"/>
      <c r="R16" s="132"/>
      <c r="S16" s="128"/>
      <c r="T16" s="128"/>
      <c r="U16" s="128"/>
      <c r="V16" s="132"/>
      <c r="W16" s="132"/>
      <c r="X16" s="132"/>
      <c r="Y16" s="132" t="n">
        <v>2</v>
      </c>
      <c r="Z16" s="16"/>
      <c r="AA16" s="16"/>
      <c r="AB16" s="16"/>
      <c r="AC16" s="128"/>
      <c r="AD16" s="128"/>
      <c r="AE16" s="128"/>
      <c r="AF16" s="128"/>
      <c r="AG16" s="192"/>
      <c r="AH16" s="128" t="n">
        <v>10</v>
      </c>
      <c r="AI16" s="128" t="n">
        <v>1</v>
      </c>
      <c r="AJ16" s="131" t="s">
        <v>633</v>
      </c>
      <c r="AK16" s="131" t="s">
        <v>634</v>
      </c>
      <c r="AL16" s="131" t="s">
        <v>635</v>
      </c>
      <c r="AM16" s="131" t="s">
        <v>636</v>
      </c>
      <c r="AN16" s="131" t="s">
        <v>563</v>
      </c>
      <c r="AO16" s="128" t="n">
        <v>10</v>
      </c>
      <c r="AP16" s="128" t="n">
        <v>1</v>
      </c>
      <c r="AQ16" s="131" t="s">
        <v>382</v>
      </c>
      <c r="AR16" s="131" t="s">
        <v>384</v>
      </c>
      <c r="AS16" s="131" t="s">
        <v>574</v>
      </c>
      <c r="AT16" s="133" t="s">
        <v>616</v>
      </c>
      <c r="AU16" s="131" t="s">
        <v>615</v>
      </c>
      <c r="AV16" s="131"/>
      <c r="AW16" s="128"/>
      <c r="AX16" s="131"/>
      <c r="AY16" s="131"/>
      <c r="AZ16" s="131"/>
      <c r="BA16" s="131"/>
      <c r="BB16" s="131"/>
      <c r="BC16" s="128" t="n">
        <v>10</v>
      </c>
      <c r="BD16" s="128" t="n">
        <v>1</v>
      </c>
      <c r="BE16" s="131" t="s">
        <v>634</v>
      </c>
      <c r="BF16" s="134" t="s">
        <v>636</v>
      </c>
      <c r="BG16" s="131" t="s">
        <v>1079</v>
      </c>
      <c r="BH16" s="131" t="s">
        <v>1094</v>
      </c>
      <c r="BI16" s="131" t="s">
        <v>1095</v>
      </c>
      <c r="BJ16" s="128" t="n">
        <v>10</v>
      </c>
      <c r="BK16" s="128" t="n">
        <v>1</v>
      </c>
      <c r="BL16" s="131" t="s">
        <v>381</v>
      </c>
      <c r="BM16" s="131" t="s">
        <v>382</v>
      </c>
      <c r="BN16" s="131" t="s">
        <v>383</v>
      </c>
      <c r="BO16" s="131" t="s">
        <v>384</v>
      </c>
      <c r="BP16" s="131" t="s">
        <v>399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28" t="n">
        <v>10</v>
      </c>
      <c r="CB16" s="128" t="n">
        <v>1</v>
      </c>
      <c r="CC16" s="131" t="s">
        <v>382</v>
      </c>
      <c r="CD16" s="131" t="s">
        <v>384</v>
      </c>
      <c r="CE16" s="131" t="s">
        <v>574</v>
      </c>
      <c r="CF16" s="131" t="s">
        <v>616</v>
      </c>
      <c r="CG16" s="131" t="s">
        <v>615</v>
      </c>
      <c r="CH16" s="131"/>
      <c r="CI16" s="131"/>
      <c r="CJ16" s="131"/>
      <c r="CK16" s="131"/>
      <c r="CL16" s="131"/>
      <c r="CM16" s="131"/>
      <c r="CN16" s="131"/>
      <c r="CO16" s="128" t="n">
        <v>10</v>
      </c>
      <c r="CP16" s="128" t="n">
        <v>1</v>
      </c>
      <c r="CQ16" s="131" t="s">
        <v>382</v>
      </c>
      <c r="CR16" s="131" t="s">
        <v>384</v>
      </c>
      <c r="CS16" s="131" t="s">
        <v>574</v>
      </c>
      <c r="CT16" s="131" t="s">
        <v>616</v>
      </c>
      <c r="CU16" s="131" t="s">
        <v>615</v>
      </c>
      <c r="CV16" s="131"/>
      <c r="CW16" s="131"/>
      <c r="CX16" s="131"/>
      <c r="CY16" s="131"/>
      <c r="CZ16" s="131"/>
      <c r="DA16" s="131"/>
      <c r="DB16" s="131"/>
      <c r="DC16" s="131"/>
      <c r="DD16" s="128"/>
      <c r="DE16" s="131"/>
      <c r="DF16" s="131"/>
      <c r="DG16" s="131"/>
      <c r="DH16" s="131"/>
      <c r="DI16" s="131"/>
      <c r="DJ16" s="131"/>
      <c r="DK16" s="128"/>
      <c r="DL16" s="131"/>
      <c r="DM16" s="131"/>
      <c r="DN16" s="131"/>
      <c r="DO16" s="131"/>
      <c r="DP16" s="131"/>
    </row>
    <row r="17" customFormat="false" ht="12.8" hidden="false" customHeight="false" outlineLevel="0" collapsed="false">
      <c r="A17" s="16" t="s">
        <v>53</v>
      </c>
      <c r="B17" s="17" t="s">
        <v>113</v>
      </c>
      <c r="C17" s="16" t="s">
        <v>221</v>
      </c>
      <c r="D17" s="17" t="s">
        <v>222</v>
      </c>
      <c r="E17" s="130" t="s">
        <v>89</v>
      </c>
      <c r="F17" s="16" t="s">
        <v>148</v>
      </c>
      <c r="G17" s="154" t="s">
        <v>1097</v>
      </c>
      <c r="H17" s="148" t="s">
        <v>92</v>
      </c>
      <c r="I17" s="130"/>
      <c r="J17" s="130"/>
      <c r="K17" s="128" t="n">
        <v>5500</v>
      </c>
      <c r="L17" s="128" t="n">
        <v>5</v>
      </c>
      <c r="M17" s="203" t="n">
        <f aca="false">IF(AA17,1,0)+AI17+AP17+AW17+BD17+BK17+BR17+BY17+CB17+CI17+CP17+CW17+DD17+DK17</f>
        <v>0</v>
      </c>
      <c r="N17" s="132"/>
      <c r="O17" s="132"/>
      <c r="P17" s="132"/>
      <c r="Q17" s="132"/>
      <c r="R17" s="132"/>
      <c r="S17" s="128"/>
      <c r="T17" s="128"/>
      <c r="U17" s="128"/>
      <c r="V17" s="132"/>
      <c r="W17" s="132" t="n">
        <v>1</v>
      </c>
      <c r="X17" s="132"/>
      <c r="Y17" s="132"/>
      <c r="Z17" s="16"/>
      <c r="AA17" s="16"/>
      <c r="AB17" s="16"/>
      <c r="AC17" s="128"/>
      <c r="AD17" s="128"/>
      <c r="AE17" s="128"/>
      <c r="AF17" s="128"/>
      <c r="AG17" s="192"/>
      <c r="AH17" s="128" t="n">
        <v>10</v>
      </c>
      <c r="AI17" s="128" t="n">
        <v>1</v>
      </c>
      <c r="AJ17" s="131" t="s">
        <v>633</v>
      </c>
      <c r="AK17" s="131" t="s">
        <v>634</v>
      </c>
      <c r="AL17" s="131" t="s">
        <v>635</v>
      </c>
      <c r="AM17" s="131" t="s">
        <v>636</v>
      </c>
      <c r="AN17" s="131" t="s">
        <v>563</v>
      </c>
      <c r="AO17" s="128" t="n">
        <v>10</v>
      </c>
      <c r="AP17" s="128" t="n">
        <v>1</v>
      </c>
      <c r="AQ17" s="131" t="s">
        <v>382</v>
      </c>
      <c r="AR17" s="131" t="s">
        <v>384</v>
      </c>
      <c r="AS17" s="131" t="s">
        <v>574</v>
      </c>
      <c r="AT17" s="133" t="s">
        <v>616</v>
      </c>
      <c r="AU17" s="131" t="s">
        <v>615</v>
      </c>
      <c r="AV17" s="131"/>
      <c r="AW17" s="128"/>
      <c r="AX17" s="131"/>
      <c r="AY17" s="131"/>
      <c r="AZ17" s="131"/>
      <c r="BA17" s="131"/>
      <c r="BB17" s="131"/>
      <c r="BC17" s="128" t="n">
        <v>10</v>
      </c>
      <c r="BD17" s="128" t="n">
        <v>1</v>
      </c>
      <c r="BE17" s="131" t="s">
        <v>634</v>
      </c>
      <c r="BF17" s="134" t="s">
        <v>636</v>
      </c>
      <c r="BG17" s="131" t="s">
        <v>1079</v>
      </c>
      <c r="BH17" s="131" t="s">
        <v>1094</v>
      </c>
      <c r="BI17" s="131" t="s">
        <v>1095</v>
      </c>
      <c r="BJ17" s="128" t="n">
        <v>10</v>
      </c>
      <c r="BK17" s="128" t="n">
        <v>1</v>
      </c>
      <c r="BL17" s="131" t="s">
        <v>381</v>
      </c>
      <c r="BM17" s="131" t="s">
        <v>382</v>
      </c>
      <c r="BN17" s="131" t="s">
        <v>383</v>
      </c>
      <c r="BO17" s="131" t="s">
        <v>384</v>
      </c>
      <c r="BP17" s="131" t="s">
        <v>399</v>
      </c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28" t="n">
        <v>10</v>
      </c>
      <c r="CB17" s="128" t="n">
        <v>1</v>
      </c>
      <c r="CC17" s="131" t="s">
        <v>382</v>
      </c>
      <c r="CD17" s="131" t="s">
        <v>384</v>
      </c>
      <c r="CE17" s="131" t="s">
        <v>574</v>
      </c>
      <c r="CF17" s="131" t="s">
        <v>616</v>
      </c>
      <c r="CG17" s="131" t="s">
        <v>615</v>
      </c>
      <c r="CH17" s="131"/>
      <c r="CI17" s="131"/>
      <c r="CJ17" s="131"/>
      <c r="CK17" s="131"/>
      <c r="CL17" s="131"/>
      <c r="CM17" s="131"/>
      <c r="CN17" s="131"/>
      <c r="CO17" s="128" t="n">
        <v>10</v>
      </c>
      <c r="CP17" s="128" t="n">
        <v>1</v>
      </c>
      <c r="CQ17" s="131" t="s">
        <v>382</v>
      </c>
      <c r="CR17" s="131" t="s">
        <v>384</v>
      </c>
      <c r="CS17" s="131" t="s">
        <v>574</v>
      </c>
      <c r="CT17" s="131" t="s">
        <v>616</v>
      </c>
      <c r="CU17" s="131" t="s">
        <v>615</v>
      </c>
      <c r="CV17" s="131"/>
      <c r="CW17" s="131"/>
      <c r="CX17" s="131"/>
      <c r="CY17" s="131"/>
      <c r="CZ17" s="131"/>
      <c r="DA17" s="131"/>
      <c r="DB17" s="131"/>
      <c r="DC17" s="128" t="n">
        <v>10</v>
      </c>
      <c r="DD17" s="128" t="n">
        <v>1</v>
      </c>
      <c r="DE17" s="131" t="s">
        <v>383</v>
      </c>
      <c r="DF17" s="131" t="s">
        <v>574</v>
      </c>
      <c r="DG17" s="131" t="s">
        <v>467</v>
      </c>
      <c r="DH17" s="131" t="s">
        <v>468</v>
      </c>
      <c r="DI17" s="131" t="s">
        <v>380</v>
      </c>
      <c r="DJ17" s="131"/>
      <c r="DK17" s="128"/>
      <c r="DL17" s="131"/>
      <c r="DM17" s="131"/>
      <c r="DN17" s="131"/>
      <c r="DO17" s="131"/>
      <c r="DP17" s="131"/>
    </row>
    <row r="18" customFormat="false" ht="12.8" hidden="false" customHeight="false" outlineLevel="0" collapsed="false">
      <c r="A18" s="16" t="s">
        <v>258</v>
      </c>
      <c r="B18" s="17" t="s">
        <v>81</v>
      </c>
      <c r="C18" s="16" t="s">
        <v>288</v>
      </c>
      <c r="D18" s="16" t="s">
        <v>289</v>
      </c>
      <c r="E18" s="156" t="s">
        <v>89</v>
      </c>
      <c r="F18" s="16" t="s">
        <v>148</v>
      </c>
      <c r="G18" s="154" t="s">
        <v>1100</v>
      </c>
      <c r="H18" s="150"/>
      <c r="I18" s="130"/>
      <c r="J18" s="130"/>
      <c r="K18" s="128" t="n">
        <v>7000</v>
      </c>
      <c r="L18" s="128" t="n">
        <v>3</v>
      </c>
      <c r="M18" s="203" t="n">
        <f aca="false">IF(AA18,1,0)+AI18+AP18+AW18+BD18+BK18+BR18+BY18+CB18+CI18+CP18+CW18+DD18+DK18</f>
        <v>0</v>
      </c>
      <c r="N18" s="132"/>
      <c r="O18" s="132"/>
      <c r="P18" s="132"/>
      <c r="Q18" s="132" t="n">
        <v>2</v>
      </c>
      <c r="R18" s="132"/>
      <c r="S18" s="128"/>
      <c r="T18" s="128" t="n">
        <v>5760</v>
      </c>
      <c r="U18" s="128"/>
      <c r="V18" s="132"/>
      <c r="W18" s="132"/>
      <c r="X18" s="132"/>
      <c r="Y18" s="132"/>
      <c r="Z18" s="16"/>
      <c r="AA18" s="16"/>
      <c r="AB18" s="16"/>
      <c r="AC18" s="128"/>
      <c r="AD18" s="128"/>
      <c r="AE18" s="128"/>
      <c r="AF18" s="128"/>
      <c r="AG18" s="192"/>
      <c r="AH18" s="131"/>
      <c r="AI18" s="128"/>
      <c r="AJ18" s="131"/>
      <c r="AK18" s="131"/>
      <c r="AL18" s="131"/>
      <c r="AM18" s="131"/>
      <c r="AN18" s="131"/>
      <c r="AO18" s="128" t="n">
        <v>8</v>
      </c>
      <c r="AP18" s="128" t="n">
        <v>1</v>
      </c>
      <c r="AQ18" s="131" t="s">
        <v>391</v>
      </c>
      <c r="AR18" s="131" t="s">
        <v>411</v>
      </c>
      <c r="AS18" s="131" t="s">
        <v>574</v>
      </c>
      <c r="AT18" s="133" t="s">
        <v>616</v>
      </c>
      <c r="AU18" s="131" t="s">
        <v>615</v>
      </c>
      <c r="AV18" s="131"/>
      <c r="AW18" s="128"/>
      <c r="AX18" s="131"/>
      <c r="AY18" s="131"/>
      <c r="AZ18" s="131"/>
      <c r="BA18" s="131"/>
      <c r="BB18" s="131"/>
      <c r="BC18" s="128" t="n">
        <v>8</v>
      </c>
      <c r="BD18" s="128" t="n">
        <v>1</v>
      </c>
      <c r="BE18" s="131" t="s">
        <v>746</v>
      </c>
      <c r="BF18" s="134" t="s">
        <v>761</v>
      </c>
      <c r="BG18" s="131" t="s">
        <v>1079</v>
      </c>
      <c r="BH18" s="131" t="s">
        <v>1094</v>
      </c>
      <c r="BI18" s="131" t="s">
        <v>1095</v>
      </c>
      <c r="BJ18" s="131"/>
      <c r="BK18" s="128"/>
      <c r="BL18" s="131"/>
      <c r="BM18" s="131"/>
      <c r="BN18" s="131"/>
      <c r="BO18" s="131"/>
      <c r="BP18" s="131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28" t="n">
        <v>8</v>
      </c>
      <c r="CB18" s="128" t="n">
        <v>1</v>
      </c>
      <c r="CC18" s="131" t="s">
        <v>391</v>
      </c>
      <c r="CD18" s="131" t="s">
        <v>411</v>
      </c>
      <c r="CE18" s="131" t="s">
        <v>574</v>
      </c>
      <c r="CF18" s="131" t="s">
        <v>616</v>
      </c>
      <c r="CG18" s="131" t="s">
        <v>615</v>
      </c>
      <c r="CH18" s="131"/>
      <c r="CI18" s="131"/>
      <c r="CJ18" s="131"/>
      <c r="CK18" s="131"/>
      <c r="CL18" s="131"/>
      <c r="CM18" s="131"/>
      <c r="CN18" s="131"/>
      <c r="CO18" s="128" t="n">
        <v>8</v>
      </c>
      <c r="CP18" s="128" t="n">
        <v>1</v>
      </c>
      <c r="CQ18" s="131" t="s">
        <v>391</v>
      </c>
      <c r="CR18" s="131" t="s">
        <v>411</v>
      </c>
      <c r="CS18" s="131" t="s">
        <v>574</v>
      </c>
      <c r="CT18" s="131" t="s">
        <v>616</v>
      </c>
      <c r="CU18" s="131" t="s">
        <v>615</v>
      </c>
      <c r="CV18" s="128"/>
      <c r="CW18" s="128"/>
      <c r="CX18" s="131"/>
      <c r="CY18" s="131"/>
      <c r="CZ18" s="131"/>
      <c r="DA18" s="131"/>
      <c r="DB18" s="131"/>
      <c r="DC18" s="131"/>
      <c r="DD18" s="128"/>
      <c r="DE18" s="131"/>
      <c r="DF18" s="131"/>
      <c r="DG18" s="131"/>
      <c r="DH18" s="131"/>
      <c r="DI18" s="131"/>
      <c r="DJ18" s="131"/>
      <c r="DK18" s="128"/>
      <c r="DL18" s="131"/>
      <c r="DM18" s="131"/>
      <c r="DN18" s="131"/>
      <c r="DO18" s="131"/>
      <c r="DP18" s="131"/>
    </row>
    <row r="19" customFormat="false" ht="12.8" hidden="false" customHeight="false" outlineLevel="0" collapsed="false">
      <c r="A19" s="16" t="s">
        <v>258</v>
      </c>
      <c r="B19" s="17" t="s">
        <v>81</v>
      </c>
      <c r="C19" s="16" t="s">
        <v>288</v>
      </c>
      <c r="D19" s="16" t="s">
        <v>290</v>
      </c>
      <c r="E19" s="156" t="s">
        <v>87</v>
      </c>
      <c r="F19" s="16" t="s">
        <v>163</v>
      </c>
      <c r="G19" s="154" t="s">
        <v>1101</v>
      </c>
      <c r="H19" s="150"/>
      <c r="I19" s="130"/>
      <c r="J19" s="130"/>
      <c r="K19" s="128" t="n">
        <v>7000</v>
      </c>
      <c r="L19" s="128"/>
      <c r="M19" s="203" t="n">
        <f aca="false">IF(AA19,1,0)+AI19+AP19+AW19+BD19+BK19+BR19+BY19+CB19+CI19+CP19+CW19+DD19+DK19</f>
        <v>0</v>
      </c>
      <c r="N19" s="132"/>
      <c r="O19" s="132"/>
      <c r="P19" s="132"/>
      <c r="Q19" s="132"/>
      <c r="R19" s="132"/>
      <c r="S19" s="128"/>
      <c r="T19" s="128"/>
      <c r="U19" s="128"/>
      <c r="V19" s="132"/>
      <c r="W19" s="132"/>
      <c r="X19" s="132"/>
      <c r="Y19" s="132"/>
      <c r="Z19" s="16"/>
      <c r="AA19" s="16"/>
      <c r="AB19" s="16"/>
      <c r="AC19" s="128"/>
      <c r="AD19" s="128"/>
      <c r="AE19" s="128"/>
      <c r="AF19" s="128"/>
      <c r="AG19" s="192"/>
      <c r="AH19" s="131"/>
      <c r="AI19" s="128"/>
      <c r="AJ19" s="131"/>
      <c r="AK19" s="131"/>
      <c r="AL19" s="131"/>
      <c r="AM19" s="131"/>
      <c r="AN19" s="131"/>
      <c r="AO19" s="131"/>
      <c r="AP19" s="128"/>
      <c r="AQ19" s="131"/>
      <c r="AR19" s="131"/>
      <c r="AS19" s="131"/>
      <c r="AT19" s="133"/>
      <c r="AU19" s="131"/>
      <c r="AV19" s="131"/>
      <c r="AW19" s="128"/>
      <c r="AX19" s="131"/>
      <c r="AY19" s="131"/>
      <c r="AZ19" s="131"/>
      <c r="BA19" s="131"/>
      <c r="BB19" s="131"/>
      <c r="BC19" s="131"/>
      <c r="BD19" s="128"/>
      <c r="BE19" s="131"/>
      <c r="BF19" s="134"/>
      <c r="BG19" s="131"/>
      <c r="BH19" s="131"/>
      <c r="BI19" s="131"/>
      <c r="BJ19" s="131"/>
      <c r="BK19" s="128"/>
      <c r="BL19" s="131"/>
      <c r="BM19" s="131"/>
      <c r="BN19" s="131"/>
      <c r="BO19" s="131"/>
      <c r="BP19" s="131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31"/>
      <c r="CB19" s="128"/>
      <c r="CC19" s="131"/>
      <c r="CD19" s="131"/>
      <c r="CE19" s="131"/>
      <c r="CF19" s="131"/>
      <c r="CG19" s="131"/>
      <c r="CH19" s="131"/>
      <c r="CI19" s="131"/>
      <c r="CJ19" s="131"/>
      <c r="CK19" s="131"/>
      <c r="CL19" s="131"/>
      <c r="CM19" s="131"/>
      <c r="CN19" s="131"/>
      <c r="CO19" s="131"/>
      <c r="CP19" s="128"/>
      <c r="CQ19" s="131"/>
      <c r="CR19" s="131"/>
      <c r="CS19" s="131"/>
      <c r="CT19" s="131"/>
      <c r="CU19" s="131"/>
      <c r="CV19" s="128" t="n">
        <v>6</v>
      </c>
      <c r="CW19" s="128" t="n">
        <v>1</v>
      </c>
      <c r="CX19" s="131" t="s">
        <v>1102</v>
      </c>
      <c r="CY19" s="131"/>
      <c r="CZ19" s="131"/>
      <c r="DA19" s="131"/>
      <c r="DB19" s="131"/>
      <c r="DC19" s="131"/>
      <c r="DD19" s="128"/>
      <c r="DE19" s="131"/>
      <c r="DF19" s="131"/>
      <c r="DG19" s="131"/>
      <c r="DH19" s="131"/>
      <c r="DI19" s="131"/>
      <c r="DJ19" s="131"/>
      <c r="DK19" s="128"/>
      <c r="DL19" s="131"/>
      <c r="DM19" s="131"/>
      <c r="DN19" s="131"/>
      <c r="DO19" s="131"/>
      <c r="DP19" s="131"/>
    </row>
    <row r="20" customFormat="false" ht="12.8" hidden="false" customHeight="false" outlineLevel="0" collapsed="false">
      <c r="A20" s="16" t="s">
        <v>258</v>
      </c>
      <c r="B20" s="16" t="s">
        <v>98</v>
      </c>
      <c r="C20" s="16" t="s">
        <v>262</v>
      </c>
      <c r="D20" s="17" t="s">
        <v>263</v>
      </c>
      <c r="E20" s="156" t="s">
        <v>89</v>
      </c>
      <c r="F20" s="16" t="s">
        <v>148</v>
      </c>
      <c r="G20" s="154" t="s">
        <v>1103</v>
      </c>
      <c r="H20" s="150"/>
      <c r="I20" s="130"/>
      <c r="J20" s="130"/>
      <c r="K20" s="128" t="n">
        <v>7000</v>
      </c>
      <c r="L20" s="128" t="n">
        <v>5</v>
      </c>
      <c r="M20" s="203" t="n">
        <f aca="false">IF(AA20,1,0)+AI20+AP20+AW20+BD20+BK20+BR20+BY20+CB20+CI20+CP20+CW20+DD20+DK20</f>
        <v>0</v>
      </c>
      <c r="N20" s="132"/>
      <c r="O20" s="132"/>
      <c r="P20" s="132"/>
      <c r="Q20" s="132"/>
      <c r="R20" s="132"/>
      <c r="S20" s="128"/>
      <c r="T20" s="128"/>
      <c r="U20" s="128"/>
      <c r="V20" s="132"/>
      <c r="W20" s="132" t="n">
        <v>4</v>
      </c>
      <c r="X20" s="132"/>
      <c r="Y20" s="132"/>
      <c r="Z20" s="23" t="s">
        <v>593</v>
      </c>
      <c r="AA20" s="128" t="n">
        <v>15</v>
      </c>
      <c r="AB20" s="21" t="s">
        <v>594</v>
      </c>
      <c r="AC20" s="128"/>
      <c r="AD20" s="128"/>
      <c r="AE20" s="128"/>
      <c r="AF20" s="128"/>
      <c r="AG20" s="205" t="s">
        <v>1076</v>
      </c>
      <c r="AH20" s="128"/>
      <c r="AI20" s="128"/>
      <c r="AJ20" s="131"/>
      <c r="AK20" s="131"/>
      <c r="AL20" s="131"/>
      <c r="AM20" s="131"/>
      <c r="AN20" s="131"/>
      <c r="AO20" s="131"/>
      <c r="AP20" s="128"/>
      <c r="AQ20" s="131"/>
      <c r="AR20" s="131"/>
      <c r="AS20" s="131"/>
      <c r="AT20" s="133"/>
      <c r="AU20" s="160"/>
      <c r="AV20" s="160"/>
      <c r="AW20" s="20"/>
      <c r="AX20" s="160"/>
      <c r="AY20" s="160"/>
      <c r="AZ20" s="160"/>
      <c r="BA20" s="160"/>
      <c r="BB20" s="160"/>
      <c r="BC20" s="128" t="n">
        <v>10</v>
      </c>
      <c r="BD20" s="128" t="n">
        <v>1</v>
      </c>
      <c r="BE20" s="131" t="s">
        <v>634</v>
      </c>
      <c r="BF20" s="134" t="s">
        <v>636</v>
      </c>
      <c r="BG20" s="131" t="s">
        <v>1079</v>
      </c>
      <c r="BH20" s="131" t="s">
        <v>1094</v>
      </c>
      <c r="BI20" s="131" t="s">
        <v>1095</v>
      </c>
      <c r="BJ20" s="128" t="n">
        <v>10</v>
      </c>
      <c r="BK20" s="128" t="n">
        <v>1</v>
      </c>
      <c r="BL20" s="131" t="s">
        <v>381</v>
      </c>
      <c r="BM20" s="131" t="s">
        <v>382</v>
      </c>
      <c r="BN20" s="131" t="s">
        <v>383</v>
      </c>
      <c r="BO20" s="131" t="s">
        <v>384</v>
      </c>
      <c r="BP20" s="131" t="s">
        <v>399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28" t="n">
        <v>10</v>
      </c>
      <c r="CB20" s="128" t="n">
        <v>2</v>
      </c>
      <c r="CC20" s="131" t="s">
        <v>382</v>
      </c>
      <c r="CD20" s="131" t="s">
        <v>384</v>
      </c>
      <c r="CE20" s="131" t="s">
        <v>574</v>
      </c>
      <c r="CF20" s="131" t="s">
        <v>616</v>
      </c>
      <c r="CG20" s="131" t="s">
        <v>615</v>
      </c>
      <c r="CH20" s="131"/>
      <c r="CI20" s="131"/>
      <c r="CJ20" s="131"/>
      <c r="CK20" s="131"/>
      <c r="CL20" s="131"/>
      <c r="CM20" s="131"/>
      <c r="CN20" s="131"/>
      <c r="CO20" s="128" t="n">
        <v>10</v>
      </c>
      <c r="CP20" s="128" t="n">
        <v>1</v>
      </c>
      <c r="CQ20" s="131" t="s">
        <v>382</v>
      </c>
      <c r="CR20" s="131" t="s">
        <v>384</v>
      </c>
      <c r="CS20" s="131" t="s">
        <v>574</v>
      </c>
      <c r="CT20" s="131" t="s">
        <v>616</v>
      </c>
      <c r="CU20" s="131" t="s">
        <v>615</v>
      </c>
      <c r="CV20" s="52"/>
      <c r="CW20" s="52"/>
      <c r="CX20" s="52"/>
      <c r="CY20" s="52"/>
      <c r="CZ20" s="52"/>
      <c r="DA20" s="52"/>
      <c r="DB20" s="52"/>
      <c r="DC20" s="128" t="n">
        <v>10</v>
      </c>
      <c r="DD20" s="128" t="n">
        <v>1</v>
      </c>
      <c r="DE20" s="131" t="s">
        <v>383</v>
      </c>
      <c r="DF20" s="131" t="s">
        <v>574</v>
      </c>
      <c r="DG20" s="131" t="s">
        <v>467</v>
      </c>
      <c r="DH20" s="131" t="s">
        <v>468</v>
      </c>
      <c r="DI20" s="131" t="s">
        <v>380</v>
      </c>
      <c r="DJ20" s="131"/>
      <c r="DK20" s="128"/>
      <c r="DL20" s="131"/>
      <c r="DM20" s="131"/>
      <c r="DN20" s="131"/>
      <c r="DO20" s="131"/>
      <c r="DP20" s="131"/>
    </row>
    <row r="21" customFormat="false" ht="12.8" hidden="false" customHeight="false" outlineLevel="0" collapsed="false">
      <c r="A21" s="36" t="s">
        <v>258</v>
      </c>
      <c r="B21" s="36" t="s">
        <v>98</v>
      </c>
      <c r="C21" s="36" t="s">
        <v>262</v>
      </c>
      <c r="D21" s="36" t="s">
        <v>264</v>
      </c>
      <c r="E21" s="58" t="s">
        <v>87</v>
      </c>
      <c r="F21" s="36" t="s">
        <v>238</v>
      </c>
      <c r="G21" s="154" t="s">
        <v>1104</v>
      </c>
      <c r="H21" s="150"/>
      <c r="I21" s="130"/>
      <c r="J21" s="130"/>
      <c r="K21" s="128" t="n">
        <v>7000</v>
      </c>
      <c r="L21" s="128" t="n">
        <v>4</v>
      </c>
      <c r="M21" s="203" t="n">
        <f aca="false">IF(AA21,1,0)+AI21+AP21+AW21+BD21+BK21+BR21+BY21+CB21+CI21+CP21+CW21+DD21+DK21</f>
        <v>0</v>
      </c>
      <c r="N21" s="132"/>
      <c r="O21" s="132"/>
      <c r="P21" s="132"/>
      <c r="Q21" s="132"/>
      <c r="R21" s="132" t="n">
        <v>3</v>
      </c>
      <c r="S21" s="128"/>
      <c r="T21" s="128"/>
      <c r="U21" s="128"/>
      <c r="V21" s="132"/>
      <c r="W21" s="132"/>
      <c r="X21" s="132"/>
      <c r="Y21" s="132"/>
      <c r="Z21" s="23" t="s">
        <v>1105</v>
      </c>
      <c r="AA21" s="128" t="n">
        <v>8</v>
      </c>
      <c r="AB21" s="21" t="s">
        <v>1106</v>
      </c>
      <c r="AC21" s="128"/>
      <c r="AD21" s="128"/>
      <c r="AE21" s="128"/>
      <c r="AF21" s="128"/>
      <c r="AG21" s="205" t="s">
        <v>1107</v>
      </c>
      <c r="AH21" s="128"/>
      <c r="AI21" s="128"/>
      <c r="AJ21" s="131"/>
      <c r="AK21" s="131"/>
      <c r="AL21" s="131"/>
      <c r="AM21" s="131"/>
      <c r="AN21" s="131"/>
      <c r="AO21" s="131"/>
      <c r="AP21" s="128"/>
      <c r="AQ21" s="131"/>
      <c r="AR21" s="131"/>
      <c r="AS21" s="131"/>
      <c r="AT21" s="133"/>
      <c r="AU21" s="160"/>
      <c r="AV21" s="160"/>
      <c r="AW21" s="20"/>
      <c r="AX21" s="160"/>
      <c r="AY21" s="160"/>
      <c r="AZ21" s="160"/>
      <c r="BA21" s="160"/>
      <c r="BB21" s="160"/>
      <c r="BC21" s="20"/>
      <c r="BD21" s="20"/>
      <c r="BE21" s="160"/>
      <c r="BF21" s="134"/>
      <c r="BG21" s="131"/>
      <c r="BH21" s="131"/>
      <c r="BI21" s="131"/>
      <c r="BJ21" s="128"/>
      <c r="BK21" s="128"/>
      <c r="BL21" s="131"/>
      <c r="BM21" s="131"/>
      <c r="BN21" s="131"/>
      <c r="BO21" s="131"/>
      <c r="BP21" s="131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28"/>
      <c r="CB21" s="128"/>
      <c r="CC21" s="131"/>
      <c r="CD21" s="131"/>
      <c r="CE21" s="131"/>
      <c r="CF21" s="131"/>
      <c r="CG21" s="131"/>
      <c r="CH21" s="131"/>
      <c r="CI21" s="131"/>
      <c r="CJ21" s="131"/>
      <c r="CK21" s="131"/>
      <c r="CL21" s="131"/>
      <c r="CM21" s="131"/>
      <c r="CN21" s="131"/>
      <c r="CO21" s="128"/>
      <c r="CP21" s="128"/>
      <c r="CQ21" s="131"/>
      <c r="CR21" s="131"/>
      <c r="CS21" s="131"/>
      <c r="CT21" s="131"/>
      <c r="CU21" s="131"/>
      <c r="CV21" s="52"/>
      <c r="CW21" s="52"/>
      <c r="CX21" s="52"/>
      <c r="CY21" s="52"/>
      <c r="CZ21" s="52"/>
      <c r="DA21" s="52"/>
      <c r="DB21" s="52"/>
      <c r="DC21" s="128"/>
      <c r="DD21" s="128"/>
      <c r="DE21" s="131"/>
      <c r="DF21" s="131"/>
      <c r="DG21" s="131"/>
      <c r="DH21" s="131"/>
      <c r="DI21" s="131"/>
      <c r="DJ21" s="131"/>
      <c r="DK21" s="128"/>
      <c r="DL21" s="131"/>
      <c r="DM21" s="131"/>
      <c r="DN21" s="131"/>
      <c r="DO21" s="131"/>
      <c r="DP21" s="131"/>
    </row>
    <row r="22" customFormat="false" ht="12.8" hidden="false" customHeight="false" outlineLevel="0" collapsed="false">
      <c r="A22" s="16" t="s">
        <v>258</v>
      </c>
      <c r="B22" s="17" t="s">
        <v>93</v>
      </c>
      <c r="C22" s="156" t="s">
        <v>298</v>
      </c>
      <c r="D22" s="16" t="s">
        <v>263</v>
      </c>
      <c r="E22" s="156" t="s">
        <v>88</v>
      </c>
      <c r="F22" s="16" t="s">
        <v>237</v>
      </c>
      <c r="G22" s="154" t="s">
        <v>1099</v>
      </c>
      <c r="H22" s="148" t="s">
        <v>92</v>
      </c>
      <c r="I22" s="130"/>
      <c r="J22" s="130"/>
      <c r="K22" s="128" t="n">
        <v>7000</v>
      </c>
      <c r="L22" s="128" t="n">
        <v>6</v>
      </c>
      <c r="M22" s="203" t="n">
        <f aca="false">IF(AA22,1,0)+AI22+AP22+AW22+BD22+BK22+BR22+BY22+CB22+CI22+CP22+CW22+DD22+DK22</f>
        <v>0</v>
      </c>
      <c r="N22" s="132"/>
      <c r="O22" s="132"/>
      <c r="P22" s="132"/>
      <c r="Q22" s="132"/>
      <c r="R22" s="132"/>
      <c r="S22" s="128"/>
      <c r="T22" s="128"/>
      <c r="U22" s="128"/>
      <c r="V22" s="132"/>
      <c r="W22" s="132"/>
      <c r="X22" s="132"/>
      <c r="Y22" s="132" t="n">
        <v>2</v>
      </c>
      <c r="Z22" s="131"/>
      <c r="AA22" s="128"/>
      <c r="AB22" s="128"/>
      <c r="AC22" s="128"/>
      <c r="AD22" s="128"/>
      <c r="AE22" s="128"/>
      <c r="AF22" s="128"/>
      <c r="AG22" s="205"/>
      <c r="AH22" s="128"/>
      <c r="AI22" s="128"/>
      <c r="AJ22" s="131"/>
      <c r="AK22" s="131"/>
      <c r="AL22" s="131"/>
      <c r="AM22" s="131"/>
      <c r="AN22" s="131"/>
      <c r="AO22" s="131"/>
      <c r="AP22" s="128"/>
      <c r="AQ22" s="131"/>
      <c r="AR22" s="131"/>
      <c r="AS22" s="131"/>
      <c r="AT22" s="133"/>
      <c r="AU22" s="160"/>
      <c r="AV22" s="160"/>
      <c r="AW22" s="20"/>
      <c r="AX22" s="160"/>
      <c r="AY22" s="160"/>
      <c r="AZ22" s="160"/>
      <c r="BA22" s="160"/>
      <c r="BB22" s="160"/>
      <c r="BC22" s="20"/>
      <c r="BD22" s="20"/>
      <c r="BE22" s="160"/>
      <c r="BF22" s="134"/>
      <c r="BG22" s="131"/>
      <c r="BH22" s="131"/>
      <c r="BI22" s="131"/>
      <c r="BJ22" s="128"/>
      <c r="BK22" s="128"/>
      <c r="BL22" s="131"/>
      <c r="BM22" s="131"/>
      <c r="BN22" s="131"/>
      <c r="BO22" s="131"/>
      <c r="BP22" s="131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28"/>
      <c r="CB22" s="128"/>
      <c r="CC22" s="131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28"/>
      <c r="CP22" s="128"/>
      <c r="CQ22" s="131"/>
      <c r="CR22" s="131"/>
      <c r="CS22" s="131"/>
      <c r="CT22" s="131"/>
      <c r="CU22" s="131"/>
      <c r="CV22" s="52"/>
      <c r="CW22" s="52"/>
      <c r="CX22" s="52"/>
      <c r="CY22" s="52"/>
      <c r="CZ22" s="52"/>
      <c r="DA22" s="52"/>
      <c r="DB22" s="52"/>
      <c r="DC22" s="128"/>
      <c r="DD22" s="128"/>
      <c r="DE22" s="131"/>
      <c r="DF22" s="131"/>
      <c r="DG22" s="131"/>
      <c r="DH22" s="131"/>
      <c r="DI22" s="131"/>
      <c r="DJ22" s="131"/>
      <c r="DK22" s="128"/>
      <c r="DL22" s="131"/>
      <c r="DM22" s="131"/>
      <c r="DN22" s="131"/>
      <c r="DO22" s="131"/>
      <c r="DP22" s="131"/>
    </row>
    <row r="23" customFormat="false" ht="12.8" hidden="false" customHeight="false" outlineLevel="0" collapsed="false">
      <c r="A23" s="16" t="s">
        <v>258</v>
      </c>
      <c r="B23" s="17" t="s">
        <v>93</v>
      </c>
      <c r="C23" s="156" t="s">
        <v>301</v>
      </c>
      <c r="D23" s="16" t="s">
        <v>305</v>
      </c>
      <c r="E23" s="156" t="s">
        <v>255</v>
      </c>
      <c r="F23" s="16" t="s">
        <v>237</v>
      </c>
      <c r="G23" s="154" t="s">
        <v>1103</v>
      </c>
      <c r="H23" s="148" t="s">
        <v>92</v>
      </c>
      <c r="I23" s="130"/>
      <c r="J23" s="130"/>
      <c r="K23" s="128" t="n">
        <v>7000</v>
      </c>
      <c r="L23" s="128" t="n">
        <v>6</v>
      </c>
      <c r="M23" s="203" t="n">
        <f aca="false">IF(AA23,1,0)+AI23+AP23+AW23+BD23+BK23+BR23+BY23+CB23+CI23+CP23+CW23+DD23+DK23</f>
        <v>0</v>
      </c>
      <c r="N23" s="132"/>
      <c r="O23" s="132"/>
      <c r="P23" s="132"/>
      <c r="Q23" s="132"/>
      <c r="R23" s="132"/>
      <c r="S23" s="128"/>
      <c r="T23" s="128"/>
      <c r="U23" s="128"/>
      <c r="V23" s="132"/>
      <c r="W23" s="132"/>
      <c r="X23" s="132" t="n">
        <v>2</v>
      </c>
      <c r="Y23" s="132"/>
      <c r="Z23" s="23" t="s">
        <v>593</v>
      </c>
      <c r="AA23" s="128" t="n">
        <v>12</v>
      </c>
      <c r="AB23" s="21" t="s">
        <v>1108</v>
      </c>
      <c r="AC23" s="128"/>
      <c r="AD23" s="128"/>
      <c r="AE23" s="128"/>
      <c r="AF23" s="128"/>
      <c r="AG23" s="205" t="s">
        <v>1109</v>
      </c>
      <c r="AH23" s="128" t="n">
        <v>8</v>
      </c>
      <c r="AI23" s="128" t="n">
        <v>1</v>
      </c>
      <c r="AJ23" s="131" t="s">
        <v>560</v>
      </c>
      <c r="AK23" s="131" t="s">
        <v>561</v>
      </c>
      <c r="AL23" s="131" t="s">
        <v>562</v>
      </c>
      <c r="AM23" s="131" t="s">
        <v>563</v>
      </c>
      <c r="AN23" s="131"/>
      <c r="AO23" s="131"/>
      <c r="AP23" s="128"/>
      <c r="AQ23" s="131"/>
      <c r="AR23" s="131"/>
      <c r="AS23" s="131"/>
      <c r="AT23" s="133"/>
      <c r="AU23" s="160"/>
      <c r="AV23" s="160"/>
      <c r="AW23" s="20"/>
      <c r="AX23" s="160"/>
      <c r="AY23" s="160"/>
      <c r="AZ23" s="160"/>
      <c r="BA23" s="160"/>
      <c r="BB23" s="160"/>
      <c r="BC23" s="20"/>
      <c r="BD23" s="20"/>
      <c r="BE23" s="160"/>
      <c r="BF23" s="134"/>
      <c r="BG23" s="131"/>
      <c r="BH23" s="131"/>
      <c r="BI23" s="131"/>
      <c r="BJ23" s="128" t="n">
        <v>8</v>
      </c>
      <c r="BK23" s="128" t="n">
        <v>3</v>
      </c>
      <c r="BL23" s="131" t="s">
        <v>557</v>
      </c>
      <c r="BM23" s="131" t="s">
        <v>398</v>
      </c>
      <c r="BN23" s="131" t="s">
        <v>377</v>
      </c>
      <c r="BO23" s="131" t="s">
        <v>399</v>
      </c>
      <c r="BP23" s="131"/>
      <c r="BQ23" s="128" t="n">
        <v>8</v>
      </c>
      <c r="BR23" s="39" t="n">
        <v>1</v>
      </c>
      <c r="BS23" s="114" t="s">
        <v>385</v>
      </c>
      <c r="BT23" s="114" t="s">
        <v>377</v>
      </c>
      <c r="BU23" s="114" t="s">
        <v>386</v>
      </c>
      <c r="BV23" s="114" t="s">
        <v>378</v>
      </c>
      <c r="BW23" s="16"/>
      <c r="BX23" s="16"/>
      <c r="BY23" s="16"/>
      <c r="BZ23" s="16"/>
      <c r="CA23" s="128" t="n">
        <v>8</v>
      </c>
      <c r="CB23" s="128" t="n">
        <v>1</v>
      </c>
      <c r="CC23" s="131" t="s">
        <v>398</v>
      </c>
      <c r="CD23" s="131" t="s">
        <v>399</v>
      </c>
      <c r="CE23" s="131" t="s">
        <v>378</v>
      </c>
      <c r="CF23" s="131" t="s">
        <v>615</v>
      </c>
      <c r="CG23" s="131"/>
      <c r="CH23" s="131"/>
      <c r="CI23" s="131"/>
      <c r="CJ23" s="131"/>
      <c r="CK23" s="131"/>
      <c r="CL23" s="131"/>
      <c r="CM23" s="131"/>
      <c r="CN23" s="131"/>
      <c r="CO23" s="128" t="n">
        <v>8</v>
      </c>
      <c r="CP23" s="128" t="n">
        <v>1</v>
      </c>
      <c r="CQ23" s="131" t="s">
        <v>398</v>
      </c>
      <c r="CR23" s="131" t="s">
        <v>399</v>
      </c>
      <c r="CS23" s="131" t="s">
        <v>378</v>
      </c>
      <c r="CT23" s="131" t="s">
        <v>615</v>
      </c>
      <c r="CU23" s="131"/>
      <c r="CV23" s="52"/>
      <c r="CW23" s="52"/>
      <c r="CX23" s="52"/>
      <c r="CY23" s="52"/>
      <c r="CZ23" s="52"/>
      <c r="DA23" s="52"/>
      <c r="DB23" s="52"/>
      <c r="DC23" s="128"/>
      <c r="DD23" s="128"/>
      <c r="DE23" s="131"/>
      <c r="DF23" s="131"/>
      <c r="DG23" s="131"/>
      <c r="DH23" s="131"/>
      <c r="DI23" s="131"/>
      <c r="DJ23" s="131"/>
      <c r="DK23" s="128"/>
      <c r="DL23" s="131"/>
      <c r="DM23" s="131"/>
      <c r="DN23" s="131"/>
      <c r="DO23" s="131"/>
      <c r="DP23" s="131"/>
    </row>
    <row r="24" customFormat="false" ht="12.8" hidden="false" customHeight="false" outlineLevel="0" collapsed="false">
      <c r="A24" s="16" t="s">
        <v>258</v>
      </c>
      <c r="B24" s="17" t="s">
        <v>113</v>
      </c>
      <c r="C24" s="17" t="s">
        <v>272</v>
      </c>
      <c r="D24" s="17" t="s">
        <v>274</v>
      </c>
      <c r="E24" s="156" t="s">
        <v>87</v>
      </c>
      <c r="F24" s="16" t="s">
        <v>237</v>
      </c>
      <c r="G24" s="154" t="s">
        <v>1110</v>
      </c>
      <c r="H24" s="148" t="s">
        <v>92</v>
      </c>
      <c r="I24" s="130"/>
      <c r="J24" s="130"/>
      <c r="K24" s="128" t="n">
        <v>7000</v>
      </c>
      <c r="L24" s="128" t="n">
        <v>5</v>
      </c>
      <c r="M24" s="203" t="n">
        <f aca="false">IF(AA24,1,0)+AI24+AP24+AW24+BD24+BK24+BR24+BY24+CB24+CI24+CP24+CW24+DD24+DK24</f>
        <v>0</v>
      </c>
      <c r="N24" s="132"/>
      <c r="O24" s="132"/>
      <c r="P24" s="132"/>
      <c r="Q24" s="132"/>
      <c r="R24" s="132"/>
      <c r="S24" s="128"/>
      <c r="T24" s="128"/>
      <c r="U24" s="128"/>
      <c r="V24" s="132"/>
      <c r="W24" s="132" t="n">
        <v>3</v>
      </c>
      <c r="X24" s="132"/>
      <c r="Y24" s="132"/>
      <c r="Z24" s="16"/>
      <c r="AA24" s="16"/>
      <c r="AB24" s="16"/>
      <c r="AC24" s="128"/>
      <c r="AD24" s="128"/>
      <c r="AE24" s="128"/>
      <c r="AF24" s="128"/>
      <c r="AG24" s="192"/>
      <c r="AH24" s="128" t="n">
        <v>10</v>
      </c>
      <c r="AI24" s="128" t="n">
        <v>1</v>
      </c>
      <c r="AJ24" s="131" t="s">
        <v>633</v>
      </c>
      <c r="AK24" s="131" t="s">
        <v>634</v>
      </c>
      <c r="AL24" s="131" t="s">
        <v>635</v>
      </c>
      <c r="AM24" s="131" t="s">
        <v>636</v>
      </c>
      <c r="AN24" s="131" t="s">
        <v>563</v>
      </c>
      <c r="AO24" s="131"/>
      <c r="AP24" s="128"/>
      <c r="AQ24" s="131"/>
      <c r="AR24" s="131"/>
      <c r="AS24" s="131"/>
      <c r="AT24" s="131"/>
      <c r="AU24" s="160"/>
      <c r="AV24" s="160"/>
      <c r="AW24" s="20"/>
      <c r="AX24" s="160"/>
      <c r="AY24" s="160"/>
      <c r="AZ24" s="160"/>
      <c r="BA24" s="160"/>
      <c r="BB24" s="160"/>
      <c r="BC24" s="160"/>
      <c r="BD24" s="20"/>
      <c r="BE24" s="160"/>
      <c r="BF24" s="131"/>
      <c r="BG24" s="131"/>
      <c r="BH24" s="131"/>
      <c r="BI24" s="131"/>
      <c r="BJ24" s="128" t="n">
        <v>10</v>
      </c>
      <c r="BK24" s="128" t="n">
        <v>2</v>
      </c>
      <c r="BL24" s="131" t="s">
        <v>381</v>
      </c>
      <c r="BM24" s="131" t="s">
        <v>382</v>
      </c>
      <c r="BN24" s="131" t="s">
        <v>383</v>
      </c>
      <c r="BO24" s="131" t="s">
        <v>384</v>
      </c>
      <c r="BP24" s="131" t="s">
        <v>399</v>
      </c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28" t="n">
        <v>10</v>
      </c>
      <c r="CB24" s="128" t="n">
        <v>2</v>
      </c>
      <c r="CC24" s="131" t="s">
        <v>382</v>
      </c>
      <c r="CD24" s="131" t="s">
        <v>384</v>
      </c>
      <c r="CE24" s="131" t="s">
        <v>574</v>
      </c>
      <c r="CF24" s="131" t="s">
        <v>616</v>
      </c>
      <c r="CG24" s="131" t="s">
        <v>615</v>
      </c>
      <c r="CH24" s="131"/>
      <c r="CI24" s="131"/>
      <c r="CJ24" s="131"/>
      <c r="CK24" s="131"/>
      <c r="CL24" s="131"/>
      <c r="CM24" s="131"/>
      <c r="CN24" s="131"/>
      <c r="CO24" s="128" t="n">
        <v>10</v>
      </c>
      <c r="CP24" s="128" t="n">
        <v>1</v>
      </c>
      <c r="CQ24" s="131" t="s">
        <v>382</v>
      </c>
      <c r="CR24" s="131" t="s">
        <v>384</v>
      </c>
      <c r="CS24" s="131" t="s">
        <v>574</v>
      </c>
      <c r="CT24" s="131" t="s">
        <v>616</v>
      </c>
      <c r="CU24" s="131" t="s">
        <v>615</v>
      </c>
      <c r="CV24" s="52"/>
      <c r="CW24" s="52"/>
      <c r="CX24" s="52"/>
      <c r="CY24" s="52"/>
      <c r="CZ24" s="52"/>
      <c r="DA24" s="52"/>
      <c r="DB24" s="52"/>
      <c r="DC24" s="128" t="n">
        <v>10</v>
      </c>
      <c r="DD24" s="128" t="n">
        <v>1</v>
      </c>
      <c r="DE24" s="131" t="s">
        <v>383</v>
      </c>
      <c r="DF24" s="131" t="s">
        <v>574</v>
      </c>
      <c r="DG24" s="131" t="s">
        <v>467</v>
      </c>
      <c r="DH24" s="131" t="s">
        <v>468</v>
      </c>
      <c r="DI24" s="131" t="s">
        <v>380</v>
      </c>
      <c r="DJ24" s="131"/>
      <c r="DK24" s="128"/>
      <c r="DL24" s="131"/>
      <c r="DM24" s="131"/>
      <c r="DN24" s="131"/>
      <c r="DO24" s="131"/>
      <c r="DP24" s="131"/>
    </row>
    <row r="25" customFormat="false" ht="12.8" hidden="false" customHeight="false" outlineLevel="0" collapsed="false">
      <c r="A25" s="36" t="s">
        <v>258</v>
      </c>
      <c r="B25" s="35" t="s">
        <v>113</v>
      </c>
      <c r="C25" s="35" t="s">
        <v>272</v>
      </c>
      <c r="D25" s="35" t="s">
        <v>275</v>
      </c>
      <c r="E25" s="34" t="s">
        <v>88</v>
      </c>
      <c r="F25" s="36" t="s">
        <v>237</v>
      </c>
      <c r="G25" s="154" t="s">
        <v>1110</v>
      </c>
      <c r="H25" s="148" t="s">
        <v>92</v>
      </c>
      <c r="I25" s="130"/>
      <c r="J25" s="130"/>
      <c r="K25" s="128" t="n">
        <v>7000</v>
      </c>
      <c r="L25" s="128" t="n">
        <v>0</v>
      </c>
      <c r="M25" s="203" t="n">
        <f aca="false">IF(AA25,1,0)+AI25+AP25+AW25+BD25+BK25+BR25+BY25+CB25+CI25+CP25+CW25+DD25+DK25</f>
        <v>0</v>
      </c>
      <c r="N25" s="132"/>
      <c r="O25" s="132"/>
      <c r="P25" s="132"/>
      <c r="Q25" s="132"/>
      <c r="R25" s="132"/>
      <c r="S25" s="128"/>
      <c r="T25" s="128"/>
      <c r="U25" s="128"/>
      <c r="V25" s="132"/>
      <c r="W25" s="132"/>
      <c r="X25" s="132"/>
      <c r="Y25" s="132"/>
      <c r="Z25" s="16"/>
      <c r="AA25" s="16"/>
      <c r="AB25" s="16"/>
      <c r="AC25" s="128"/>
      <c r="AD25" s="128"/>
      <c r="AE25" s="128"/>
      <c r="AF25" s="128"/>
      <c r="AG25" s="192"/>
      <c r="AH25" s="128"/>
      <c r="AI25" s="128"/>
      <c r="AJ25" s="131"/>
      <c r="AK25" s="131"/>
      <c r="AL25" s="131"/>
      <c r="AM25" s="131"/>
      <c r="AN25" s="131"/>
      <c r="AO25" s="131"/>
      <c r="AP25" s="128"/>
      <c r="AQ25" s="131"/>
      <c r="AR25" s="131"/>
      <c r="AS25" s="131"/>
      <c r="AT25" s="131"/>
      <c r="AU25" s="160"/>
      <c r="AV25" s="160"/>
      <c r="AW25" s="20"/>
      <c r="AX25" s="160"/>
      <c r="AY25" s="160"/>
      <c r="AZ25" s="160"/>
      <c r="BA25" s="160"/>
      <c r="BB25" s="160"/>
      <c r="BC25" s="160"/>
      <c r="BD25" s="20"/>
      <c r="BE25" s="160"/>
      <c r="BF25" s="131"/>
      <c r="BG25" s="131"/>
      <c r="BH25" s="131"/>
      <c r="BI25" s="131"/>
      <c r="BJ25" s="128"/>
      <c r="BK25" s="128"/>
      <c r="BL25" s="131"/>
      <c r="BM25" s="131"/>
      <c r="BN25" s="131"/>
      <c r="BO25" s="131"/>
      <c r="BP25" s="131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28"/>
      <c r="CB25" s="128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28"/>
      <c r="CP25" s="128"/>
      <c r="CQ25" s="131"/>
      <c r="CR25" s="131"/>
      <c r="CS25" s="131"/>
      <c r="CT25" s="131"/>
      <c r="CU25" s="131"/>
      <c r="CV25" s="52"/>
      <c r="CW25" s="52"/>
      <c r="CX25" s="52"/>
      <c r="CY25" s="52"/>
      <c r="CZ25" s="52"/>
      <c r="DA25" s="52"/>
      <c r="DB25" s="52"/>
      <c r="DC25" s="128"/>
      <c r="DD25" s="128"/>
      <c r="DE25" s="131"/>
      <c r="DF25" s="131"/>
      <c r="DG25" s="131"/>
      <c r="DH25" s="131"/>
      <c r="DI25" s="131"/>
      <c r="DJ25" s="131"/>
      <c r="DK25" s="128"/>
      <c r="DL25" s="131"/>
      <c r="DM25" s="131"/>
      <c r="DN25" s="131"/>
      <c r="DO25" s="131"/>
      <c r="DP25" s="131"/>
    </row>
    <row r="26" customFormat="false" ht="12.8" hidden="false" customHeight="false" outlineLevel="0" collapsed="false">
      <c r="A26" s="36" t="s">
        <v>258</v>
      </c>
      <c r="B26" s="35" t="s">
        <v>113</v>
      </c>
      <c r="C26" s="34" t="s">
        <v>268</v>
      </c>
      <c r="D26" s="35" t="s">
        <v>269</v>
      </c>
      <c r="E26" s="130" t="s">
        <v>89</v>
      </c>
      <c r="F26" s="36" t="s">
        <v>270</v>
      </c>
      <c r="G26" s="154" t="s">
        <v>1111</v>
      </c>
      <c r="H26" s="148" t="s">
        <v>92</v>
      </c>
      <c r="I26" s="130"/>
      <c r="J26" s="130"/>
      <c r="K26" s="128" t="n">
        <v>7000</v>
      </c>
      <c r="L26" s="128" t="n">
        <v>5</v>
      </c>
      <c r="M26" s="203" t="n">
        <f aca="false">IF(AA26,1,0)+AI26+AP26+AW26+BD26+BK26+BR26+BY26+CB26+CI26+CP26+CW26+DD26+DK26</f>
        <v>0</v>
      </c>
      <c r="N26" s="132"/>
      <c r="O26" s="132"/>
      <c r="P26" s="132"/>
      <c r="Q26" s="132"/>
      <c r="R26" s="132"/>
      <c r="S26" s="128"/>
      <c r="T26" s="128"/>
      <c r="U26" s="128"/>
      <c r="V26" s="132"/>
      <c r="W26" s="132"/>
      <c r="X26" s="132"/>
      <c r="Y26" s="132" t="n">
        <v>4</v>
      </c>
      <c r="Z26" s="16"/>
      <c r="AA26" s="16"/>
      <c r="AB26" s="16"/>
      <c r="AC26" s="128"/>
      <c r="AD26" s="128"/>
      <c r="AE26" s="128"/>
      <c r="AF26" s="128"/>
      <c r="AG26" s="209"/>
      <c r="AH26" s="128" t="n">
        <v>10</v>
      </c>
      <c r="AI26" s="128" t="n">
        <v>1</v>
      </c>
      <c r="AJ26" s="131" t="s">
        <v>633</v>
      </c>
      <c r="AK26" s="131" t="s">
        <v>634</v>
      </c>
      <c r="AL26" s="131" t="s">
        <v>635</v>
      </c>
      <c r="AM26" s="131" t="s">
        <v>636</v>
      </c>
      <c r="AN26" s="131" t="s">
        <v>563</v>
      </c>
      <c r="AO26" s="131"/>
      <c r="AP26" s="128"/>
      <c r="AQ26" s="131"/>
      <c r="AR26" s="131"/>
      <c r="AS26" s="131"/>
      <c r="AT26" s="131"/>
      <c r="AU26" s="160"/>
      <c r="AV26" s="160"/>
      <c r="AW26" s="20"/>
      <c r="AX26" s="160"/>
      <c r="AY26" s="160"/>
      <c r="AZ26" s="160"/>
      <c r="BA26" s="160"/>
      <c r="BB26" s="160"/>
      <c r="BC26" s="160"/>
      <c r="BD26" s="20"/>
      <c r="BE26" s="160"/>
      <c r="BF26" s="134"/>
      <c r="BG26" s="131"/>
      <c r="BH26" s="131"/>
      <c r="BI26" s="131"/>
      <c r="BJ26" s="128" t="n">
        <v>10</v>
      </c>
      <c r="BK26" s="128" t="n">
        <v>2</v>
      </c>
      <c r="BL26" s="131" t="s">
        <v>381</v>
      </c>
      <c r="BM26" s="131" t="s">
        <v>382</v>
      </c>
      <c r="BN26" s="131" t="s">
        <v>383</v>
      </c>
      <c r="BO26" s="131" t="s">
        <v>384</v>
      </c>
      <c r="BP26" s="131" t="s">
        <v>399</v>
      </c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28" t="n">
        <v>10</v>
      </c>
      <c r="CB26" s="128" t="n">
        <v>2</v>
      </c>
      <c r="CC26" s="131" t="s">
        <v>382</v>
      </c>
      <c r="CD26" s="131" t="s">
        <v>384</v>
      </c>
      <c r="CE26" s="131" t="s">
        <v>574</v>
      </c>
      <c r="CF26" s="131" t="s">
        <v>616</v>
      </c>
      <c r="CG26" s="131" t="s">
        <v>615</v>
      </c>
      <c r="CH26" s="131"/>
      <c r="CI26" s="131"/>
      <c r="CJ26" s="131"/>
      <c r="CK26" s="131"/>
      <c r="CL26" s="131"/>
      <c r="CM26" s="131"/>
      <c r="CN26" s="131"/>
      <c r="CO26" s="128" t="n">
        <v>10</v>
      </c>
      <c r="CP26" s="128" t="n">
        <v>1</v>
      </c>
      <c r="CQ26" s="131" t="s">
        <v>382</v>
      </c>
      <c r="CR26" s="131" t="s">
        <v>384</v>
      </c>
      <c r="CS26" s="131" t="s">
        <v>574</v>
      </c>
      <c r="CT26" s="131" t="s">
        <v>616</v>
      </c>
      <c r="CU26" s="131" t="s">
        <v>615</v>
      </c>
      <c r="CV26" s="52"/>
      <c r="CW26" s="52"/>
      <c r="CX26" s="52"/>
      <c r="CY26" s="52"/>
      <c r="CZ26" s="52"/>
      <c r="DA26" s="52"/>
      <c r="DB26" s="52"/>
      <c r="DC26" s="128" t="n">
        <v>10</v>
      </c>
      <c r="DD26" s="128" t="n">
        <v>1</v>
      </c>
      <c r="DE26" s="131" t="s">
        <v>383</v>
      </c>
      <c r="DF26" s="131" t="s">
        <v>574</v>
      </c>
      <c r="DG26" s="131" t="s">
        <v>467</v>
      </c>
      <c r="DH26" s="131" t="s">
        <v>468</v>
      </c>
      <c r="DI26" s="131" t="s">
        <v>380</v>
      </c>
      <c r="DJ26" s="131"/>
      <c r="DK26" s="128"/>
      <c r="DL26" s="131"/>
      <c r="DM26" s="131"/>
      <c r="DN26" s="131"/>
      <c r="DO26" s="131"/>
      <c r="DP26" s="131"/>
    </row>
    <row r="27" customFormat="false" ht="12.8" hidden="false" customHeight="false" outlineLevel="0" collapsed="false">
      <c r="A27" s="36" t="s">
        <v>258</v>
      </c>
      <c r="B27" s="35" t="s">
        <v>113</v>
      </c>
      <c r="C27" s="34" t="s">
        <v>268</v>
      </c>
      <c r="D27" s="35" t="s">
        <v>263</v>
      </c>
      <c r="E27" s="34" t="s">
        <v>88</v>
      </c>
      <c r="F27" s="36" t="s">
        <v>237</v>
      </c>
      <c r="G27" s="154" t="s">
        <v>1110</v>
      </c>
      <c r="H27" s="148" t="s">
        <v>92</v>
      </c>
      <c r="I27" s="130"/>
      <c r="J27" s="130"/>
      <c r="K27" s="128" t="n">
        <v>7000</v>
      </c>
      <c r="L27" s="128" t="n">
        <v>5</v>
      </c>
      <c r="M27" s="203" t="n">
        <f aca="false">IF(AA27,1,0)+AI27+AP27+AW27+BD27+BK27+BR27+BY27+CB27+CI27+CP27+CW27+DD27+DK27</f>
        <v>0</v>
      </c>
      <c r="N27" s="132"/>
      <c r="O27" s="132"/>
      <c r="P27" s="132"/>
      <c r="Q27" s="132"/>
      <c r="R27" s="132"/>
      <c r="S27" s="128"/>
      <c r="T27" s="128"/>
      <c r="U27" s="128"/>
      <c r="V27" s="132"/>
      <c r="W27" s="132"/>
      <c r="X27" s="132" t="n">
        <v>4</v>
      </c>
      <c r="Y27" s="132"/>
      <c r="Z27" s="16"/>
      <c r="AA27" s="16"/>
      <c r="AB27" s="16"/>
      <c r="AC27" s="128"/>
      <c r="AD27" s="128"/>
      <c r="AE27" s="128"/>
      <c r="AF27" s="128"/>
      <c r="AG27" s="209"/>
      <c r="AH27" s="128" t="n">
        <v>10</v>
      </c>
      <c r="AI27" s="128" t="n">
        <v>1</v>
      </c>
      <c r="AJ27" s="131" t="s">
        <v>633</v>
      </c>
      <c r="AK27" s="131" t="s">
        <v>634</v>
      </c>
      <c r="AL27" s="131" t="s">
        <v>635</v>
      </c>
      <c r="AM27" s="131" t="s">
        <v>636</v>
      </c>
      <c r="AN27" s="131" t="s">
        <v>563</v>
      </c>
      <c r="AO27" s="131"/>
      <c r="AP27" s="128"/>
      <c r="AQ27" s="131"/>
      <c r="AR27" s="131"/>
      <c r="AS27" s="131"/>
      <c r="AT27" s="131"/>
      <c r="AU27" s="160"/>
      <c r="AV27" s="160"/>
      <c r="AW27" s="20"/>
      <c r="AX27" s="160"/>
      <c r="AY27" s="160"/>
      <c r="AZ27" s="160"/>
      <c r="BA27" s="160"/>
      <c r="BB27" s="160"/>
      <c r="BC27" s="160"/>
      <c r="BD27" s="20"/>
      <c r="BE27" s="160"/>
      <c r="BF27" s="134"/>
      <c r="BG27" s="131"/>
      <c r="BH27" s="131"/>
      <c r="BI27" s="131"/>
      <c r="BJ27" s="128" t="n">
        <v>10</v>
      </c>
      <c r="BK27" s="128" t="n">
        <v>2</v>
      </c>
      <c r="BL27" s="131" t="s">
        <v>381</v>
      </c>
      <c r="BM27" s="131" t="s">
        <v>382</v>
      </c>
      <c r="BN27" s="131" t="s">
        <v>383</v>
      </c>
      <c r="BO27" s="131" t="s">
        <v>384</v>
      </c>
      <c r="BP27" s="131" t="s">
        <v>399</v>
      </c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28" t="n">
        <v>10</v>
      </c>
      <c r="CB27" s="128" t="n">
        <v>2</v>
      </c>
      <c r="CC27" s="131" t="s">
        <v>382</v>
      </c>
      <c r="CD27" s="131" t="s">
        <v>384</v>
      </c>
      <c r="CE27" s="131" t="s">
        <v>574</v>
      </c>
      <c r="CF27" s="131" t="s">
        <v>616</v>
      </c>
      <c r="CG27" s="131" t="s">
        <v>615</v>
      </c>
      <c r="CH27" s="131"/>
      <c r="CI27" s="131"/>
      <c r="CJ27" s="131"/>
      <c r="CK27" s="131"/>
      <c r="CL27" s="131"/>
      <c r="CM27" s="131"/>
      <c r="CN27" s="131"/>
      <c r="CO27" s="128" t="n">
        <v>10</v>
      </c>
      <c r="CP27" s="128" t="n">
        <v>1</v>
      </c>
      <c r="CQ27" s="131" t="s">
        <v>382</v>
      </c>
      <c r="CR27" s="131" t="s">
        <v>384</v>
      </c>
      <c r="CS27" s="131" t="s">
        <v>574</v>
      </c>
      <c r="CT27" s="131" t="s">
        <v>616</v>
      </c>
      <c r="CU27" s="131" t="s">
        <v>615</v>
      </c>
      <c r="CV27" s="52"/>
      <c r="CW27" s="52"/>
      <c r="CX27" s="52"/>
      <c r="CY27" s="52"/>
      <c r="CZ27" s="52"/>
      <c r="DA27" s="52"/>
      <c r="DB27" s="52"/>
      <c r="DC27" s="128" t="n">
        <v>10</v>
      </c>
      <c r="DD27" s="128" t="n">
        <v>1</v>
      </c>
      <c r="DE27" s="131" t="s">
        <v>383</v>
      </c>
      <c r="DF27" s="131" t="s">
        <v>574</v>
      </c>
      <c r="DG27" s="131" t="s">
        <v>467</v>
      </c>
      <c r="DH27" s="131" t="s">
        <v>468</v>
      </c>
      <c r="DI27" s="131" t="s">
        <v>380</v>
      </c>
      <c r="DJ27" s="131"/>
      <c r="DK27" s="128"/>
      <c r="DL27" s="131"/>
      <c r="DM27" s="131"/>
      <c r="DN27" s="131"/>
      <c r="DO27" s="131"/>
      <c r="DP27" s="131"/>
    </row>
    <row r="28" customFormat="false" ht="12.8" hidden="false" customHeight="false" outlineLevel="0" collapsed="false">
      <c r="A28" s="36" t="s">
        <v>258</v>
      </c>
      <c r="B28" s="36" t="s">
        <v>98</v>
      </c>
      <c r="C28" s="35" t="s">
        <v>259</v>
      </c>
      <c r="D28" s="35" t="s">
        <v>260</v>
      </c>
      <c r="E28" s="58" t="s">
        <v>89</v>
      </c>
      <c r="F28" s="35" t="s">
        <v>188</v>
      </c>
      <c r="G28" s="154" t="s">
        <v>1103</v>
      </c>
      <c r="H28" s="150"/>
      <c r="I28" s="130"/>
      <c r="J28" s="130"/>
      <c r="K28" s="128" t="n">
        <v>7000</v>
      </c>
      <c r="L28" s="128" t="n">
        <v>5</v>
      </c>
      <c r="M28" s="203" t="n">
        <f aca="false">IF(AA28,1,0)+AI28+AP28+AW28+BD28+BK28+BR28+BY28+CB28+CI28+CP28+CW28+DD28+DK28</f>
        <v>0</v>
      </c>
      <c r="N28" s="132"/>
      <c r="O28" s="132"/>
      <c r="P28" s="132"/>
      <c r="Q28" s="132"/>
      <c r="R28" s="132"/>
      <c r="S28" s="128"/>
      <c r="T28" s="128"/>
      <c r="U28" s="128"/>
      <c r="V28" s="132"/>
      <c r="W28" s="132"/>
      <c r="X28" s="132"/>
      <c r="Y28" s="132" t="n">
        <v>4</v>
      </c>
      <c r="Z28" s="23" t="s">
        <v>593</v>
      </c>
      <c r="AA28" s="128" t="n">
        <v>15</v>
      </c>
      <c r="AB28" s="21" t="s">
        <v>594</v>
      </c>
      <c r="AC28" s="128"/>
      <c r="AD28" s="128"/>
      <c r="AE28" s="128"/>
      <c r="AF28" s="128"/>
      <c r="AG28" s="205" t="s">
        <v>1076</v>
      </c>
      <c r="AH28" s="128"/>
      <c r="AI28" s="128"/>
      <c r="AJ28" s="131"/>
      <c r="AK28" s="131"/>
      <c r="AL28" s="131"/>
      <c r="AM28" s="131"/>
      <c r="AN28" s="131"/>
      <c r="AO28" s="131"/>
      <c r="AP28" s="128"/>
      <c r="AQ28" s="131"/>
      <c r="AR28" s="131"/>
      <c r="AS28" s="131"/>
      <c r="AT28" s="131"/>
      <c r="AU28" s="160"/>
      <c r="AV28" s="160"/>
      <c r="AW28" s="20"/>
      <c r="AX28" s="160"/>
      <c r="AY28" s="160"/>
      <c r="AZ28" s="160"/>
      <c r="BA28" s="160"/>
      <c r="BB28" s="160"/>
      <c r="BC28" s="128" t="n">
        <v>10</v>
      </c>
      <c r="BD28" s="128" t="n">
        <v>1</v>
      </c>
      <c r="BE28" s="131" t="s">
        <v>634</v>
      </c>
      <c r="BF28" s="134" t="s">
        <v>636</v>
      </c>
      <c r="BG28" s="131" t="s">
        <v>1079</v>
      </c>
      <c r="BH28" s="131" t="s">
        <v>1094</v>
      </c>
      <c r="BI28" s="131" t="s">
        <v>1095</v>
      </c>
      <c r="BJ28" s="128" t="n">
        <v>10</v>
      </c>
      <c r="BK28" s="128" t="n">
        <v>1</v>
      </c>
      <c r="BL28" s="131" t="s">
        <v>381</v>
      </c>
      <c r="BM28" s="131" t="s">
        <v>382</v>
      </c>
      <c r="BN28" s="131" t="s">
        <v>383</v>
      </c>
      <c r="BO28" s="131" t="s">
        <v>384</v>
      </c>
      <c r="BP28" s="131" t="s">
        <v>399</v>
      </c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28" t="n">
        <v>10</v>
      </c>
      <c r="CB28" s="128" t="n">
        <v>2</v>
      </c>
      <c r="CC28" s="131" t="s">
        <v>382</v>
      </c>
      <c r="CD28" s="131" t="s">
        <v>384</v>
      </c>
      <c r="CE28" s="131" t="s">
        <v>574</v>
      </c>
      <c r="CF28" s="131" t="s">
        <v>616</v>
      </c>
      <c r="CG28" s="131" t="s">
        <v>615</v>
      </c>
      <c r="CH28" s="131"/>
      <c r="CI28" s="131"/>
      <c r="CJ28" s="131"/>
      <c r="CK28" s="131"/>
      <c r="CL28" s="131"/>
      <c r="CM28" s="131"/>
      <c r="CN28" s="131"/>
      <c r="CO28" s="128" t="n">
        <v>10</v>
      </c>
      <c r="CP28" s="128" t="n">
        <v>1</v>
      </c>
      <c r="CQ28" s="131" t="s">
        <v>382</v>
      </c>
      <c r="CR28" s="131" t="s">
        <v>384</v>
      </c>
      <c r="CS28" s="131" t="s">
        <v>574</v>
      </c>
      <c r="CT28" s="131" t="s">
        <v>616</v>
      </c>
      <c r="CU28" s="131" t="s">
        <v>615</v>
      </c>
      <c r="CV28" s="52"/>
      <c r="CW28" s="52"/>
      <c r="CX28" s="52"/>
      <c r="CY28" s="52"/>
      <c r="CZ28" s="52"/>
      <c r="DA28" s="52"/>
      <c r="DB28" s="52"/>
      <c r="DC28" s="128" t="n">
        <v>10</v>
      </c>
      <c r="DD28" s="128" t="n">
        <v>1</v>
      </c>
      <c r="DE28" s="131" t="s">
        <v>383</v>
      </c>
      <c r="DF28" s="131" t="s">
        <v>574</v>
      </c>
      <c r="DG28" s="131" t="s">
        <v>467</v>
      </c>
      <c r="DH28" s="131" t="s">
        <v>468</v>
      </c>
      <c r="DI28" s="131" t="s">
        <v>380</v>
      </c>
      <c r="DJ28" s="131"/>
      <c r="DK28" s="128"/>
      <c r="DL28" s="131"/>
      <c r="DM28" s="131"/>
      <c r="DN28" s="131"/>
      <c r="DO28" s="131"/>
      <c r="DP28" s="131"/>
    </row>
    <row r="29" customFormat="false" ht="12.8" hidden="false" customHeight="false" outlineLevel="0" collapsed="false">
      <c r="A29" s="152" t="s">
        <v>311</v>
      </c>
      <c r="B29" s="153" t="s">
        <v>81</v>
      </c>
      <c r="C29" s="153" t="s">
        <v>322</v>
      </c>
      <c r="D29" s="153" t="s">
        <v>323</v>
      </c>
      <c r="E29" s="130" t="s">
        <v>84</v>
      </c>
      <c r="F29" s="17" t="s">
        <v>85</v>
      </c>
      <c r="G29" s="154" t="s">
        <v>1112</v>
      </c>
      <c r="H29" s="150"/>
      <c r="I29" s="130" t="s">
        <v>767</v>
      </c>
      <c r="J29" s="17" t="s">
        <v>498</v>
      </c>
      <c r="K29" s="128" t="n">
        <v>13000</v>
      </c>
      <c r="L29" s="128"/>
      <c r="M29" s="203" t="n">
        <f aca="false">IF(AA29,1,0)+AI29+AP29+AW29+BD29+BK29+BR29+BY29+CB29+CI29+CP29+CW29+DD29+DK29</f>
        <v>0</v>
      </c>
      <c r="N29" s="132"/>
      <c r="O29" s="132"/>
      <c r="P29" s="132"/>
      <c r="Q29" s="132"/>
      <c r="R29" s="132"/>
      <c r="S29" s="128"/>
      <c r="T29" s="128"/>
      <c r="U29" s="128"/>
      <c r="V29" s="132"/>
      <c r="W29" s="132"/>
      <c r="X29" s="132"/>
      <c r="Y29" s="132"/>
      <c r="Z29" s="16"/>
      <c r="AA29" s="16"/>
      <c r="AB29" s="16"/>
      <c r="AC29" s="128"/>
      <c r="AD29" s="128"/>
      <c r="AE29" s="128"/>
      <c r="AF29" s="128"/>
      <c r="AG29" s="192"/>
      <c r="AH29" s="16"/>
      <c r="AI29" s="16"/>
      <c r="AJ29" s="16"/>
      <c r="AK29" s="16"/>
      <c r="AL29" s="16"/>
      <c r="AM29" s="52"/>
      <c r="AN29" s="52"/>
      <c r="AO29" s="131"/>
      <c r="AP29" s="128"/>
      <c r="AQ29" s="131"/>
      <c r="AR29" s="131"/>
      <c r="AS29" s="131"/>
      <c r="AT29" s="131"/>
      <c r="AU29" s="131"/>
      <c r="AV29" s="131"/>
      <c r="AW29" s="128"/>
      <c r="AX29" s="131"/>
      <c r="AY29" s="131"/>
      <c r="AZ29" s="131"/>
      <c r="BA29" s="131"/>
      <c r="BB29" s="131"/>
      <c r="BC29" s="131"/>
      <c r="BD29" s="128"/>
      <c r="BE29" s="131"/>
      <c r="BF29" s="131"/>
      <c r="BG29" s="131"/>
      <c r="BH29" s="131"/>
      <c r="BI29" s="131"/>
      <c r="BJ29" s="16"/>
      <c r="BK29" s="16"/>
      <c r="BL29" s="16"/>
      <c r="BM29" s="16"/>
      <c r="BN29" s="16"/>
      <c r="BO29" s="52"/>
      <c r="BP29" s="52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52"/>
      <c r="CG29" s="52"/>
      <c r="CH29" s="52"/>
      <c r="CI29" s="52"/>
      <c r="CJ29" s="52"/>
      <c r="CK29" s="52"/>
      <c r="CL29" s="52"/>
      <c r="CM29" s="52"/>
      <c r="CN29" s="52"/>
      <c r="CO29" s="16"/>
      <c r="CP29" s="16"/>
      <c r="CQ29" s="16"/>
      <c r="CR29" s="16"/>
      <c r="CS29" s="16"/>
      <c r="CT29" s="52"/>
      <c r="CU29" s="52"/>
      <c r="CV29" s="52"/>
      <c r="CW29" s="52"/>
      <c r="CX29" s="52"/>
      <c r="CY29" s="52"/>
      <c r="CZ29" s="52"/>
      <c r="DA29" s="52"/>
      <c r="DB29" s="52"/>
      <c r="DC29" s="131"/>
      <c r="DD29" s="128"/>
      <c r="DE29" s="131"/>
      <c r="DF29" s="131"/>
      <c r="DG29" s="131"/>
      <c r="DH29" s="131"/>
      <c r="DI29" s="131"/>
      <c r="DJ29" s="131"/>
      <c r="DK29" s="128"/>
      <c r="DL29" s="131"/>
      <c r="DM29" s="131"/>
      <c r="DN29" s="131"/>
      <c r="DO29" s="131"/>
      <c r="DP29" s="131"/>
    </row>
    <row r="30" customFormat="false" ht="12.8" hidden="false" customHeight="false" outlineLevel="0" collapsed="false">
      <c r="A30" s="152" t="s">
        <v>311</v>
      </c>
      <c r="B30" s="153" t="s">
        <v>98</v>
      </c>
      <c r="C30" s="153" t="s">
        <v>312</v>
      </c>
      <c r="D30" s="153" t="s">
        <v>313</v>
      </c>
      <c r="E30" s="130" t="s">
        <v>84</v>
      </c>
      <c r="F30" s="17" t="s">
        <v>85</v>
      </c>
      <c r="G30" s="154" t="s">
        <v>1113</v>
      </c>
      <c r="H30" s="150"/>
      <c r="I30" s="130" t="s">
        <v>497</v>
      </c>
      <c r="J30" s="17" t="s">
        <v>498</v>
      </c>
      <c r="K30" s="128" t="n">
        <v>13000</v>
      </c>
      <c r="L30" s="128"/>
      <c r="M30" s="203" t="n">
        <f aca="false">IF(AA30,1,0)+AI30+AP30+AW30+BD30+BK30+BR30+BY30+CB30+CI30+CP30+CW30+DD30+DK30</f>
        <v>0</v>
      </c>
      <c r="N30" s="132"/>
      <c r="O30" s="132"/>
      <c r="P30" s="132"/>
      <c r="Q30" s="132"/>
      <c r="R30" s="132"/>
      <c r="S30" s="128"/>
      <c r="T30" s="128"/>
      <c r="U30" s="128"/>
      <c r="V30" s="132"/>
      <c r="W30" s="132"/>
      <c r="X30" s="132"/>
      <c r="Y30" s="132"/>
      <c r="Z30" s="16"/>
      <c r="AA30" s="16"/>
      <c r="AB30" s="16"/>
      <c r="AC30" s="128"/>
      <c r="AD30" s="128"/>
      <c r="AE30" s="128"/>
      <c r="AF30" s="128"/>
      <c r="AG30" s="192"/>
      <c r="AH30" s="16"/>
      <c r="AI30" s="16"/>
      <c r="AJ30" s="16"/>
      <c r="AK30" s="16"/>
      <c r="AL30" s="16"/>
      <c r="AM30" s="52"/>
      <c r="AN30" s="52"/>
      <c r="AO30" s="131"/>
      <c r="AP30" s="128"/>
      <c r="AQ30" s="131"/>
      <c r="AR30" s="131"/>
      <c r="AS30" s="131"/>
      <c r="AT30" s="131"/>
      <c r="AU30" s="131"/>
      <c r="AV30" s="131"/>
      <c r="AW30" s="128"/>
      <c r="AX30" s="131"/>
      <c r="AY30" s="131"/>
      <c r="AZ30" s="131"/>
      <c r="BA30" s="131"/>
      <c r="BB30" s="131"/>
      <c r="BC30" s="131"/>
      <c r="BD30" s="128"/>
      <c r="BE30" s="131"/>
      <c r="BF30" s="131"/>
      <c r="BG30" s="131"/>
      <c r="BH30" s="131"/>
      <c r="BI30" s="131"/>
      <c r="BJ30" s="16"/>
      <c r="BK30" s="16"/>
      <c r="BL30" s="16"/>
      <c r="BM30" s="16"/>
      <c r="BN30" s="16"/>
      <c r="BO30" s="52"/>
      <c r="BP30" s="52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52"/>
      <c r="CG30" s="52"/>
      <c r="CH30" s="52"/>
      <c r="CI30" s="52"/>
      <c r="CJ30" s="52"/>
      <c r="CK30" s="52"/>
      <c r="CL30" s="52"/>
      <c r="CM30" s="52"/>
      <c r="CN30" s="52"/>
      <c r="CO30" s="16"/>
      <c r="CP30" s="16"/>
      <c r="CQ30" s="16"/>
      <c r="CR30" s="16"/>
      <c r="CS30" s="16"/>
      <c r="CT30" s="52"/>
      <c r="CU30" s="52"/>
      <c r="CV30" s="52"/>
      <c r="CW30" s="52"/>
      <c r="CX30" s="52"/>
      <c r="CY30" s="52"/>
      <c r="CZ30" s="52"/>
      <c r="DA30" s="52"/>
      <c r="DB30" s="52"/>
      <c r="DC30" s="131"/>
      <c r="DD30" s="128"/>
      <c r="DE30" s="131"/>
      <c r="DF30" s="131"/>
      <c r="DG30" s="131"/>
      <c r="DH30" s="131"/>
      <c r="DI30" s="131"/>
      <c r="DJ30" s="131"/>
      <c r="DK30" s="128"/>
      <c r="DL30" s="131"/>
      <c r="DM30" s="131"/>
      <c r="DN30" s="131"/>
      <c r="DO30" s="131"/>
      <c r="DP30" s="131"/>
    </row>
    <row r="31" customFormat="false" ht="12.8" hidden="false" customHeight="false" outlineLevel="0" collapsed="false">
      <c r="A31" s="152" t="s">
        <v>311</v>
      </c>
      <c r="B31" s="153" t="s">
        <v>98</v>
      </c>
      <c r="C31" s="153" t="s">
        <v>312</v>
      </c>
      <c r="D31" s="153" t="s">
        <v>313</v>
      </c>
      <c r="E31" s="130" t="s">
        <v>84</v>
      </c>
      <c r="F31" s="17" t="s">
        <v>85</v>
      </c>
      <c r="G31" s="154" t="s">
        <v>1114</v>
      </c>
      <c r="H31" s="150"/>
      <c r="I31" s="130" t="s">
        <v>502</v>
      </c>
      <c r="J31" s="17" t="s">
        <v>498</v>
      </c>
      <c r="K31" s="128" t="n">
        <v>13000</v>
      </c>
      <c r="L31" s="128"/>
      <c r="M31" s="203" t="n">
        <f aca="false">IF(AA31,1,0)+AI31+AP31+AW31+BD31+BK31+BR31+BY31+CB31+CI31+CP31+CW31+DD31+DK31</f>
        <v>0</v>
      </c>
      <c r="N31" s="132"/>
      <c r="O31" s="132"/>
      <c r="P31" s="132"/>
      <c r="Q31" s="132"/>
      <c r="R31" s="132"/>
      <c r="S31" s="128"/>
      <c r="T31" s="128"/>
      <c r="U31" s="128"/>
      <c r="V31" s="132"/>
      <c r="W31" s="132"/>
      <c r="X31" s="132"/>
      <c r="Y31" s="132"/>
      <c r="Z31" s="16"/>
      <c r="AA31" s="16"/>
      <c r="AB31" s="16"/>
      <c r="AC31" s="128"/>
      <c r="AD31" s="128"/>
      <c r="AE31" s="128"/>
      <c r="AF31" s="128"/>
      <c r="AG31" s="192"/>
      <c r="AH31" s="16"/>
      <c r="AI31" s="16"/>
      <c r="AJ31" s="16"/>
      <c r="AK31" s="16"/>
      <c r="AL31" s="16"/>
      <c r="AM31" s="52"/>
      <c r="AN31" s="52"/>
      <c r="AO31" s="131"/>
      <c r="AP31" s="128"/>
      <c r="AQ31" s="131"/>
      <c r="AR31" s="131"/>
      <c r="AS31" s="131"/>
      <c r="AT31" s="131"/>
      <c r="AU31" s="131"/>
      <c r="AV31" s="131"/>
      <c r="AW31" s="128"/>
      <c r="AX31" s="131"/>
      <c r="AY31" s="131"/>
      <c r="AZ31" s="131"/>
      <c r="BA31" s="131"/>
      <c r="BB31" s="131"/>
      <c r="BC31" s="131"/>
      <c r="BD31" s="128"/>
      <c r="BE31" s="131"/>
      <c r="BF31" s="131"/>
      <c r="BG31" s="131"/>
      <c r="BH31" s="131"/>
      <c r="BI31" s="131"/>
      <c r="BJ31" s="16"/>
      <c r="BK31" s="16"/>
      <c r="BL31" s="16"/>
      <c r="BM31" s="16"/>
      <c r="BN31" s="16"/>
      <c r="BO31" s="52"/>
      <c r="BP31" s="52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52"/>
      <c r="CG31" s="52"/>
      <c r="CH31" s="52"/>
      <c r="CI31" s="52"/>
      <c r="CJ31" s="52"/>
      <c r="CK31" s="52"/>
      <c r="CL31" s="52"/>
      <c r="CM31" s="52"/>
      <c r="CN31" s="52"/>
      <c r="CO31" s="16"/>
      <c r="CP31" s="16"/>
      <c r="CQ31" s="16"/>
      <c r="CR31" s="16"/>
      <c r="CS31" s="16"/>
      <c r="CT31" s="52"/>
      <c r="CU31" s="52"/>
      <c r="CV31" s="52"/>
      <c r="CW31" s="52"/>
      <c r="CX31" s="52"/>
      <c r="CY31" s="52"/>
      <c r="CZ31" s="52"/>
      <c r="DA31" s="52"/>
      <c r="DB31" s="52"/>
      <c r="DC31" s="131"/>
      <c r="DD31" s="128"/>
      <c r="DE31" s="131"/>
      <c r="DF31" s="131"/>
      <c r="DG31" s="131"/>
      <c r="DH31" s="131"/>
      <c r="DI31" s="131"/>
      <c r="DJ31" s="131"/>
      <c r="DK31" s="128"/>
      <c r="DL31" s="131"/>
      <c r="DM31" s="131"/>
      <c r="DN31" s="131"/>
      <c r="DO31" s="131"/>
      <c r="DP31" s="131"/>
    </row>
    <row r="32" customFormat="false" ht="12.8" hidden="false" customHeight="false" outlineLevel="0" collapsed="false">
      <c r="A32" s="152" t="s">
        <v>311</v>
      </c>
      <c r="B32" s="153" t="s">
        <v>158</v>
      </c>
      <c r="C32" s="153" t="s">
        <v>317</v>
      </c>
      <c r="D32" s="153" t="s">
        <v>318</v>
      </c>
      <c r="E32" s="130" t="s">
        <v>84</v>
      </c>
      <c r="F32" s="17" t="s">
        <v>85</v>
      </c>
      <c r="G32" s="157" t="s">
        <v>1115</v>
      </c>
      <c r="H32" s="150"/>
      <c r="I32" s="130" t="s">
        <v>505</v>
      </c>
      <c r="J32" s="17" t="s">
        <v>498</v>
      </c>
      <c r="K32" s="128" t="n">
        <v>13000</v>
      </c>
      <c r="L32" s="128"/>
      <c r="M32" s="203" t="n">
        <f aca="false">IF(AA32,1,0)+AI32+AP32+AW32+BD32+BK32+BR32+BY32+CB32+CI32+CP32+CW32+DD32+DK32</f>
        <v>0</v>
      </c>
      <c r="N32" s="132"/>
      <c r="O32" s="132"/>
      <c r="P32" s="132"/>
      <c r="Q32" s="132"/>
      <c r="R32" s="132"/>
      <c r="S32" s="128"/>
      <c r="T32" s="128"/>
      <c r="U32" s="128"/>
      <c r="V32" s="132"/>
      <c r="W32" s="132"/>
      <c r="X32" s="132"/>
      <c r="Y32" s="132"/>
      <c r="Z32" s="16"/>
      <c r="AA32" s="16"/>
      <c r="AB32" s="16"/>
      <c r="AC32" s="128"/>
      <c r="AD32" s="128"/>
      <c r="AE32" s="128"/>
      <c r="AF32" s="128"/>
      <c r="AG32" s="192"/>
      <c r="AH32" s="16"/>
      <c r="AI32" s="16"/>
      <c r="AJ32" s="16"/>
      <c r="AK32" s="16"/>
      <c r="AL32" s="16"/>
      <c r="AM32" s="52"/>
      <c r="AN32" s="52"/>
      <c r="AO32" s="131"/>
      <c r="AP32" s="128"/>
      <c r="AQ32" s="131"/>
      <c r="AR32" s="131"/>
      <c r="AS32" s="131"/>
      <c r="AT32" s="131"/>
      <c r="AU32" s="131"/>
      <c r="AV32" s="131"/>
      <c r="AW32" s="128"/>
      <c r="AX32" s="131"/>
      <c r="AY32" s="131"/>
      <c r="AZ32" s="131"/>
      <c r="BA32" s="131"/>
      <c r="BB32" s="131"/>
      <c r="BC32" s="131"/>
      <c r="BD32" s="128"/>
      <c r="BE32" s="131"/>
      <c r="BF32" s="131"/>
      <c r="BG32" s="131"/>
      <c r="BH32" s="131"/>
      <c r="BI32" s="131"/>
      <c r="BJ32" s="16"/>
      <c r="BK32" s="16"/>
      <c r="BL32" s="16"/>
      <c r="BM32" s="16"/>
      <c r="BN32" s="16"/>
      <c r="BO32" s="52"/>
      <c r="BP32" s="52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52"/>
      <c r="CG32" s="52"/>
      <c r="CH32" s="52"/>
      <c r="CI32" s="52"/>
      <c r="CJ32" s="52"/>
      <c r="CK32" s="52"/>
      <c r="CL32" s="52"/>
      <c r="CM32" s="52"/>
      <c r="CN32" s="52"/>
      <c r="CO32" s="16"/>
      <c r="CP32" s="16"/>
      <c r="CQ32" s="16"/>
      <c r="CR32" s="16"/>
      <c r="CS32" s="16"/>
      <c r="CT32" s="52"/>
      <c r="CU32" s="52"/>
      <c r="CV32" s="52"/>
      <c r="CW32" s="52"/>
      <c r="CX32" s="52"/>
      <c r="CY32" s="52"/>
      <c r="CZ32" s="52"/>
      <c r="DA32" s="52"/>
      <c r="DB32" s="52"/>
      <c r="DC32" s="131"/>
      <c r="DD32" s="128"/>
      <c r="DE32" s="131"/>
      <c r="DF32" s="131"/>
      <c r="DG32" s="131"/>
      <c r="DH32" s="131"/>
      <c r="DI32" s="131"/>
      <c r="DJ32" s="131"/>
      <c r="DK32" s="128"/>
      <c r="DL32" s="131"/>
      <c r="DM32" s="131"/>
      <c r="DN32" s="131"/>
      <c r="DO32" s="131"/>
      <c r="DP32" s="131"/>
    </row>
    <row r="33" customFormat="false" ht="12.8" hidden="false" customHeight="false" outlineLevel="0" collapsed="false">
      <c r="A33" s="152" t="s">
        <v>311</v>
      </c>
      <c r="B33" s="153" t="s">
        <v>158</v>
      </c>
      <c r="C33" s="153" t="s">
        <v>317</v>
      </c>
      <c r="D33" s="153" t="s">
        <v>318</v>
      </c>
      <c r="E33" s="130" t="s">
        <v>84</v>
      </c>
      <c r="F33" s="17" t="s">
        <v>85</v>
      </c>
      <c r="G33" s="154" t="s">
        <v>1116</v>
      </c>
      <c r="H33" s="150"/>
      <c r="I33" s="130" t="s">
        <v>497</v>
      </c>
      <c r="J33" s="17" t="s">
        <v>498</v>
      </c>
      <c r="K33" s="128" t="n">
        <v>13000</v>
      </c>
      <c r="L33" s="128"/>
      <c r="M33" s="203" t="n">
        <f aca="false">IF(AA33,1,0)+AI33+AP33+AW33+BD33+BK33+BR33+BY33+CB33+CI33+CP33+CW33+DD33+DK33</f>
        <v>0</v>
      </c>
      <c r="N33" s="132"/>
      <c r="O33" s="132"/>
      <c r="P33" s="132"/>
      <c r="Q33" s="132"/>
      <c r="R33" s="132"/>
      <c r="S33" s="128"/>
      <c r="T33" s="128"/>
      <c r="U33" s="128"/>
      <c r="V33" s="132"/>
      <c r="W33" s="132"/>
      <c r="X33" s="132"/>
      <c r="Y33" s="132"/>
      <c r="Z33" s="16"/>
      <c r="AA33" s="16"/>
      <c r="AB33" s="16"/>
      <c r="AC33" s="128"/>
      <c r="AD33" s="128"/>
      <c r="AE33" s="128"/>
      <c r="AF33" s="128"/>
      <c r="AG33" s="192"/>
      <c r="AH33" s="16"/>
      <c r="AI33" s="16"/>
      <c r="AJ33" s="16"/>
      <c r="AK33" s="16"/>
      <c r="AL33" s="16"/>
      <c r="AM33" s="52"/>
      <c r="AN33" s="52"/>
      <c r="AO33" s="131"/>
      <c r="AP33" s="128"/>
      <c r="AQ33" s="131"/>
      <c r="AR33" s="131"/>
      <c r="AS33" s="131"/>
      <c r="AT33" s="131"/>
      <c r="AU33" s="131"/>
      <c r="AV33" s="131"/>
      <c r="AW33" s="128"/>
      <c r="AX33" s="131"/>
      <c r="AY33" s="131"/>
      <c r="AZ33" s="131"/>
      <c r="BA33" s="131"/>
      <c r="BB33" s="131"/>
      <c r="BC33" s="131"/>
      <c r="BD33" s="128"/>
      <c r="BE33" s="131"/>
      <c r="BF33" s="131"/>
      <c r="BG33" s="131"/>
      <c r="BH33" s="131"/>
      <c r="BI33" s="131"/>
      <c r="BJ33" s="16"/>
      <c r="BK33" s="16"/>
      <c r="BL33" s="16"/>
      <c r="BM33" s="16"/>
      <c r="BN33" s="16"/>
      <c r="BO33" s="52"/>
      <c r="BP33" s="52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52"/>
      <c r="CG33" s="52"/>
      <c r="CH33" s="52"/>
      <c r="CI33" s="52"/>
      <c r="CJ33" s="52"/>
      <c r="CK33" s="52"/>
      <c r="CL33" s="52"/>
      <c r="CM33" s="52"/>
      <c r="CN33" s="52"/>
      <c r="CO33" s="16"/>
      <c r="CP33" s="16"/>
      <c r="CQ33" s="16"/>
      <c r="CR33" s="16"/>
      <c r="CS33" s="16"/>
      <c r="CT33" s="52"/>
      <c r="CU33" s="52"/>
      <c r="CV33" s="52"/>
      <c r="CW33" s="52"/>
      <c r="CX33" s="52"/>
      <c r="CY33" s="52"/>
      <c r="CZ33" s="52"/>
      <c r="DA33" s="52"/>
      <c r="DB33" s="52"/>
      <c r="DC33" s="131"/>
      <c r="DD33" s="128"/>
      <c r="DE33" s="131"/>
      <c r="DF33" s="131"/>
      <c r="DG33" s="131"/>
      <c r="DH33" s="131"/>
      <c r="DI33" s="131"/>
      <c r="DJ33" s="131"/>
      <c r="DK33" s="128"/>
      <c r="DL33" s="131"/>
      <c r="DM33" s="131"/>
      <c r="DN33" s="131"/>
      <c r="DO33" s="131"/>
      <c r="DP33" s="131"/>
    </row>
    <row r="34" customFormat="false" ht="12.8" hidden="false" customHeight="false" outlineLevel="0" collapsed="false">
      <c r="A34" s="152" t="s">
        <v>311</v>
      </c>
      <c r="B34" s="153" t="s">
        <v>93</v>
      </c>
      <c r="C34" s="155" t="s">
        <v>325</v>
      </c>
      <c r="D34" s="153" t="s">
        <v>326</v>
      </c>
      <c r="E34" s="130" t="s">
        <v>84</v>
      </c>
      <c r="F34" s="17" t="s">
        <v>85</v>
      </c>
      <c r="G34" s="154" t="s">
        <v>1110</v>
      </c>
      <c r="H34" s="150"/>
      <c r="I34" s="130" t="s">
        <v>767</v>
      </c>
      <c r="J34" s="17" t="s">
        <v>498</v>
      </c>
      <c r="K34" s="128" t="n">
        <v>13000</v>
      </c>
      <c r="L34" s="128"/>
      <c r="M34" s="203" t="n">
        <f aca="false">IF(AA34,1,0)+AI34+AP34+AW34+BD34+BK34+BR34+BY34+CB34+CI34+CP34+CW34+DD34+DK34</f>
        <v>0</v>
      </c>
      <c r="N34" s="132"/>
      <c r="O34" s="132"/>
      <c r="P34" s="132"/>
      <c r="Q34" s="132"/>
      <c r="R34" s="132"/>
      <c r="S34" s="128"/>
      <c r="T34" s="128"/>
      <c r="U34" s="128"/>
      <c r="V34" s="132"/>
      <c r="W34" s="132"/>
      <c r="X34" s="132"/>
      <c r="Y34" s="132"/>
      <c r="Z34" s="16"/>
      <c r="AA34" s="16"/>
      <c r="AB34" s="16"/>
      <c r="AC34" s="128"/>
      <c r="AD34" s="128"/>
      <c r="AE34" s="128"/>
      <c r="AF34" s="128"/>
      <c r="AG34" s="192"/>
      <c r="AH34" s="16"/>
      <c r="AI34" s="16"/>
      <c r="AJ34" s="16"/>
      <c r="AK34" s="16"/>
      <c r="AL34" s="16"/>
      <c r="AM34" s="52"/>
      <c r="AN34" s="52"/>
      <c r="AO34" s="131"/>
      <c r="AP34" s="128"/>
      <c r="AQ34" s="131"/>
      <c r="AR34" s="131"/>
      <c r="AS34" s="131"/>
      <c r="AT34" s="131"/>
      <c r="AU34" s="131"/>
      <c r="AV34" s="131"/>
      <c r="AW34" s="128"/>
      <c r="AX34" s="131"/>
      <c r="AY34" s="131"/>
      <c r="AZ34" s="131"/>
      <c r="BA34" s="131"/>
      <c r="BB34" s="131"/>
      <c r="BC34" s="131"/>
      <c r="BD34" s="128"/>
      <c r="BE34" s="131"/>
      <c r="BF34" s="131"/>
      <c r="BG34" s="131"/>
      <c r="BH34" s="131"/>
      <c r="BI34" s="131"/>
      <c r="BJ34" s="16"/>
      <c r="BK34" s="16"/>
      <c r="BL34" s="16"/>
      <c r="BM34" s="16"/>
      <c r="BN34" s="16"/>
      <c r="BO34" s="52"/>
      <c r="BP34" s="52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52"/>
      <c r="CG34" s="52"/>
      <c r="CH34" s="52"/>
      <c r="CI34" s="52"/>
      <c r="CJ34" s="52"/>
      <c r="CK34" s="52"/>
      <c r="CL34" s="52"/>
      <c r="CM34" s="52"/>
      <c r="CN34" s="52"/>
      <c r="CO34" s="16"/>
      <c r="CP34" s="16"/>
      <c r="CQ34" s="16"/>
      <c r="CR34" s="16"/>
      <c r="CS34" s="16"/>
      <c r="CT34" s="52"/>
      <c r="CU34" s="52"/>
      <c r="CV34" s="52"/>
      <c r="CW34" s="52"/>
      <c r="CX34" s="52"/>
      <c r="CY34" s="52"/>
      <c r="CZ34" s="52"/>
      <c r="DA34" s="52"/>
      <c r="DB34" s="52"/>
      <c r="DC34" s="131"/>
      <c r="DD34" s="128"/>
      <c r="DE34" s="131"/>
      <c r="DF34" s="131"/>
      <c r="DG34" s="131"/>
      <c r="DH34" s="131"/>
      <c r="DI34" s="131"/>
      <c r="DJ34" s="131"/>
      <c r="DK34" s="128"/>
      <c r="DL34" s="131"/>
      <c r="DM34" s="131"/>
      <c r="DN34" s="131"/>
      <c r="DO34" s="131"/>
      <c r="DP34" s="131"/>
    </row>
    <row r="35" customFormat="false" ht="12.8" hidden="false" customHeight="false" outlineLevel="0" collapsed="false">
      <c r="A35" s="152" t="s">
        <v>80</v>
      </c>
      <c r="B35" s="153" t="s">
        <v>81</v>
      </c>
      <c r="C35" s="153" t="s">
        <v>82</v>
      </c>
      <c r="D35" s="153" t="s">
        <v>83</v>
      </c>
      <c r="E35" s="130" t="s">
        <v>84</v>
      </c>
      <c r="F35" s="17" t="s">
        <v>85</v>
      </c>
      <c r="G35" s="154" t="s">
        <v>1112</v>
      </c>
      <c r="H35" s="148" t="s">
        <v>92</v>
      </c>
      <c r="I35" s="130" t="s">
        <v>760</v>
      </c>
      <c r="J35" s="17" t="s">
        <v>92</v>
      </c>
      <c r="K35" s="128" t="n">
        <v>15000</v>
      </c>
      <c r="L35" s="128" t="n">
        <v>5</v>
      </c>
      <c r="M35" s="203" t="n">
        <f aca="false">IF(AA35,1,0)+AI35+AP35+AW35+BD35+BK35+BR35+BY35+CB35+CI35+CP35+CW35+DD35+DK35</f>
        <v>0</v>
      </c>
      <c r="N35" s="132"/>
      <c r="O35" s="132"/>
      <c r="P35" s="132"/>
      <c r="Q35" s="132"/>
      <c r="R35" s="132"/>
      <c r="S35" s="128"/>
      <c r="T35" s="128"/>
      <c r="U35" s="128"/>
      <c r="V35" s="132"/>
      <c r="W35" s="132"/>
      <c r="X35" s="132"/>
      <c r="Y35" s="132" t="n">
        <v>6</v>
      </c>
      <c r="Z35" s="16"/>
      <c r="AA35" s="16"/>
      <c r="AB35" s="16"/>
      <c r="AC35" s="128"/>
      <c r="AD35" s="128"/>
      <c r="AE35" s="128"/>
      <c r="AF35" s="128"/>
      <c r="AG35" s="192"/>
      <c r="AH35" s="128" t="n">
        <v>10</v>
      </c>
      <c r="AI35" s="128" t="n">
        <v>1</v>
      </c>
      <c r="AJ35" s="131" t="s">
        <v>633</v>
      </c>
      <c r="AK35" s="131" t="s">
        <v>634</v>
      </c>
      <c r="AL35" s="131" t="s">
        <v>635</v>
      </c>
      <c r="AM35" s="131" t="s">
        <v>636</v>
      </c>
      <c r="AN35" s="131" t="s">
        <v>563</v>
      </c>
      <c r="AO35" s="131"/>
      <c r="AP35" s="128"/>
      <c r="AQ35" s="131"/>
      <c r="AR35" s="131"/>
      <c r="AS35" s="131"/>
      <c r="AT35" s="131"/>
      <c r="AU35" s="131"/>
      <c r="AV35" s="131"/>
      <c r="AW35" s="128"/>
      <c r="AX35" s="131"/>
      <c r="AY35" s="131"/>
      <c r="AZ35" s="131"/>
      <c r="BA35" s="131"/>
      <c r="BB35" s="131"/>
      <c r="BC35" s="131"/>
      <c r="BD35" s="128"/>
      <c r="BE35" s="131"/>
      <c r="BF35" s="131"/>
      <c r="BG35" s="131"/>
      <c r="BH35" s="131"/>
      <c r="BI35" s="131"/>
      <c r="BJ35" s="128" t="n">
        <v>10</v>
      </c>
      <c r="BK35" s="128" t="n">
        <v>2</v>
      </c>
      <c r="BL35" s="131" t="s">
        <v>381</v>
      </c>
      <c r="BM35" s="131" t="s">
        <v>382</v>
      </c>
      <c r="BN35" s="131" t="s">
        <v>383</v>
      </c>
      <c r="BO35" s="131" t="s">
        <v>384</v>
      </c>
      <c r="BP35" s="131" t="s">
        <v>399</v>
      </c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28" t="n">
        <v>10</v>
      </c>
      <c r="CB35" s="128" t="n">
        <v>2</v>
      </c>
      <c r="CC35" s="131" t="s">
        <v>382</v>
      </c>
      <c r="CD35" s="131" t="s">
        <v>384</v>
      </c>
      <c r="CE35" s="131" t="s">
        <v>574</v>
      </c>
      <c r="CF35" s="131" t="s">
        <v>616</v>
      </c>
      <c r="CG35" s="131" t="s">
        <v>615</v>
      </c>
      <c r="CH35" s="131"/>
      <c r="CI35" s="131"/>
      <c r="CJ35" s="131"/>
      <c r="CK35" s="131"/>
      <c r="CL35" s="131"/>
      <c r="CM35" s="131"/>
      <c r="CN35" s="131"/>
      <c r="CO35" s="128" t="n">
        <v>10</v>
      </c>
      <c r="CP35" s="128" t="n">
        <v>1</v>
      </c>
      <c r="CQ35" s="131" t="s">
        <v>382</v>
      </c>
      <c r="CR35" s="131" t="s">
        <v>384</v>
      </c>
      <c r="CS35" s="131" t="s">
        <v>574</v>
      </c>
      <c r="CT35" s="131" t="s">
        <v>616</v>
      </c>
      <c r="CU35" s="131" t="s">
        <v>615</v>
      </c>
      <c r="CV35" s="52"/>
      <c r="CW35" s="52"/>
      <c r="CX35" s="52"/>
      <c r="CY35" s="52"/>
      <c r="CZ35" s="52"/>
      <c r="DA35" s="52"/>
      <c r="DB35" s="52"/>
      <c r="DC35" s="128" t="n">
        <v>10</v>
      </c>
      <c r="DD35" s="128" t="n">
        <v>1</v>
      </c>
      <c r="DE35" s="131" t="s">
        <v>383</v>
      </c>
      <c r="DF35" s="131" t="s">
        <v>574</v>
      </c>
      <c r="DG35" s="131" t="s">
        <v>467</v>
      </c>
      <c r="DH35" s="131" t="s">
        <v>468</v>
      </c>
      <c r="DI35" s="131" t="s">
        <v>380</v>
      </c>
      <c r="DJ35" s="131"/>
      <c r="DK35" s="128"/>
      <c r="DL35" s="131"/>
      <c r="DM35" s="131"/>
      <c r="DN35" s="131"/>
      <c r="DO35" s="131"/>
      <c r="DP35" s="131"/>
    </row>
    <row r="36" customFormat="false" ht="12.8" hidden="false" customHeight="false" outlineLevel="0" collapsed="false">
      <c r="A36" s="152" t="s">
        <v>80</v>
      </c>
      <c r="B36" s="153" t="s">
        <v>81</v>
      </c>
      <c r="C36" s="153" t="s">
        <v>82</v>
      </c>
      <c r="D36" s="153" t="s">
        <v>83</v>
      </c>
      <c r="E36" s="130" t="s">
        <v>84</v>
      </c>
      <c r="F36" s="17" t="s">
        <v>85</v>
      </c>
      <c r="G36" s="154" t="s">
        <v>1117</v>
      </c>
      <c r="H36" s="148" t="s">
        <v>92</v>
      </c>
      <c r="I36" s="130" t="s">
        <v>765</v>
      </c>
      <c r="J36" s="17" t="s">
        <v>498</v>
      </c>
      <c r="K36" s="128" t="n">
        <v>15000</v>
      </c>
      <c r="L36" s="128"/>
      <c r="M36" s="203" t="n">
        <f aca="false">IF(AA36,1,0)+AI36+AP36+AW36+BD36+BK36+BR36+BY36+CB36+CI36+CP36+CW36+DD36+DK36</f>
        <v>0</v>
      </c>
      <c r="N36" s="132"/>
      <c r="O36" s="132"/>
      <c r="P36" s="132"/>
      <c r="Q36" s="132"/>
      <c r="R36" s="132"/>
      <c r="S36" s="128"/>
      <c r="T36" s="128"/>
      <c r="U36" s="128"/>
      <c r="V36" s="132"/>
      <c r="W36" s="132"/>
      <c r="X36" s="132"/>
      <c r="Y36" s="132"/>
      <c r="Z36" s="16"/>
      <c r="AA36" s="16"/>
      <c r="AB36" s="16"/>
      <c r="AC36" s="128"/>
      <c r="AD36" s="128"/>
      <c r="AE36" s="128"/>
      <c r="AF36" s="128"/>
      <c r="AG36" s="192"/>
      <c r="AH36" s="16"/>
      <c r="AI36" s="16"/>
      <c r="AJ36" s="16"/>
      <c r="AK36" s="16"/>
      <c r="AL36" s="16"/>
      <c r="AM36" s="52"/>
      <c r="AN36" s="52"/>
      <c r="AO36" s="131"/>
      <c r="AP36" s="128"/>
      <c r="AQ36" s="131"/>
      <c r="AR36" s="131"/>
      <c r="AS36" s="131"/>
      <c r="AT36" s="131"/>
      <c r="AU36" s="131"/>
      <c r="AV36" s="131"/>
      <c r="AW36" s="128"/>
      <c r="AX36" s="131"/>
      <c r="AY36" s="131"/>
      <c r="AZ36" s="131"/>
      <c r="BA36" s="131"/>
      <c r="BB36" s="131"/>
      <c r="BC36" s="131"/>
      <c r="BD36" s="128"/>
      <c r="BE36" s="131"/>
      <c r="BF36" s="131"/>
      <c r="BG36" s="131"/>
      <c r="BH36" s="131"/>
      <c r="BI36" s="131"/>
      <c r="BJ36" s="16"/>
      <c r="BK36" s="16"/>
      <c r="BL36" s="16"/>
      <c r="BM36" s="16"/>
      <c r="BN36" s="16"/>
      <c r="BO36" s="52"/>
      <c r="BP36" s="52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52"/>
      <c r="CG36" s="52"/>
      <c r="CH36" s="52"/>
      <c r="CI36" s="52"/>
      <c r="CJ36" s="52"/>
      <c r="CK36" s="52"/>
      <c r="CL36" s="52"/>
      <c r="CM36" s="52"/>
      <c r="CN36" s="52"/>
      <c r="CO36" s="16"/>
      <c r="CP36" s="16"/>
      <c r="CQ36" s="16"/>
      <c r="CR36" s="16"/>
      <c r="CS36" s="16"/>
      <c r="CT36" s="52"/>
      <c r="CU36" s="52"/>
      <c r="CV36" s="52"/>
      <c r="CW36" s="52"/>
      <c r="CX36" s="52"/>
      <c r="CY36" s="52"/>
      <c r="CZ36" s="52"/>
      <c r="DA36" s="52"/>
      <c r="DB36" s="52"/>
      <c r="DC36" s="131"/>
      <c r="DD36" s="128"/>
      <c r="DE36" s="131"/>
      <c r="DF36" s="131"/>
      <c r="DG36" s="131"/>
      <c r="DH36" s="131"/>
      <c r="DI36" s="131"/>
      <c r="DJ36" s="131"/>
      <c r="DK36" s="128"/>
      <c r="DL36" s="131"/>
      <c r="DM36" s="131"/>
      <c r="DN36" s="131"/>
      <c r="DO36" s="131"/>
      <c r="DP36" s="131"/>
    </row>
    <row r="37" customFormat="false" ht="12.8" hidden="false" customHeight="false" outlineLevel="0" collapsed="false">
      <c r="A37" s="152" t="s">
        <v>80</v>
      </c>
      <c r="B37" s="153" t="s">
        <v>81</v>
      </c>
      <c r="C37" s="153" t="s">
        <v>82</v>
      </c>
      <c r="D37" s="153" t="s">
        <v>83</v>
      </c>
      <c r="E37" s="130" t="s">
        <v>84</v>
      </c>
      <c r="F37" s="17" t="s">
        <v>85</v>
      </c>
      <c r="G37" s="154" t="s">
        <v>1118</v>
      </c>
      <c r="H37" s="150"/>
      <c r="I37" s="130" t="s">
        <v>576</v>
      </c>
      <c r="J37" s="17" t="s">
        <v>498</v>
      </c>
      <c r="K37" s="128" t="n">
        <v>15000</v>
      </c>
      <c r="L37" s="128" t="n">
        <v>4</v>
      </c>
      <c r="M37" s="203" t="n">
        <f aca="false">IF(AA37,1,0)+AI37+AP37+AW37+BD37+BK37+BR37+BY37+CB37+CI37+CP37+CW37+DD37+DK37</f>
        <v>0</v>
      </c>
      <c r="N37" s="132"/>
      <c r="O37" s="132"/>
      <c r="P37" s="132"/>
      <c r="Q37" s="132"/>
      <c r="R37" s="132"/>
      <c r="S37" s="128"/>
      <c r="T37" s="128"/>
      <c r="U37" s="128"/>
      <c r="V37" s="210" t="n">
        <v>0.1</v>
      </c>
      <c r="W37" s="132"/>
      <c r="X37" s="132"/>
      <c r="Y37" s="132"/>
      <c r="Z37" s="16"/>
      <c r="AA37" s="16"/>
      <c r="AB37" s="16"/>
      <c r="AC37" s="128"/>
      <c r="AD37" s="128"/>
      <c r="AE37" s="128"/>
      <c r="AF37" s="128"/>
      <c r="AG37" s="192"/>
      <c r="AH37" s="16"/>
      <c r="AI37" s="16"/>
      <c r="AJ37" s="16"/>
      <c r="AK37" s="16"/>
      <c r="AL37" s="16"/>
      <c r="AM37" s="52"/>
      <c r="AN37" s="52"/>
      <c r="AO37" s="131"/>
      <c r="AP37" s="128"/>
      <c r="AQ37" s="131"/>
      <c r="AR37" s="131"/>
      <c r="AS37" s="131"/>
      <c r="AT37" s="131"/>
      <c r="AU37" s="131"/>
      <c r="AV37" s="131"/>
      <c r="AW37" s="128"/>
      <c r="AX37" s="131"/>
      <c r="AY37" s="131"/>
      <c r="AZ37" s="131"/>
      <c r="BA37" s="131"/>
      <c r="BB37" s="131"/>
      <c r="BC37" s="131"/>
      <c r="BD37" s="128"/>
      <c r="BE37" s="131"/>
      <c r="BF37" s="131"/>
      <c r="BG37" s="131"/>
      <c r="BH37" s="131"/>
      <c r="BI37" s="131"/>
      <c r="BJ37" s="130"/>
      <c r="BK37" s="128"/>
      <c r="BL37" s="130"/>
      <c r="BM37" s="16"/>
      <c r="BN37" s="16"/>
      <c r="BO37" s="52"/>
      <c r="BP37" s="52"/>
      <c r="BQ37" s="16"/>
      <c r="BR37" s="16"/>
      <c r="BS37" s="16"/>
      <c r="BT37" s="16"/>
      <c r="BU37" s="16"/>
      <c r="BV37" s="16"/>
      <c r="BW37" s="16"/>
      <c r="BX37" s="128" t="n">
        <v>8</v>
      </c>
      <c r="BY37" s="128" t="n">
        <v>3</v>
      </c>
      <c r="BZ37" s="130" t="s">
        <v>1119</v>
      </c>
      <c r="CA37" s="128"/>
      <c r="CB37" s="128"/>
      <c r="CC37" s="131"/>
      <c r="CD37" s="131"/>
      <c r="CE37" s="131"/>
      <c r="CF37" s="131"/>
      <c r="CG37" s="131"/>
      <c r="CH37" s="128" t="n">
        <v>8</v>
      </c>
      <c r="CI37" s="128" t="n">
        <v>3</v>
      </c>
      <c r="CJ37" s="131" t="s">
        <v>1120</v>
      </c>
      <c r="CK37" s="131" t="s">
        <v>390</v>
      </c>
      <c r="CL37" s="131" t="s">
        <v>572</v>
      </c>
      <c r="CM37" s="131" t="s">
        <v>382</v>
      </c>
      <c r="CN37" s="131" t="s">
        <v>398</v>
      </c>
      <c r="CO37" s="16"/>
      <c r="CP37" s="16"/>
      <c r="CQ37" s="16"/>
      <c r="CR37" s="16"/>
      <c r="CS37" s="16"/>
      <c r="CT37" s="52"/>
      <c r="CU37" s="52"/>
      <c r="CV37" s="52"/>
      <c r="CW37" s="52"/>
      <c r="CX37" s="52"/>
      <c r="CY37" s="52"/>
      <c r="CZ37" s="52"/>
      <c r="DA37" s="52"/>
      <c r="DB37" s="52"/>
      <c r="DC37" s="131"/>
      <c r="DD37" s="128"/>
      <c r="DE37" s="131"/>
      <c r="DF37" s="131"/>
      <c r="DG37" s="131"/>
      <c r="DH37" s="131"/>
      <c r="DI37" s="131"/>
      <c r="DJ37" s="131"/>
      <c r="DK37" s="128"/>
      <c r="DL37" s="131"/>
      <c r="DM37" s="131"/>
      <c r="DN37" s="131"/>
      <c r="DO37" s="131"/>
      <c r="DP37" s="131"/>
    </row>
    <row r="38" customFormat="false" ht="12.8" hidden="false" customHeight="false" outlineLevel="0" collapsed="false">
      <c r="A38" s="152" t="s">
        <v>80</v>
      </c>
      <c r="B38" s="153" t="s">
        <v>81</v>
      </c>
      <c r="C38" s="153" t="s">
        <v>82</v>
      </c>
      <c r="D38" s="153" t="s">
        <v>83</v>
      </c>
      <c r="E38" s="130" t="s">
        <v>84</v>
      </c>
      <c r="F38" s="17" t="s">
        <v>85</v>
      </c>
      <c r="G38" s="154" t="s">
        <v>1121</v>
      </c>
      <c r="H38" s="150"/>
      <c r="I38" s="130" t="s">
        <v>767</v>
      </c>
      <c r="J38" s="17" t="s">
        <v>498</v>
      </c>
      <c r="K38" s="128" t="n">
        <v>15000</v>
      </c>
      <c r="L38" s="128" t="n">
        <v>4</v>
      </c>
      <c r="M38" s="203" t="n">
        <f aca="false">IF(AA38,1,0)+AI38+AP38+AW38+BD38+BK38+BR38+BY38+CB38+CI38+CP38+CW38+DD38+DK38</f>
        <v>0</v>
      </c>
      <c r="N38" s="132"/>
      <c r="O38" s="132"/>
      <c r="P38" s="132"/>
      <c r="Q38" s="132"/>
      <c r="R38" s="132"/>
      <c r="S38" s="128"/>
      <c r="T38" s="128"/>
      <c r="U38" s="128"/>
      <c r="V38" s="132"/>
      <c r="W38" s="132"/>
      <c r="X38" s="132"/>
      <c r="Y38" s="132"/>
      <c r="Z38" s="16"/>
      <c r="AA38" s="16"/>
      <c r="AB38" s="16"/>
      <c r="AC38" s="128"/>
      <c r="AD38" s="128"/>
      <c r="AE38" s="128"/>
      <c r="AF38" s="128"/>
      <c r="AG38" s="192"/>
      <c r="AH38" s="16"/>
      <c r="AI38" s="16"/>
      <c r="AJ38" s="16"/>
      <c r="AK38" s="16"/>
      <c r="AL38" s="16"/>
      <c r="AM38" s="52"/>
      <c r="AN38" s="52"/>
      <c r="AO38" s="131"/>
      <c r="AP38" s="128"/>
      <c r="AQ38" s="131"/>
      <c r="AR38" s="131"/>
      <c r="AS38" s="131"/>
      <c r="AT38" s="131"/>
      <c r="AU38" s="131"/>
      <c r="AV38" s="131"/>
      <c r="AW38" s="128"/>
      <c r="AX38" s="131"/>
      <c r="AY38" s="131"/>
      <c r="AZ38" s="131"/>
      <c r="BA38" s="131"/>
      <c r="BB38" s="131"/>
      <c r="BC38" s="131"/>
      <c r="BD38" s="128"/>
      <c r="BE38" s="131"/>
      <c r="BF38" s="131"/>
      <c r="BG38" s="131"/>
      <c r="BH38" s="131"/>
      <c r="BI38" s="131"/>
      <c r="BJ38" s="16"/>
      <c r="BK38" s="16"/>
      <c r="BL38" s="16"/>
      <c r="BM38" s="16"/>
      <c r="BN38" s="16"/>
      <c r="BO38" s="52"/>
      <c r="BP38" s="52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52"/>
      <c r="CG38" s="52"/>
      <c r="CH38" s="52"/>
      <c r="CI38" s="52"/>
      <c r="CJ38" s="52"/>
      <c r="CK38" s="52"/>
      <c r="CL38" s="52"/>
      <c r="CM38" s="52"/>
      <c r="CN38" s="52"/>
      <c r="CO38" s="16"/>
      <c r="CP38" s="16"/>
      <c r="CQ38" s="16"/>
      <c r="CR38" s="16"/>
      <c r="CS38" s="16"/>
      <c r="CT38" s="52"/>
      <c r="CU38" s="52"/>
      <c r="CV38" s="52"/>
      <c r="CW38" s="52"/>
      <c r="CX38" s="52"/>
      <c r="CY38" s="52"/>
      <c r="CZ38" s="52"/>
      <c r="DA38" s="52"/>
      <c r="DB38" s="52"/>
      <c r="DC38" s="131"/>
      <c r="DD38" s="128"/>
      <c r="DE38" s="131"/>
      <c r="DF38" s="131"/>
      <c r="DG38" s="131"/>
      <c r="DH38" s="131"/>
      <c r="DI38" s="131"/>
      <c r="DJ38" s="131"/>
      <c r="DK38" s="128"/>
      <c r="DL38" s="131"/>
      <c r="DM38" s="131"/>
      <c r="DN38" s="131"/>
      <c r="DO38" s="131"/>
      <c r="DP38" s="131"/>
    </row>
    <row r="39" customFormat="false" ht="12.8" hidden="false" customHeight="false" outlineLevel="0" collapsed="false">
      <c r="A39" s="152" t="s">
        <v>80</v>
      </c>
      <c r="B39" s="153" t="s">
        <v>81</v>
      </c>
      <c r="C39" s="153" t="s">
        <v>82</v>
      </c>
      <c r="D39" s="153" t="s">
        <v>83</v>
      </c>
      <c r="E39" s="130" t="s">
        <v>84</v>
      </c>
      <c r="F39" s="17" t="s">
        <v>85</v>
      </c>
      <c r="G39" s="154" t="s">
        <v>1111</v>
      </c>
      <c r="H39" s="150"/>
      <c r="I39" s="130" t="s">
        <v>505</v>
      </c>
      <c r="J39" s="17" t="s">
        <v>498</v>
      </c>
      <c r="K39" s="128" t="n">
        <v>15000</v>
      </c>
      <c r="L39" s="128" t="n">
        <v>3</v>
      </c>
      <c r="M39" s="203" t="n">
        <f aca="false">IF(AA39,1,0)+AI39+AP39+AW39+BD39+BK39+BR39+BY39+CB39+CI39+CP39+CW39+DD39+DK39</f>
        <v>0</v>
      </c>
      <c r="N39" s="132"/>
      <c r="O39" s="132"/>
      <c r="P39" s="132"/>
      <c r="Q39" s="132"/>
      <c r="R39" s="132"/>
      <c r="S39" s="128"/>
      <c r="T39" s="128"/>
      <c r="U39" s="128"/>
      <c r="V39" s="132"/>
      <c r="W39" s="132"/>
      <c r="X39" s="132"/>
      <c r="Y39" s="132"/>
      <c r="Z39" s="16"/>
      <c r="AA39" s="16"/>
      <c r="AB39" s="16"/>
      <c r="AC39" s="128"/>
      <c r="AD39" s="128"/>
      <c r="AE39" s="128"/>
      <c r="AF39" s="128"/>
      <c r="AG39" s="192"/>
      <c r="AH39" s="16"/>
      <c r="AI39" s="16"/>
      <c r="AJ39" s="16"/>
      <c r="AK39" s="16"/>
      <c r="AL39" s="16"/>
      <c r="AM39" s="52"/>
      <c r="AN39" s="52"/>
      <c r="AO39" s="131"/>
      <c r="AP39" s="128"/>
      <c r="AQ39" s="131"/>
      <c r="AR39" s="131"/>
      <c r="AS39" s="131"/>
      <c r="AT39" s="131"/>
      <c r="AU39" s="131"/>
      <c r="AV39" s="131"/>
      <c r="AW39" s="128"/>
      <c r="AX39" s="131"/>
      <c r="AY39" s="131"/>
      <c r="AZ39" s="131"/>
      <c r="BA39" s="131"/>
      <c r="BB39" s="131"/>
      <c r="BC39" s="131"/>
      <c r="BD39" s="128"/>
      <c r="BE39" s="131"/>
      <c r="BF39" s="131"/>
      <c r="BG39" s="131"/>
      <c r="BH39" s="131"/>
      <c r="BI39" s="131"/>
      <c r="BJ39" s="16"/>
      <c r="BK39" s="16"/>
      <c r="BL39" s="16"/>
      <c r="BM39" s="16"/>
      <c r="BN39" s="16"/>
      <c r="BO39" s="52"/>
      <c r="BP39" s="52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52"/>
      <c r="CG39" s="52"/>
      <c r="CH39" s="52"/>
      <c r="CI39" s="52"/>
      <c r="CJ39" s="52"/>
      <c r="CK39" s="52"/>
      <c r="CL39" s="52"/>
      <c r="CM39" s="52"/>
      <c r="CN39" s="52"/>
      <c r="CO39" s="16"/>
      <c r="CP39" s="16"/>
      <c r="CQ39" s="16"/>
      <c r="CR39" s="16"/>
      <c r="CS39" s="16"/>
      <c r="CT39" s="52"/>
      <c r="CU39" s="52"/>
      <c r="CV39" s="52"/>
      <c r="CW39" s="52"/>
      <c r="CX39" s="52"/>
      <c r="CY39" s="52"/>
      <c r="CZ39" s="52"/>
      <c r="DA39" s="52"/>
      <c r="DB39" s="52"/>
      <c r="DC39" s="131"/>
      <c r="DD39" s="128"/>
      <c r="DE39" s="131"/>
      <c r="DF39" s="131"/>
      <c r="DG39" s="131"/>
      <c r="DH39" s="131"/>
      <c r="DI39" s="131"/>
      <c r="DJ39" s="131"/>
      <c r="DK39" s="128"/>
      <c r="DL39" s="131"/>
      <c r="DM39" s="131"/>
      <c r="DN39" s="131"/>
      <c r="DO39" s="131"/>
      <c r="DP39" s="131"/>
    </row>
    <row r="40" customFormat="false" ht="12.8" hidden="false" customHeight="false" outlineLevel="0" collapsed="false">
      <c r="A40" s="152" t="s">
        <v>80</v>
      </c>
      <c r="B40" s="153" t="s">
        <v>81</v>
      </c>
      <c r="C40" s="153" t="s">
        <v>82</v>
      </c>
      <c r="D40" s="153" t="s">
        <v>83</v>
      </c>
      <c r="E40" s="130" t="s">
        <v>84</v>
      </c>
      <c r="F40" s="17" t="s">
        <v>85</v>
      </c>
      <c r="G40" s="154" t="s">
        <v>1086</v>
      </c>
      <c r="H40" s="150"/>
      <c r="I40" s="130" t="s">
        <v>497</v>
      </c>
      <c r="J40" s="17" t="s">
        <v>498</v>
      </c>
      <c r="K40" s="128" t="n">
        <v>15000</v>
      </c>
      <c r="L40" s="128"/>
      <c r="M40" s="203" t="n">
        <f aca="false">IF(AA40,1,0)+AI40+AP40+AW40+BD40+BK40+BR40+BY40+CB40+CI40+CP40+CW40+DD40+DK40</f>
        <v>0</v>
      </c>
      <c r="N40" s="132"/>
      <c r="O40" s="132"/>
      <c r="P40" s="132"/>
      <c r="Q40" s="132"/>
      <c r="R40" s="132"/>
      <c r="S40" s="128"/>
      <c r="T40" s="128"/>
      <c r="U40" s="128"/>
      <c r="V40" s="132"/>
      <c r="W40" s="132"/>
      <c r="X40" s="132"/>
      <c r="Y40" s="132"/>
      <c r="Z40" s="16"/>
      <c r="AA40" s="16"/>
      <c r="AB40" s="16"/>
      <c r="AC40" s="128"/>
      <c r="AD40" s="128"/>
      <c r="AE40" s="128"/>
      <c r="AF40" s="128"/>
      <c r="AG40" s="192"/>
      <c r="AH40" s="16"/>
      <c r="AI40" s="16"/>
      <c r="AJ40" s="16"/>
      <c r="AK40" s="16"/>
      <c r="AL40" s="16"/>
      <c r="AM40" s="52"/>
      <c r="AN40" s="52"/>
      <c r="AO40" s="131"/>
      <c r="AP40" s="128"/>
      <c r="AQ40" s="131"/>
      <c r="AR40" s="131"/>
      <c r="AS40" s="131"/>
      <c r="AT40" s="131"/>
      <c r="AU40" s="131"/>
      <c r="AV40" s="131"/>
      <c r="AW40" s="128"/>
      <c r="AX40" s="131"/>
      <c r="AY40" s="131"/>
      <c r="AZ40" s="131"/>
      <c r="BA40" s="131"/>
      <c r="BB40" s="131"/>
      <c r="BC40" s="131"/>
      <c r="BD40" s="128"/>
      <c r="BE40" s="131"/>
      <c r="BF40" s="131"/>
      <c r="BG40" s="131"/>
      <c r="BH40" s="131"/>
      <c r="BI40" s="131"/>
      <c r="BJ40" s="16"/>
      <c r="BK40" s="16"/>
      <c r="BL40" s="16"/>
      <c r="BM40" s="16"/>
      <c r="BN40" s="16"/>
      <c r="BO40" s="52"/>
      <c r="BP40" s="52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52"/>
      <c r="CG40" s="52"/>
      <c r="CH40" s="52"/>
      <c r="CI40" s="52"/>
      <c r="CJ40" s="52"/>
      <c r="CK40" s="52"/>
      <c r="CL40" s="52"/>
      <c r="CM40" s="52"/>
      <c r="CN40" s="52"/>
      <c r="CO40" s="16"/>
      <c r="CP40" s="16"/>
      <c r="CQ40" s="16"/>
      <c r="CR40" s="16"/>
      <c r="CS40" s="16"/>
      <c r="CT40" s="52"/>
      <c r="CU40" s="52"/>
      <c r="CV40" s="52"/>
      <c r="CW40" s="52"/>
      <c r="CX40" s="52"/>
      <c r="CY40" s="52"/>
      <c r="CZ40" s="52"/>
      <c r="DA40" s="52"/>
      <c r="DB40" s="52"/>
      <c r="DC40" s="131"/>
      <c r="DD40" s="128"/>
      <c r="DE40" s="131"/>
      <c r="DF40" s="131"/>
      <c r="DG40" s="131"/>
      <c r="DH40" s="131"/>
      <c r="DI40" s="131"/>
      <c r="DJ40" s="131"/>
      <c r="DK40" s="128"/>
      <c r="DL40" s="131"/>
      <c r="DM40" s="131"/>
      <c r="DN40" s="131"/>
      <c r="DO40" s="131"/>
      <c r="DP40" s="131"/>
    </row>
    <row r="41" customFormat="false" ht="12.8" hidden="false" customHeight="false" outlineLevel="0" collapsed="false">
      <c r="A41" s="152" t="s">
        <v>80</v>
      </c>
      <c r="B41" s="153" t="s">
        <v>93</v>
      </c>
      <c r="C41" s="155" t="s">
        <v>94</v>
      </c>
      <c r="D41" s="153" t="s">
        <v>95</v>
      </c>
      <c r="E41" s="130" t="s">
        <v>84</v>
      </c>
      <c r="F41" s="17" t="s">
        <v>85</v>
      </c>
      <c r="G41" s="154" t="s">
        <v>1122</v>
      </c>
      <c r="H41" s="148" t="s">
        <v>92</v>
      </c>
      <c r="I41" s="130" t="s">
        <v>760</v>
      </c>
      <c r="J41" s="17" t="s">
        <v>92</v>
      </c>
      <c r="K41" s="128" t="n">
        <v>15000</v>
      </c>
      <c r="L41" s="128" t="n">
        <v>5</v>
      </c>
      <c r="M41" s="203" t="n">
        <f aca="false">IF(AA41,1,0)+AI41+AP41+AW41+BD41+BK41+BR41+BY41+CB41+CI41+CP41+CW41+DD41+DK41</f>
        <v>0</v>
      </c>
      <c r="N41" s="132"/>
      <c r="O41" s="132"/>
      <c r="P41" s="132"/>
      <c r="Q41" s="132"/>
      <c r="R41" s="132"/>
      <c r="S41" s="128"/>
      <c r="T41" s="128"/>
      <c r="U41" s="128"/>
      <c r="V41" s="132"/>
      <c r="W41" s="132"/>
      <c r="X41" s="132" t="n">
        <v>5</v>
      </c>
      <c r="Y41" s="132" t="n">
        <v>3</v>
      </c>
      <c r="Z41" s="16"/>
      <c r="AA41" s="16"/>
      <c r="AB41" s="16"/>
      <c r="AC41" s="128"/>
      <c r="AD41" s="128"/>
      <c r="AE41" s="128"/>
      <c r="AF41" s="128"/>
      <c r="AG41" s="192"/>
      <c r="AH41" s="128" t="n">
        <v>10</v>
      </c>
      <c r="AI41" s="128" t="n">
        <v>1</v>
      </c>
      <c r="AJ41" s="131" t="s">
        <v>633</v>
      </c>
      <c r="AK41" s="131" t="s">
        <v>634</v>
      </c>
      <c r="AL41" s="131" t="s">
        <v>635</v>
      </c>
      <c r="AM41" s="131" t="s">
        <v>636</v>
      </c>
      <c r="AN41" s="131" t="s">
        <v>563</v>
      </c>
      <c r="AO41" s="131"/>
      <c r="AP41" s="128"/>
      <c r="AQ41" s="131"/>
      <c r="AR41" s="131"/>
      <c r="AS41" s="131"/>
      <c r="AT41" s="131"/>
      <c r="AU41" s="131"/>
      <c r="AV41" s="131"/>
      <c r="AW41" s="128"/>
      <c r="AX41" s="131"/>
      <c r="AY41" s="131"/>
      <c r="AZ41" s="131"/>
      <c r="BA41" s="131"/>
      <c r="BB41" s="131"/>
      <c r="BC41" s="131"/>
      <c r="BD41" s="128"/>
      <c r="BE41" s="131"/>
      <c r="BF41" s="131"/>
      <c r="BG41" s="131"/>
      <c r="BH41" s="131"/>
      <c r="BI41" s="131"/>
      <c r="BJ41" s="128" t="n">
        <v>10</v>
      </c>
      <c r="BK41" s="128" t="n">
        <v>2</v>
      </c>
      <c r="BL41" s="131" t="s">
        <v>381</v>
      </c>
      <c r="BM41" s="131" t="s">
        <v>382</v>
      </c>
      <c r="BN41" s="131" t="s">
        <v>383</v>
      </c>
      <c r="BO41" s="131" t="s">
        <v>384</v>
      </c>
      <c r="BP41" s="131" t="s">
        <v>399</v>
      </c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28" t="n">
        <v>10</v>
      </c>
      <c r="CB41" s="128" t="n">
        <v>2</v>
      </c>
      <c r="CC41" s="131" t="s">
        <v>382</v>
      </c>
      <c r="CD41" s="131" t="s">
        <v>384</v>
      </c>
      <c r="CE41" s="131" t="s">
        <v>574</v>
      </c>
      <c r="CF41" s="131" t="s">
        <v>616</v>
      </c>
      <c r="CG41" s="131" t="s">
        <v>615</v>
      </c>
      <c r="CH41" s="131"/>
      <c r="CI41" s="131"/>
      <c r="CJ41" s="131"/>
      <c r="CK41" s="131"/>
      <c r="CL41" s="131"/>
      <c r="CM41" s="131"/>
      <c r="CN41" s="131"/>
      <c r="CO41" s="128" t="n">
        <v>10</v>
      </c>
      <c r="CP41" s="128" t="n">
        <v>1</v>
      </c>
      <c r="CQ41" s="131" t="s">
        <v>382</v>
      </c>
      <c r="CR41" s="131" t="s">
        <v>384</v>
      </c>
      <c r="CS41" s="131" t="s">
        <v>574</v>
      </c>
      <c r="CT41" s="131" t="s">
        <v>616</v>
      </c>
      <c r="CU41" s="131" t="s">
        <v>615</v>
      </c>
      <c r="CV41" s="52"/>
      <c r="CW41" s="52"/>
      <c r="CX41" s="52"/>
      <c r="CY41" s="52"/>
      <c r="CZ41" s="52"/>
      <c r="DA41" s="52"/>
      <c r="DB41" s="52"/>
      <c r="DC41" s="128" t="n">
        <v>10</v>
      </c>
      <c r="DD41" s="128" t="n">
        <v>1</v>
      </c>
      <c r="DE41" s="131" t="s">
        <v>383</v>
      </c>
      <c r="DF41" s="131" t="s">
        <v>574</v>
      </c>
      <c r="DG41" s="131" t="s">
        <v>467</v>
      </c>
      <c r="DH41" s="131" t="s">
        <v>468</v>
      </c>
      <c r="DI41" s="131" t="s">
        <v>380</v>
      </c>
      <c r="DJ41" s="131"/>
      <c r="DK41" s="128"/>
      <c r="DL41" s="131"/>
      <c r="DM41" s="131"/>
      <c r="DN41" s="131"/>
      <c r="DO41" s="131"/>
      <c r="DP41" s="131"/>
    </row>
    <row r="42" customFormat="false" ht="12.8" hidden="false" customHeight="false" outlineLevel="0" collapsed="false">
      <c r="A42" s="152" t="s">
        <v>80</v>
      </c>
      <c r="B42" s="153" t="s">
        <v>93</v>
      </c>
      <c r="C42" s="155" t="s">
        <v>94</v>
      </c>
      <c r="D42" s="153" t="s">
        <v>95</v>
      </c>
      <c r="E42" s="130" t="s">
        <v>84</v>
      </c>
      <c r="F42" s="17" t="s">
        <v>85</v>
      </c>
      <c r="G42" s="154" t="s">
        <v>1123</v>
      </c>
      <c r="H42" s="148" t="s">
        <v>92</v>
      </c>
      <c r="I42" s="130" t="s">
        <v>765</v>
      </c>
      <c r="J42" s="17" t="s">
        <v>498</v>
      </c>
      <c r="K42" s="128" t="n">
        <v>15000</v>
      </c>
      <c r="L42" s="128"/>
      <c r="M42" s="203" t="n">
        <f aca="false">IF(AA42,1,0)+AI42+AP42+AW42+BD42+BK42+BR42+BY42+CB42+CI42+CP42+CW42+DD42+DK42</f>
        <v>0</v>
      </c>
      <c r="N42" s="132"/>
      <c r="O42" s="132"/>
      <c r="P42" s="132"/>
      <c r="Q42" s="132"/>
      <c r="R42" s="132"/>
      <c r="S42" s="128"/>
      <c r="T42" s="128"/>
      <c r="U42" s="128"/>
      <c r="V42" s="132"/>
      <c r="W42" s="132"/>
      <c r="X42" s="132"/>
      <c r="Y42" s="132"/>
      <c r="Z42" s="16"/>
      <c r="AA42" s="16"/>
      <c r="AB42" s="16"/>
      <c r="AC42" s="128"/>
      <c r="AD42" s="128"/>
      <c r="AE42" s="128"/>
      <c r="AF42" s="128"/>
      <c r="AG42" s="192"/>
      <c r="AH42" s="16"/>
      <c r="AI42" s="16"/>
      <c r="AJ42" s="16"/>
      <c r="AK42" s="16"/>
      <c r="AL42" s="16"/>
      <c r="AM42" s="52"/>
      <c r="AN42" s="52"/>
      <c r="AO42" s="131"/>
      <c r="AP42" s="128"/>
      <c r="AQ42" s="131"/>
      <c r="AR42" s="131"/>
      <c r="AS42" s="131"/>
      <c r="AT42" s="131"/>
      <c r="AU42" s="131"/>
      <c r="AV42" s="131"/>
      <c r="AW42" s="128"/>
      <c r="AX42" s="131"/>
      <c r="AY42" s="131"/>
      <c r="AZ42" s="131"/>
      <c r="BA42" s="131"/>
      <c r="BB42" s="131"/>
      <c r="BC42" s="131"/>
      <c r="BD42" s="128"/>
      <c r="BE42" s="131"/>
      <c r="BF42" s="131"/>
      <c r="BG42" s="131"/>
      <c r="BH42" s="131"/>
      <c r="BI42" s="131"/>
      <c r="BJ42" s="16"/>
      <c r="BK42" s="16"/>
      <c r="BL42" s="16"/>
      <c r="BM42" s="16"/>
      <c r="BN42" s="16"/>
      <c r="BO42" s="52"/>
      <c r="BP42" s="52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52"/>
      <c r="CG42" s="52"/>
      <c r="CH42" s="52"/>
      <c r="CI42" s="52"/>
      <c r="CJ42" s="52"/>
      <c r="CK42" s="52"/>
      <c r="CL42" s="52"/>
      <c r="CM42" s="52"/>
      <c r="CN42" s="52"/>
      <c r="CO42" s="16"/>
      <c r="CP42" s="16"/>
      <c r="CQ42" s="16"/>
      <c r="CR42" s="16"/>
      <c r="CS42" s="16"/>
      <c r="CT42" s="52"/>
      <c r="CU42" s="52"/>
      <c r="CV42" s="52"/>
      <c r="CW42" s="52"/>
      <c r="CX42" s="52"/>
      <c r="CY42" s="52"/>
      <c r="CZ42" s="52"/>
      <c r="DA42" s="52"/>
      <c r="DB42" s="52"/>
      <c r="DC42" s="131"/>
      <c r="DD42" s="128"/>
      <c r="DE42" s="131"/>
      <c r="DF42" s="131"/>
      <c r="DG42" s="131"/>
      <c r="DH42" s="131"/>
      <c r="DI42" s="131"/>
      <c r="DJ42" s="131"/>
      <c r="DK42" s="128"/>
      <c r="DL42" s="131"/>
      <c r="DM42" s="131"/>
      <c r="DN42" s="131"/>
      <c r="DO42" s="131"/>
      <c r="DP42" s="131"/>
    </row>
    <row r="43" customFormat="false" ht="12.8" hidden="false" customHeight="false" outlineLevel="0" collapsed="false">
      <c r="A43" s="152" t="s">
        <v>80</v>
      </c>
      <c r="B43" s="153" t="s">
        <v>93</v>
      </c>
      <c r="C43" s="155" t="s">
        <v>94</v>
      </c>
      <c r="D43" s="153" t="s">
        <v>95</v>
      </c>
      <c r="E43" s="130" t="s">
        <v>84</v>
      </c>
      <c r="F43" s="17" t="s">
        <v>85</v>
      </c>
      <c r="G43" s="154" t="s">
        <v>1124</v>
      </c>
      <c r="H43" s="148" t="s">
        <v>92</v>
      </c>
      <c r="I43" s="130" t="s">
        <v>793</v>
      </c>
      <c r="J43" s="17" t="s">
        <v>498</v>
      </c>
      <c r="K43" s="128" t="n">
        <v>15000</v>
      </c>
      <c r="L43" s="128"/>
      <c r="M43" s="203" t="n">
        <f aca="false">IF(AA43,1,0)+AI43+AP43+AW43+BD43+BK43+BR43+BY43+CB43+CI43+CP43+CW43+DD43+DK43</f>
        <v>0</v>
      </c>
      <c r="N43" s="132"/>
      <c r="O43" s="132"/>
      <c r="P43" s="132"/>
      <c r="Q43" s="132"/>
      <c r="R43" s="132"/>
      <c r="S43" s="128"/>
      <c r="T43" s="128"/>
      <c r="U43" s="128"/>
      <c r="V43" s="132"/>
      <c r="W43" s="132"/>
      <c r="X43" s="132"/>
      <c r="Y43" s="132"/>
      <c r="Z43" s="16"/>
      <c r="AA43" s="16"/>
      <c r="AB43" s="16"/>
      <c r="AC43" s="128"/>
      <c r="AD43" s="128"/>
      <c r="AE43" s="128"/>
      <c r="AF43" s="128"/>
      <c r="AG43" s="192"/>
      <c r="AH43" s="16"/>
      <c r="AI43" s="16"/>
      <c r="AJ43" s="16"/>
      <c r="AK43" s="16"/>
      <c r="AL43" s="16"/>
      <c r="AM43" s="52"/>
      <c r="AN43" s="52"/>
      <c r="AO43" s="131"/>
      <c r="AP43" s="128"/>
      <c r="AQ43" s="131"/>
      <c r="AR43" s="131"/>
      <c r="AS43" s="131"/>
      <c r="AT43" s="131"/>
      <c r="AU43" s="131"/>
      <c r="AV43" s="131"/>
      <c r="AW43" s="128"/>
      <c r="AX43" s="131"/>
      <c r="AY43" s="131"/>
      <c r="AZ43" s="131"/>
      <c r="BA43" s="131"/>
      <c r="BB43" s="131"/>
      <c r="BC43" s="131"/>
      <c r="BD43" s="128"/>
      <c r="BE43" s="131"/>
      <c r="BF43" s="131"/>
      <c r="BG43" s="131"/>
      <c r="BH43" s="131"/>
      <c r="BI43" s="131"/>
      <c r="BJ43" s="16"/>
      <c r="BK43" s="16"/>
      <c r="BL43" s="16"/>
      <c r="BM43" s="16"/>
      <c r="BN43" s="16"/>
      <c r="BO43" s="52"/>
      <c r="BP43" s="52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52"/>
      <c r="CG43" s="52"/>
      <c r="CH43" s="52"/>
      <c r="CI43" s="52"/>
      <c r="CJ43" s="52"/>
      <c r="CK43" s="52"/>
      <c r="CL43" s="52"/>
      <c r="CM43" s="52"/>
      <c r="CN43" s="52"/>
      <c r="CO43" s="16"/>
      <c r="CP43" s="16"/>
      <c r="CQ43" s="16"/>
      <c r="CR43" s="16"/>
      <c r="CS43" s="16"/>
      <c r="CT43" s="52"/>
      <c r="CU43" s="52"/>
      <c r="CV43" s="52"/>
      <c r="CW43" s="52"/>
      <c r="CX43" s="52"/>
      <c r="CY43" s="52"/>
      <c r="CZ43" s="52"/>
      <c r="DA43" s="52"/>
      <c r="DB43" s="52"/>
      <c r="DC43" s="131"/>
      <c r="DD43" s="128"/>
      <c r="DE43" s="131"/>
      <c r="DF43" s="131"/>
      <c r="DG43" s="131"/>
      <c r="DH43" s="131"/>
      <c r="DI43" s="131"/>
      <c r="DJ43" s="131"/>
      <c r="DK43" s="128"/>
      <c r="DL43" s="131"/>
      <c r="DM43" s="131"/>
      <c r="DN43" s="131"/>
      <c r="DO43" s="131"/>
      <c r="DP43" s="131"/>
    </row>
    <row r="44" customFormat="false" ht="12.8" hidden="false" customHeight="false" outlineLevel="0" collapsed="false">
      <c r="A44" s="152" t="s">
        <v>80</v>
      </c>
      <c r="B44" s="153" t="s">
        <v>93</v>
      </c>
      <c r="C44" s="155" t="s">
        <v>94</v>
      </c>
      <c r="D44" s="153" t="s">
        <v>95</v>
      </c>
      <c r="E44" s="130" t="s">
        <v>84</v>
      </c>
      <c r="F44" s="17" t="s">
        <v>85</v>
      </c>
      <c r="G44" s="154" t="s">
        <v>1125</v>
      </c>
      <c r="H44" s="150"/>
      <c r="I44" s="130" t="s">
        <v>767</v>
      </c>
      <c r="J44" s="17" t="s">
        <v>498</v>
      </c>
      <c r="K44" s="128" t="n">
        <v>15000</v>
      </c>
      <c r="L44" s="128"/>
      <c r="M44" s="203" t="n">
        <f aca="false">IF(AA44,1,0)+AI44+AP44+AW44+BD44+BK44+BR44+BY44+CB44+CI44+CP44+CW44+DD44+DK44</f>
        <v>0</v>
      </c>
      <c r="N44" s="132"/>
      <c r="O44" s="132"/>
      <c r="P44" s="132"/>
      <c r="Q44" s="132"/>
      <c r="R44" s="132"/>
      <c r="S44" s="128"/>
      <c r="T44" s="128"/>
      <c r="U44" s="128"/>
      <c r="V44" s="132"/>
      <c r="W44" s="132"/>
      <c r="X44" s="132"/>
      <c r="Y44" s="132"/>
      <c r="Z44" s="16"/>
      <c r="AA44" s="16"/>
      <c r="AB44" s="16"/>
      <c r="AC44" s="128"/>
      <c r="AD44" s="128"/>
      <c r="AE44" s="128"/>
      <c r="AF44" s="128"/>
      <c r="AG44" s="192"/>
      <c r="AH44" s="16"/>
      <c r="AI44" s="16"/>
      <c r="AJ44" s="16"/>
      <c r="AK44" s="16"/>
      <c r="AL44" s="16"/>
      <c r="AM44" s="52"/>
      <c r="AN44" s="52"/>
      <c r="AO44" s="131"/>
      <c r="AP44" s="128"/>
      <c r="AQ44" s="131"/>
      <c r="AR44" s="131"/>
      <c r="AS44" s="131"/>
      <c r="AT44" s="131"/>
      <c r="AU44" s="131"/>
      <c r="AV44" s="131"/>
      <c r="AW44" s="128"/>
      <c r="AX44" s="131"/>
      <c r="AY44" s="131"/>
      <c r="AZ44" s="131"/>
      <c r="BA44" s="131"/>
      <c r="BB44" s="131"/>
      <c r="BC44" s="131"/>
      <c r="BD44" s="128"/>
      <c r="BE44" s="131"/>
      <c r="BF44" s="131"/>
      <c r="BG44" s="131"/>
      <c r="BH44" s="131"/>
      <c r="BI44" s="131"/>
      <c r="BJ44" s="16"/>
      <c r="BK44" s="16"/>
      <c r="BL44" s="16"/>
      <c r="BM44" s="16"/>
      <c r="BN44" s="16"/>
      <c r="BO44" s="52"/>
      <c r="BP44" s="52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52"/>
      <c r="CG44" s="52"/>
      <c r="CH44" s="52"/>
      <c r="CI44" s="52"/>
      <c r="CJ44" s="52"/>
      <c r="CK44" s="52"/>
      <c r="CL44" s="52"/>
      <c r="CM44" s="52"/>
      <c r="CN44" s="52"/>
      <c r="CO44" s="16"/>
      <c r="CP44" s="16"/>
      <c r="CQ44" s="16"/>
      <c r="CR44" s="16"/>
      <c r="CS44" s="16"/>
      <c r="CT44" s="52"/>
      <c r="CU44" s="52"/>
      <c r="CV44" s="52"/>
      <c r="CW44" s="52"/>
      <c r="CX44" s="52"/>
      <c r="CY44" s="52"/>
      <c r="CZ44" s="52"/>
      <c r="DA44" s="52"/>
      <c r="DB44" s="52"/>
      <c r="DC44" s="131"/>
      <c r="DD44" s="128"/>
      <c r="DE44" s="131"/>
      <c r="DF44" s="131"/>
      <c r="DG44" s="131"/>
      <c r="DH44" s="131"/>
      <c r="DI44" s="131"/>
      <c r="DJ44" s="131"/>
      <c r="DK44" s="128"/>
      <c r="DL44" s="131"/>
      <c r="DM44" s="131"/>
      <c r="DN44" s="131"/>
      <c r="DO44" s="131"/>
      <c r="DP44" s="131"/>
    </row>
    <row r="45" customFormat="false" ht="12.8" hidden="false" customHeight="false" outlineLevel="0" collapsed="false">
      <c r="A45" s="152" t="s">
        <v>80</v>
      </c>
      <c r="B45" s="153" t="s">
        <v>93</v>
      </c>
      <c r="C45" s="155" t="s">
        <v>94</v>
      </c>
      <c r="D45" s="153" t="s">
        <v>95</v>
      </c>
      <c r="E45" s="130" t="s">
        <v>84</v>
      </c>
      <c r="F45" s="17" t="s">
        <v>85</v>
      </c>
      <c r="G45" s="154" t="s">
        <v>1126</v>
      </c>
      <c r="H45" s="150"/>
      <c r="I45" s="130" t="s">
        <v>769</v>
      </c>
      <c r="J45" s="17" t="s">
        <v>498</v>
      </c>
      <c r="K45" s="128" t="n">
        <v>15000</v>
      </c>
      <c r="L45" s="128"/>
      <c r="M45" s="203" t="n">
        <f aca="false">IF(AA45,1,0)+AI45+AP45+AW45+BD45+BK45+BR45+BY45+CB45+CI45+CP45+CW45+DD45+DK45</f>
        <v>0</v>
      </c>
      <c r="N45" s="132"/>
      <c r="O45" s="132"/>
      <c r="P45" s="132"/>
      <c r="Q45" s="132"/>
      <c r="R45" s="132"/>
      <c r="S45" s="128"/>
      <c r="T45" s="128"/>
      <c r="U45" s="128"/>
      <c r="V45" s="132"/>
      <c r="W45" s="132"/>
      <c r="X45" s="132"/>
      <c r="Y45" s="132"/>
      <c r="Z45" s="16"/>
      <c r="AA45" s="16"/>
      <c r="AB45" s="16"/>
      <c r="AC45" s="128"/>
      <c r="AD45" s="128"/>
      <c r="AE45" s="128"/>
      <c r="AF45" s="128"/>
      <c r="AG45" s="192"/>
      <c r="AH45" s="16"/>
      <c r="AI45" s="16"/>
      <c r="AJ45" s="16"/>
      <c r="AK45" s="16"/>
      <c r="AL45" s="16"/>
      <c r="AM45" s="52"/>
      <c r="AN45" s="52"/>
      <c r="AO45" s="131"/>
      <c r="AP45" s="128"/>
      <c r="AQ45" s="131"/>
      <c r="AR45" s="131"/>
      <c r="AS45" s="131"/>
      <c r="AT45" s="131"/>
      <c r="AU45" s="131"/>
      <c r="AV45" s="131"/>
      <c r="AW45" s="128"/>
      <c r="AX45" s="131"/>
      <c r="AY45" s="131"/>
      <c r="AZ45" s="131"/>
      <c r="BA45" s="131"/>
      <c r="BB45" s="131"/>
      <c r="BC45" s="131"/>
      <c r="BD45" s="128"/>
      <c r="BE45" s="131"/>
      <c r="BF45" s="131"/>
      <c r="BG45" s="131"/>
      <c r="BH45" s="131"/>
      <c r="BI45" s="131"/>
      <c r="BJ45" s="16"/>
      <c r="BK45" s="16"/>
      <c r="BL45" s="16"/>
      <c r="BM45" s="16"/>
      <c r="BN45" s="16"/>
      <c r="BO45" s="52"/>
      <c r="BP45" s="52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52"/>
      <c r="CG45" s="52"/>
      <c r="CH45" s="52"/>
      <c r="CI45" s="52"/>
      <c r="CJ45" s="52"/>
      <c r="CK45" s="52"/>
      <c r="CL45" s="52"/>
      <c r="CM45" s="52"/>
      <c r="CN45" s="52"/>
      <c r="CO45" s="16"/>
      <c r="CP45" s="16"/>
      <c r="CQ45" s="16"/>
      <c r="CR45" s="16"/>
      <c r="CS45" s="16"/>
      <c r="CT45" s="52"/>
      <c r="CU45" s="52"/>
      <c r="CV45" s="52"/>
      <c r="CW45" s="52"/>
      <c r="CX45" s="52"/>
      <c r="CY45" s="52"/>
      <c r="CZ45" s="52"/>
      <c r="DA45" s="52"/>
      <c r="DB45" s="52"/>
      <c r="DC45" s="131"/>
      <c r="DD45" s="128"/>
      <c r="DE45" s="131"/>
      <c r="DF45" s="131"/>
      <c r="DG45" s="131"/>
      <c r="DH45" s="131"/>
      <c r="DI45" s="131"/>
      <c r="DJ45" s="131"/>
      <c r="DK45" s="128"/>
      <c r="DL45" s="131"/>
      <c r="DM45" s="131"/>
      <c r="DN45" s="131"/>
      <c r="DO45" s="131"/>
      <c r="DP45" s="131"/>
    </row>
    <row r="46" customFormat="false" ht="12.8" hidden="false" customHeight="false" outlineLevel="0" collapsed="false">
      <c r="A46" s="120"/>
      <c r="B46" s="120"/>
      <c r="C46" s="120"/>
      <c r="D46" s="120"/>
      <c r="E46" s="120"/>
      <c r="F46" s="120"/>
      <c r="G46" s="193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00"/>
      <c r="AA46" s="100"/>
      <c r="AB46" s="100"/>
      <c r="AC46" s="100"/>
      <c r="AD46" s="100"/>
      <c r="AE46" s="100"/>
      <c r="AF46" s="100"/>
      <c r="AG46" s="163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0"/>
      <c r="CB46" s="120"/>
      <c r="CC46" s="120"/>
      <c r="CD46" s="120"/>
      <c r="CE46" s="12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T46" s="100"/>
      <c r="CU46" s="100"/>
      <c r="CV46" s="100"/>
      <c r="CW46" s="100"/>
      <c r="CX46" s="100"/>
      <c r="CY46" s="100"/>
      <c r="CZ46" s="100"/>
      <c r="DA46" s="100"/>
      <c r="DB46" s="100"/>
      <c r="DC46" s="100"/>
      <c r="DD46" s="100"/>
      <c r="DE46" s="100"/>
      <c r="DF46" s="100"/>
      <c r="DG46" s="100"/>
      <c r="DH46" s="100"/>
      <c r="DI46" s="100"/>
      <c r="DJ46" s="100"/>
      <c r="DK46" s="100"/>
      <c r="DL46" s="100"/>
      <c r="DM46" s="100"/>
      <c r="DN46" s="100"/>
      <c r="DO46" s="100"/>
      <c r="DP46" s="100"/>
    </row>
    <row r="47" customFormat="false" ht="12.8" hidden="false" customHeight="false" outlineLevel="0" collapsed="false">
      <c r="A47" s="120"/>
      <c r="B47" s="120"/>
      <c r="C47" s="120"/>
      <c r="D47" s="120"/>
      <c r="E47" s="120"/>
      <c r="F47" s="120"/>
      <c r="G47" s="19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00"/>
      <c r="AA47" s="100"/>
      <c r="AB47" s="100"/>
      <c r="AC47" s="100"/>
      <c r="AD47" s="100"/>
      <c r="AE47" s="100"/>
      <c r="AF47" s="100"/>
      <c r="AG47" s="163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00"/>
      <c r="CG47" s="100"/>
      <c r="CH47" s="100"/>
      <c r="CI47" s="100"/>
      <c r="CJ47" s="100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0"/>
      <c r="CZ47" s="100"/>
      <c r="DA47" s="100"/>
      <c r="DB47" s="100"/>
      <c r="DC47" s="100"/>
      <c r="DD47" s="100"/>
      <c r="DE47" s="100"/>
      <c r="DF47" s="100"/>
      <c r="DG47" s="100"/>
      <c r="DH47" s="100"/>
      <c r="DI47" s="100"/>
      <c r="DJ47" s="100"/>
      <c r="DK47" s="100"/>
      <c r="DL47" s="100"/>
      <c r="DM47" s="100"/>
      <c r="DN47" s="100"/>
      <c r="DO47" s="100"/>
      <c r="DP47" s="100"/>
    </row>
    <row r="48" customFormat="false" ht="12.8" hidden="false" customHeight="false" outlineLevel="0" collapsed="false">
      <c r="A48" s="120"/>
      <c r="B48" s="120"/>
      <c r="C48" s="120"/>
      <c r="D48" s="120"/>
      <c r="E48" s="120"/>
      <c r="F48" s="120"/>
      <c r="G48" s="19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00"/>
      <c r="AA48" s="100"/>
      <c r="AB48" s="100"/>
      <c r="AC48" s="100"/>
      <c r="AD48" s="100"/>
      <c r="AE48" s="100"/>
      <c r="AF48" s="100"/>
      <c r="AG48" s="163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  <c r="CE48" s="12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0"/>
      <c r="DN48" s="100"/>
      <c r="DO48" s="100"/>
      <c r="DP48" s="100"/>
    </row>
    <row r="49" customFormat="false" ht="12.8" hidden="false" customHeight="false" outlineLevel="0" collapsed="false">
      <c r="A49" s="120"/>
      <c r="B49" s="120"/>
      <c r="C49" s="120"/>
      <c r="D49" s="120"/>
      <c r="E49" s="120"/>
      <c r="F49" s="120"/>
      <c r="G49" s="193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00"/>
      <c r="AA49" s="100"/>
      <c r="AB49" s="100"/>
      <c r="AC49" s="100"/>
      <c r="AD49" s="100"/>
      <c r="AE49" s="100"/>
      <c r="AF49" s="100"/>
      <c r="AG49" s="163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0"/>
      <c r="DN49" s="100"/>
      <c r="DO49" s="100"/>
      <c r="DP49" s="100"/>
    </row>
    <row r="50" customFormat="false" ht="12.8" hidden="false" customHeight="false" outlineLevel="0" collapsed="false">
      <c r="A50" s="120"/>
      <c r="B50" s="120"/>
      <c r="C50" s="120"/>
      <c r="D50" s="120"/>
      <c r="E50" s="120"/>
      <c r="F50" s="120"/>
      <c r="G50" s="193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00"/>
      <c r="AA50" s="100"/>
      <c r="AB50" s="100"/>
      <c r="AC50" s="100"/>
      <c r="AD50" s="100"/>
      <c r="AE50" s="100"/>
      <c r="AF50" s="100"/>
      <c r="AG50" s="163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0"/>
      <c r="CB50" s="120"/>
      <c r="CC50" s="120"/>
      <c r="CD50" s="120"/>
      <c r="CE50" s="12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0"/>
      <c r="DN50" s="100"/>
      <c r="DO50" s="100"/>
      <c r="DP50" s="100"/>
    </row>
    <row r="51" customFormat="false" ht="12.8" hidden="false" customHeight="false" outlineLevel="0" collapsed="false">
      <c r="A51" s="120"/>
      <c r="B51" s="120"/>
      <c r="C51" s="120"/>
      <c r="D51" s="120"/>
      <c r="E51" s="120"/>
      <c r="F51" s="120"/>
      <c r="G51" s="193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00"/>
      <c r="AA51" s="100"/>
      <c r="AB51" s="100"/>
      <c r="AC51" s="100"/>
      <c r="AD51" s="100"/>
      <c r="AE51" s="100"/>
      <c r="AF51" s="100"/>
      <c r="AG51" s="163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120"/>
      <c r="CB51" s="120"/>
      <c r="CC51" s="120"/>
      <c r="CD51" s="120"/>
      <c r="CE51" s="12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0"/>
      <c r="DN51" s="100"/>
      <c r="DO51" s="100"/>
      <c r="DP51" s="100"/>
    </row>
    <row r="52" customFormat="false" ht="12.8" hidden="false" customHeight="false" outlineLevel="0" collapsed="false">
      <c r="A52" s="120"/>
      <c r="B52" s="120"/>
      <c r="C52" s="120"/>
      <c r="D52" s="120"/>
      <c r="E52" s="120"/>
      <c r="F52" s="120"/>
      <c r="G52" s="193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00"/>
      <c r="AA52" s="100"/>
      <c r="AB52" s="100"/>
      <c r="AC52" s="100"/>
      <c r="AD52" s="100"/>
      <c r="AE52" s="100"/>
      <c r="AF52" s="100"/>
      <c r="AG52" s="163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  <c r="BP52" s="10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20"/>
      <c r="CB52" s="120"/>
      <c r="CC52" s="120"/>
      <c r="CD52" s="120"/>
      <c r="CE52" s="12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0"/>
      <c r="DN52" s="100"/>
      <c r="DO52" s="100"/>
      <c r="DP52" s="100"/>
    </row>
    <row r="53" customFormat="false" ht="12.8" hidden="false" customHeight="false" outlineLevel="0" collapsed="false">
      <c r="A53" s="120"/>
      <c r="B53" s="120"/>
      <c r="C53" s="120"/>
      <c r="D53" s="120"/>
      <c r="E53" s="120"/>
      <c r="F53" s="120"/>
      <c r="G53" s="193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00"/>
      <c r="AA53" s="100"/>
      <c r="AB53" s="100"/>
      <c r="AC53" s="100"/>
      <c r="AD53" s="100"/>
      <c r="AE53" s="100"/>
      <c r="AF53" s="100"/>
      <c r="AG53" s="163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0"/>
      <c r="CB53" s="120"/>
      <c r="CC53" s="120"/>
      <c r="CD53" s="120"/>
      <c r="CE53" s="12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0"/>
      <c r="DN53" s="100"/>
      <c r="DO53" s="100"/>
      <c r="DP53" s="100"/>
    </row>
    <row r="54" customFormat="false" ht="12.8" hidden="false" customHeight="false" outlineLevel="0" collapsed="false">
      <c r="A54" s="120"/>
      <c r="B54" s="120"/>
      <c r="C54" s="120"/>
      <c r="D54" s="120"/>
      <c r="E54" s="120"/>
      <c r="F54" s="120"/>
      <c r="G54" s="193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00"/>
      <c r="AA54" s="100"/>
      <c r="AB54" s="100"/>
      <c r="AC54" s="100"/>
      <c r="AD54" s="100"/>
      <c r="AE54" s="100"/>
      <c r="AF54" s="100"/>
      <c r="AG54" s="163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20"/>
      <c r="CB54" s="120"/>
      <c r="CC54" s="120"/>
      <c r="CD54" s="120"/>
      <c r="CE54" s="12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0"/>
      <c r="DN54" s="100"/>
      <c r="DO54" s="100"/>
      <c r="DP54" s="100"/>
    </row>
    <row r="55" customFormat="false" ht="12.8" hidden="false" customHeight="false" outlineLevel="0" collapsed="false">
      <c r="A55" s="120"/>
      <c r="B55" s="120"/>
      <c r="C55" s="120"/>
      <c r="D55" s="120"/>
      <c r="E55" s="120"/>
      <c r="F55" s="120"/>
      <c r="G55" s="193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00"/>
      <c r="AA55" s="100"/>
      <c r="AB55" s="100"/>
      <c r="AC55" s="100"/>
      <c r="AD55" s="100"/>
      <c r="AE55" s="100"/>
      <c r="AF55" s="100"/>
      <c r="AG55" s="163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0"/>
      <c r="BL55" s="100"/>
      <c r="BM55" s="100"/>
      <c r="BN55" s="100"/>
      <c r="BO55" s="100"/>
      <c r="BP55" s="10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20"/>
      <c r="CB55" s="120"/>
      <c r="CC55" s="120"/>
      <c r="CD55" s="120"/>
      <c r="CE55" s="12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  <c r="DC55" s="100"/>
      <c r="DD55" s="100"/>
      <c r="DE55" s="100"/>
      <c r="DF55" s="100"/>
      <c r="DG55" s="100"/>
      <c r="DH55" s="100"/>
      <c r="DI55" s="100"/>
      <c r="DJ55" s="100"/>
      <c r="DK55" s="100"/>
      <c r="DL55" s="100"/>
      <c r="DM55" s="100"/>
      <c r="DN55" s="100"/>
      <c r="DO55" s="100"/>
      <c r="DP55" s="100"/>
    </row>
    <row r="56" customFormat="false" ht="12.8" hidden="false" customHeight="false" outlineLevel="0" collapsed="false">
      <c r="A56" s="120"/>
      <c r="B56" s="120"/>
      <c r="C56" s="120"/>
      <c r="D56" s="120"/>
      <c r="E56" s="120"/>
      <c r="F56" s="120"/>
      <c r="G56" s="193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00"/>
      <c r="AA56" s="100"/>
      <c r="AB56" s="100"/>
      <c r="AC56" s="100"/>
      <c r="AD56" s="100"/>
      <c r="AE56" s="100"/>
      <c r="AF56" s="100"/>
      <c r="AG56" s="163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20"/>
      <c r="CB56" s="120"/>
      <c r="CC56" s="120"/>
      <c r="CD56" s="120"/>
      <c r="CE56" s="12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  <c r="DC56" s="100"/>
      <c r="DD56" s="100"/>
      <c r="DE56" s="100"/>
      <c r="DF56" s="100"/>
      <c r="DG56" s="100"/>
      <c r="DH56" s="100"/>
      <c r="DI56" s="100"/>
      <c r="DJ56" s="100"/>
      <c r="DK56" s="100"/>
      <c r="DL56" s="100"/>
      <c r="DM56" s="100"/>
      <c r="DN56" s="100"/>
      <c r="DO56" s="100"/>
      <c r="DP56" s="100"/>
    </row>
    <row r="57" customFormat="false" ht="12.8" hidden="false" customHeight="false" outlineLevel="0" collapsed="false">
      <c r="A57" s="120"/>
      <c r="B57" s="120"/>
      <c r="C57" s="120"/>
      <c r="D57" s="120"/>
      <c r="E57" s="120"/>
      <c r="F57" s="120"/>
      <c r="G57" s="193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00"/>
      <c r="AA57" s="100"/>
      <c r="AB57" s="100"/>
      <c r="AC57" s="100"/>
      <c r="AD57" s="100"/>
      <c r="AE57" s="100"/>
      <c r="AF57" s="100"/>
      <c r="AG57" s="163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20"/>
      <c r="CB57" s="120"/>
      <c r="CC57" s="120"/>
      <c r="CD57" s="120"/>
      <c r="CE57" s="12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  <c r="DC57" s="100"/>
      <c r="DD57" s="100"/>
      <c r="DE57" s="100"/>
      <c r="DF57" s="100"/>
      <c r="DG57" s="100"/>
      <c r="DH57" s="100"/>
      <c r="DI57" s="100"/>
      <c r="DJ57" s="100"/>
      <c r="DK57" s="100"/>
      <c r="DL57" s="100"/>
      <c r="DM57" s="100"/>
      <c r="DN57" s="100"/>
      <c r="DO57" s="100"/>
      <c r="DP57" s="100"/>
    </row>
    <row r="58" customFormat="false" ht="12.8" hidden="false" customHeight="false" outlineLevel="0" collapsed="false">
      <c r="A58" s="120"/>
      <c r="B58" s="120"/>
      <c r="C58" s="120"/>
      <c r="D58" s="120"/>
      <c r="E58" s="120"/>
      <c r="F58" s="120"/>
      <c r="G58" s="193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00"/>
      <c r="AA58" s="100"/>
      <c r="AB58" s="100"/>
      <c r="AC58" s="100"/>
      <c r="AD58" s="100"/>
      <c r="AE58" s="100"/>
      <c r="AF58" s="100"/>
      <c r="AG58" s="163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0"/>
      <c r="CB58" s="120"/>
      <c r="CC58" s="120"/>
      <c r="CD58" s="120"/>
      <c r="CE58" s="12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100"/>
      <c r="CX58" s="100"/>
      <c r="CY58" s="100"/>
      <c r="CZ58" s="100"/>
      <c r="DA58" s="100"/>
      <c r="DB58" s="100"/>
      <c r="DC58" s="100"/>
      <c r="DD58" s="100"/>
      <c r="DE58" s="100"/>
      <c r="DF58" s="100"/>
      <c r="DG58" s="100"/>
      <c r="DH58" s="100"/>
      <c r="DI58" s="100"/>
      <c r="DJ58" s="100"/>
      <c r="DK58" s="100"/>
      <c r="DL58" s="100"/>
      <c r="DM58" s="100"/>
      <c r="DN58" s="100"/>
      <c r="DO58" s="100"/>
      <c r="DP58" s="100"/>
    </row>
    <row r="59" customFormat="false" ht="12.8" hidden="false" customHeight="false" outlineLevel="0" collapsed="false">
      <c r="A59" s="120"/>
      <c r="B59" s="120"/>
      <c r="C59" s="120"/>
      <c r="D59" s="120"/>
      <c r="E59" s="120"/>
      <c r="F59" s="120"/>
      <c r="G59" s="193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00"/>
      <c r="AA59" s="100"/>
      <c r="AB59" s="100"/>
      <c r="AC59" s="100"/>
      <c r="AD59" s="100"/>
      <c r="AE59" s="100"/>
      <c r="AF59" s="100"/>
      <c r="AG59" s="163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20"/>
      <c r="CC59" s="120"/>
      <c r="CD59" s="120"/>
      <c r="CE59" s="12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  <c r="DC59" s="100"/>
      <c r="DD59" s="100"/>
      <c r="DE59" s="100"/>
      <c r="DF59" s="100"/>
      <c r="DG59" s="100"/>
      <c r="DH59" s="100"/>
      <c r="DI59" s="100"/>
      <c r="DJ59" s="100"/>
      <c r="DK59" s="100"/>
      <c r="DL59" s="100"/>
      <c r="DM59" s="100"/>
      <c r="DN59" s="100"/>
      <c r="DO59" s="100"/>
      <c r="DP59" s="100"/>
    </row>
    <row r="60" customFormat="false" ht="12.8" hidden="false" customHeight="false" outlineLevel="0" collapsed="false">
      <c r="A60" s="120"/>
      <c r="B60" s="120"/>
      <c r="C60" s="120"/>
      <c r="D60" s="120"/>
      <c r="E60" s="120"/>
      <c r="F60" s="120"/>
      <c r="G60" s="193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00"/>
      <c r="AA60" s="100"/>
      <c r="AB60" s="100"/>
      <c r="AC60" s="100"/>
      <c r="AD60" s="100"/>
      <c r="AE60" s="100"/>
      <c r="AF60" s="100"/>
      <c r="AG60" s="163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0"/>
      <c r="CB60" s="120"/>
      <c r="CC60" s="120"/>
      <c r="CD60" s="120"/>
      <c r="CE60" s="12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  <c r="DC60" s="100"/>
      <c r="DD60" s="100"/>
      <c r="DE60" s="100"/>
      <c r="DF60" s="100"/>
      <c r="DG60" s="100"/>
      <c r="DH60" s="100"/>
      <c r="DI60" s="100"/>
      <c r="DJ60" s="100"/>
      <c r="DK60" s="100"/>
      <c r="DL60" s="100"/>
      <c r="DM60" s="100"/>
      <c r="DN60" s="100"/>
      <c r="DO60" s="100"/>
      <c r="DP60" s="100"/>
    </row>
    <row r="61" customFormat="false" ht="12.8" hidden="false" customHeight="false" outlineLevel="0" collapsed="false">
      <c r="A61" s="120"/>
      <c r="B61" s="120"/>
      <c r="C61" s="120"/>
      <c r="D61" s="120"/>
      <c r="E61" s="120"/>
      <c r="F61" s="120"/>
      <c r="G61" s="193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00"/>
      <c r="AA61" s="100"/>
      <c r="AB61" s="100"/>
      <c r="AC61" s="100"/>
      <c r="AD61" s="100"/>
      <c r="AE61" s="100"/>
      <c r="AF61" s="100"/>
      <c r="AG61" s="163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20"/>
      <c r="BR61" s="120"/>
      <c r="BS61" s="120"/>
      <c r="BT61" s="120"/>
      <c r="BU61" s="120"/>
      <c r="BV61" s="120"/>
      <c r="BW61" s="120"/>
      <c r="BX61" s="120"/>
      <c r="BY61" s="120"/>
      <c r="BZ61" s="120"/>
      <c r="CA61" s="120"/>
      <c r="CB61" s="120"/>
      <c r="CC61" s="120"/>
      <c r="CD61" s="120"/>
      <c r="CE61" s="12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  <c r="CU61" s="100"/>
      <c r="CV61" s="100"/>
      <c r="CW61" s="100"/>
      <c r="CX61" s="100"/>
      <c r="CY61" s="100"/>
      <c r="CZ61" s="100"/>
      <c r="DA61" s="100"/>
      <c r="DB61" s="100"/>
      <c r="DC61" s="100"/>
      <c r="DD61" s="100"/>
      <c r="DE61" s="100"/>
      <c r="DF61" s="100"/>
      <c r="DG61" s="100"/>
      <c r="DH61" s="100"/>
      <c r="DI61" s="100"/>
      <c r="DJ61" s="100"/>
      <c r="DK61" s="100"/>
      <c r="DL61" s="100"/>
      <c r="DM61" s="100"/>
      <c r="DN61" s="100"/>
      <c r="DO61" s="100"/>
      <c r="DP61" s="100"/>
    </row>
    <row r="62" customFormat="false" ht="12.8" hidden="false" customHeight="false" outlineLevel="0" collapsed="false">
      <c r="A62" s="120"/>
      <c r="B62" s="120"/>
      <c r="C62" s="120"/>
      <c r="D62" s="120"/>
      <c r="E62" s="120"/>
      <c r="F62" s="120"/>
      <c r="G62" s="193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00"/>
      <c r="AA62" s="100"/>
      <c r="AB62" s="100"/>
      <c r="AC62" s="100"/>
      <c r="AD62" s="100"/>
      <c r="AE62" s="100"/>
      <c r="AF62" s="100"/>
      <c r="AG62" s="163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20"/>
      <c r="BR62" s="120"/>
      <c r="BS62" s="120"/>
      <c r="BT62" s="120"/>
      <c r="BU62" s="120"/>
      <c r="BV62" s="120"/>
      <c r="BW62" s="120"/>
      <c r="BX62" s="120"/>
      <c r="BY62" s="120"/>
      <c r="BZ62" s="120"/>
      <c r="CA62" s="120"/>
      <c r="CB62" s="120"/>
      <c r="CC62" s="120"/>
      <c r="CD62" s="120"/>
      <c r="CE62" s="120"/>
      <c r="CF62" s="100"/>
      <c r="CG62" s="100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  <c r="CT62" s="100"/>
      <c r="CU62" s="100"/>
      <c r="CV62" s="100"/>
      <c r="CW62" s="100"/>
      <c r="CX62" s="100"/>
      <c r="CY62" s="100"/>
      <c r="CZ62" s="100"/>
      <c r="DA62" s="100"/>
      <c r="DB62" s="100"/>
      <c r="DC62" s="100"/>
      <c r="DD62" s="100"/>
      <c r="DE62" s="100"/>
      <c r="DF62" s="100"/>
      <c r="DG62" s="100"/>
      <c r="DH62" s="100"/>
      <c r="DI62" s="100"/>
      <c r="DJ62" s="100"/>
      <c r="DK62" s="100"/>
      <c r="DL62" s="100"/>
      <c r="DM62" s="100"/>
      <c r="DN62" s="100"/>
      <c r="DO62" s="100"/>
      <c r="DP62" s="100"/>
    </row>
    <row r="63" customFormat="false" ht="12.8" hidden="false" customHeight="false" outlineLevel="0" collapsed="false">
      <c r="A63" s="120"/>
      <c r="B63" s="120"/>
      <c r="C63" s="120"/>
      <c r="D63" s="120"/>
      <c r="E63" s="120"/>
      <c r="F63" s="120"/>
      <c r="G63" s="193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00"/>
      <c r="AA63" s="100"/>
      <c r="AB63" s="100"/>
      <c r="AC63" s="100"/>
      <c r="AD63" s="100"/>
      <c r="AE63" s="100"/>
      <c r="AF63" s="100"/>
      <c r="AG63" s="163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20"/>
      <c r="BR63" s="120"/>
      <c r="BS63" s="120"/>
      <c r="BT63" s="120"/>
      <c r="BU63" s="120"/>
      <c r="BV63" s="120"/>
      <c r="BW63" s="120"/>
      <c r="BX63" s="120"/>
      <c r="BY63" s="120"/>
      <c r="BZ63" s="120"/>
      <c r="CA63" s="120"/>
      <c r="CB63" s="120"/>
      <c r="CC63" s="120"/>
      <c r="CD63" s="120"/>
      <c r="CE63" s="12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  <c r="DC63" s="100"/>
      <c r="DD63" s="100"/>
      <c r="DE63" s="100"/>
      <c r="DF63" s="100"/>
      <c r="DG63" s="100"/>
      <c r="DH63" s="100"/>
      <c r="DI63" s="100"/>
      <c r="DJ63" s="100"/>
      <c r="DK63" s="100"/>
      <c r="DL63" s="100"/>
      <c r="DM63" s="100"/>
      <c r="DN63" s="100"/>
      <c r="DO63" s="100"/>
      <c r="DP63" s="100"/>
    </row>
    <row r="64" customFormat="false" ht="12.8" hidden="false" customHeight="false" outlineLevel="0" collapsed="false">
      <c r="A64" s="120"/>
      <c r="B64" s="120"/>
      <c r="C64" s="120"/>
      <c r="D64" s="120"/>
      <c r="E64" s="120"/>
      <c r="F64" s="120"/>
      <c r="G64" s="193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00"/>
      <c r="AA64" s="100"/>
      <c r="AB64" s="100"/>
      <c r="AC64" s="100"/>
      <c r="AD64" s="100"/>
      <c r="AE64" s="100"/>
      <c r="AF64" s="100"/>
      <c r="AG64" s="163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20"/>
      <c r="CB64" s="120"/>
      <c r="CC64" s="120"/>
      <c r="CD64" s="120"/>
      <c r="CE64" s="12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  <c r="DC64" s="100"/>
      <c r="DD64" s="100"/>
      <c r="DE64" s="100"/>
      <c r="DF64" s="100"/>
      <c r="DG64" s="100"/>
      <c r="DH64" s="100"/>
      <c r="DI64" s="100"/>
      <c r="DJ64" s="100"/>
      <c r="DK64" s="100"/>
      <c r="DL64" s="100"/>
      <c r="DM64" s="100"/>
      <c r="DN64" s="100"/>
      <c r="DO64" s="100"/>
      <c r="DP64" s="100"/>
    </row>
    <row r="65" customFormat="false" ht="12.8" hidden="false" customHeight="false" outlineLevel="0" collapsed="false">
      <c r="A65" s="120"/>
      <c r="B65" s="120"/>
      <c r="C65" s="120"/>
      <c r="D65" s="120"/>
      <c r="E65" s="120"/>
      <c r="F65" s="120"/>
      <c r="G65" s="193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00"/>
      <c r="AA65" s="100"/>
      <c r="AB65" s="100"/>
      <c r="AC65" s="100"/>
      <c r="AD65" s="100"/>
      <c r="AE65" s="100"/>
      <c r="AF65" s="100"/>
      <c r="AG65" s="163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20"/>
      <c r="CB65" s="120"/>
      <c r="CC65" s="120"/>
      <c r="CD65" s="120"/>
      <c r="CE65" s="12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  <c r="DC65" s="100"/>
      <c r="DD65" s="100"/>
      <c r="DE65" s="100"/>
      <c r="DF65" s="100"/>
      <c r="DG65" s="100"/>
      <c r="DH65" s="100"/>
      <c r="DI65" s="100"/>
      <c r="DJ65" s="100"/>
      <c r="DK65" s="100"/>
      <c r="DL65" s="100"/>
      <c r="DM65" s="100"/>
      <c r="DN65" s="100"/>
      <c r="DO65" s="100"/>
      <c r="DP65" s="100"/>
    </row>
    <row r="66" customFormat="false" ht="12.8" hidden="false" customHeight="false" outlineLevel="0" collapsed="false">
      <c r="A66" s="120"/>
      <c r="B66" s="120"/>
      <c r="C66" s="120"/>
      <c r="D66" s="120"/>
      <c r="E66" s="120"/>
      <c r="F66" s="120"/>
      <c r="G66" s="193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00"/>
      <c r="AA66" s="100"/>
      <c r="AB66" s="100"/>
      <c r="AC66" s="100"/>
      <c r="AD66" s="100"/>
      <c r="AE66" s="100"/>
      <c r="AF66" s="100"/>
      <c r="AG66" s="163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  <c r="BE66" s="100"/>
      <c r="BF66" s="100"/>
      <c r="BG66" s="100"/>
      <c r="BH66" s="100"/>
      <c r="BI66" s="100"/>
      <c r="BJ66" s="100"/>
      <c r="BK66" s="100"/>
      <c r="BL66" s="100"/>
      <c r="BM66" s="100"/>
      <c r="BN66" s="100"/>
      <c r="BO66" s="100"/>
      <c r="BP66" s="100"/>
      <c r="BQ66" s="120"/>
      <c r="BR66" s="120"/>
      <c r="BS66" s="120"/>
      <c r="BT66" s="120"/>
      <c r="BU66" s="120"/>
      <c r="BV66" s="120"/>
      <c r="BW66" s="120"/>
      <c r="BX66" s="120"/>
      <c r="BY66" s="120"/>
      <c r="BZ66" s="120"/>
      <c r="CA66" s="120"/>
      <c r="CB66" s="120"/>
      <c r="CC66" s="120"/>
      <c r="CD66" s="120"/>
      <c r="CE66" s="120"/>
      <c r="CF66" s="100"/>
      <c r="CG66" s="100"/>
      <c r="CH66" s="100"/>
      <c r="CI66" s="100"/>
      <c r="CJ66" s="100"/>
      <c r="CK66" s="100"/>
      <c r="CL66" s="100"/>
      <c r="CM66" s="100"/>
      <c r="CN66" s="100"/>
      <c r="CO66" s="100"/>
      <c r="CP66" s="100"/>
      <c r="CQ66" s="100"/>
      <c r="CR66" s="100"/>
      <c r="CS66" s="100"/>
      <c r="CT66" s="100"/>
      <c r="CU66" s="100"/>
      <c r="CV66" s="100"/>
      <c r="CW66" s="100"/>
      <c r="CX66" s="100"/>
      <c r="CY66" s="100"/>
      <c r="CZ66" s="100"/>
      <c r="DA66" s="100"/>
      <c r="DB66" s="100"/>
      <c r="DC66" s="100"/>
      <c r="DD66" s="100"/>
      <c r="DE66" s="100"/>
      <c r="DF66" s="100"/>
      <c r="DG66" s="100"/>
      <c r="DH66" s="100"/>
      <c r="DI66" s="100"/>
      <c r="DJ66" s="100"/>
      <c r="DK66" s="100"/>
      <c r="DL66" s="100"/>
      <c r="DM66" s="100"/>
      <c r="DN66" s="100"/>
      <c r="DO66" s="100"/>
      <c r="DP66" s="100"/>
    </row>
    <row r="67" customFormat="false" ht="12.8" hidden="false" customHeight="false" outlineLevel="0" collapsed="false">
      <c r="A67" s="120"/>
      <c r="B67" s="120"/>
      <c r="C67" s="120"/>
      <c r="D67" s="120"/>
      <c r="E67" s="120"/>
      <c r="F67" s="120"/>
      <c r="G67" s="193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00"/>
      <c r="AA67" s="100"/>
      <c r="AB67" s="100"/>
      <c r="AC67" s="100"/>
      <c r="AD67" s="100"/>
      <c r="AE67" s="100"/>
      <c r="AF67" s="100"/>
      <c r="AG67" s="163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  <c r="BE67" s="100"/>
      <c r="BF67" s="100"/>
      <c r="BG67" s="100"/>
      <c r="BH67" s="100"/>
      <c r="BI67" s="100"/>
      <c r="BJ67" s="100"/>
      <c r="BK67" s="100"/>
      <c r="BL67" s="100"/>
      <c r="BM67" s="100"/>
      <c r="BN67" s="100"/>
      <c r="BO67" s="100"/>
      <c r="BP67" s="100"/>
      <c r="BQ67" s="120"/>
      <c r="BR67" s="120"/>
      <c r="BS67" s="120"/>
      <c r="BT67" s="120"/>
      <c r="BU67" s="120"/>
      <c r="BV67" s="120"/>
      <c r="BW67" s="120"/>
      <c r="BX67" s="120"/>
      <c r="BY67" s="120"/>
      <c r="BZ67" s="120"/>
      <c r="CA67" s="120"/>
      <c r="CB67" s="120"/>
      <c r="CC67" s="120"/>
      <c r="CD67" s="120"/>
      <c r="CE67" s="120"/>
      <c r="CF67" s="100"/>
      <c r="CG67" s="100"/>
      <c r="CH67" s="100"/>
      <c r="CI67" s="100"/>
      <c r="CJ67" s="100"/>
      <c r="CK67" s="100"/>
      <c r="CL67" s="100"/>
      <c r="CM67" s="100"/>
      <c r="CN67" s="100"/>
      <c r="CO67" s="100"/>
      <c r="CP67" s="100"/>
      <c r="CQ67" s="100"/>
      <c r="CR67" s="100"/>
      <c r="CS67" s="100"/>
      <c r="CT67" s="100"/>
      <c r="CU67" s="100"/>
      <c r="CV67" s="100"/>
      <c r="CW67" s="100"/>
      <c r="CX67" s="100"/>
      <c r="CY67" s="100"/>
      <c r="CZ67" s="100"/>
      <c r="DA67" s="100"/>
      <c r="DB67" s="100"/>
      <c r="DC67" s="100"/>
      <c r="DD67" s="100"/>
      <c r="DE67" s="100"/>
      <c r="DF67" s="100"/>
      <c r="DG67" s="100"/>
      <c r="DH67" s="100"/>
      <c r="DI67" s="100"/>
      <c r="DJ67" s="100"/>
      <c r="DK67" s="100"/>
      <c r="DL67" s="100"/>
      <c r="DM67" s="100"/>
      <c r="DN67" s="100"/>
      <c r="DO67" s="100"/>
      <c r="DP67" s="100"/>
    </row>
    <row r="68" customFormat="false" ht="12.8" hidden="false" customHeight="false" outlineLevel="0" collapsed="false">
      <c r="A68" s="120"/>
      <c r="B68" s="120"/>
      <c r="C68" s="120"/>
      <c r="D68" s="120"/>
      <c r="E68" s="120"/>
      <c r="F68" s="120"/>
      <c r="G68" s="193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00"/>
      <c r="AA68" s="100"/>
      <c r="AB68" s="100"/>
      <c r="AC68" s="100"/>
      <c r="AD68" s="100"/>
      <c r="AE68" s="100"/>
      <c r="AF68" s="100"/>
      <c r="AG68" s="163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20"/>
      <c r="BR68" s="120"/>
      <c r="BS68" s="120"/>
      <c r="BT68" s="120"/>
      <c r="BU68" s="120"/>
      <c r="BV68" s="120"/>
      <c r="BW68" s="120"/>
      <c r="BX68" s="120"/>
      <c r="BY68" s="120"/>
      <c r="BZ68" s="120"/>
      <c r="CA68" s="120"/>
      <c r="CB68" s="120"/>
      <c r="CC68" s="120"/>
      <c r="CD68" s="120"/>
      <c r="CE68" s="120"/>
      <c r="CF68" s="100"/>
      <c r="CG68" s="100"/>
      <c r="CH68" s="100"/>
      <c r="CI68" s="100"/>
      <c r="CJ68" s="100"/>
      <c r="CK68" s="100"/>
      <c r="CL68" s="100"/>
      <c r="CM68" s="100"/>
      <c r="CN68" s="100"/>
      <c r="CO68" s="100"/>
      <c r="CP68" s="100"/>
      <c r="CQ68" s="100"/>
      <c r="CR68" s="100"/>
      <c r="CS68" s="100"/>
      <c r="CT68" s="100"/>
      <c r="CU68" s="100"/>
      <c r="CV68" s="100"/>
      <c r="CW68" s="100"/>
      <c r="CX68" s="100"/>
      <c r="CY68" s="100"/>
      <c r="CZ68" s="100"/>
      <c r="DA68" s="100"/>
      <c r="DB68" s="100"/>
      <c r="DC68" s="100"/>
      <c r="DD68" s="100"/>
      <c r="DE68" s="100"/>
      <c r="DF68" s="100"/>
      <c r="DG68" s="100"/>
      <c r="DH68" s="100"/>
      <c r="DI68" s="100"/>
      <c r="DJ68" s="100"/>
      <c r="DK68" s="100"/>
      <c r="DL68" s="100"/>
      <c r="DM68" s="100"/>
      <c r="DN68" s="100"/>
      <c r="DO68" s="100"/>
      <c r="DP68" s="100"/>
    </row>
    <row r="69" customFormat="false" ht="12.8" hidden="false" customHeight="false" outlineLevel="0" collapsed="false">
      <c r="A69" s="120"/>
      <c r="B69" s="120"/>
      <c r="C69" s="120"/>
      <c r="D69" s="120"/>
      <c r="E69" s="120"/>
      <c r="F69" s="120"/>
      <c r="G69" s="193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00"/>
      <c r="AA69" s="100"/>
      <c r="AB69" s="100"/>
      <c r="AC69" s="100"/>
      <c r="AD69" s="100"/>
      <c r="AE69" s="100"/>
      <c r="AF69" s="100"/>
      <c r="AG69" s="163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  <c r="BE69" s="100"/>
      <c r="BF69" s="100"/>
      <c r="BG69" s="100"/>
      <c r="BH69" s="100"/>
      <c r="BI69" s="100"/>
      <c r="BJ69" s="100"/>
      <c r="BK69" s="100"/>
      <c r="BL69" s="100"/>
      <c r="BM69" s="100"/>
      <c r="BN69" s="100"/>
      <c r="BO69" s="100"/>
      <c r="BP69" s="100"/>
      <c r="BQ69" s="120"/>
      <c r="BR69" s="120"/>
      <c r="BS69" s="120"/>
      <c r="BT69" s="120"/>
      <c r="BU69" s="120"/>
      <c r="BV69" s="120"/>
      <c r="BW69" s="120"/>
      <c r="BX69" s="120"/>
      <c r="BY69" s="120"/>
      <c r="BZ69" s="120"/>
      <c r="CA69" s="120"/>
      <c r="CB69" s="120"/>
      <c r="CC69" s="120"/>
      <c r="CD69" s="120"/>
      <c r="CE69" s="120"/>
      <c r="CF69" s="100"/>
      <c r="CG69" s="100"/>
      <c r="CH69" s="100"/>
      <c r="CI69" s="100"/>
      <c r="CJ69" s="100"/>
      <c r="CK69" s="100"/>
      <c r="CL69" s="100"/>
      <c r="CM69" s="100"/>
      <c r="CN69" s="100"/>
      <c r="CO69" s="100"/>
      <c r="CP69" s="100"/>
      <c r="CQ69" s="100"/>
      <c r="CR69" s="100"/>
      <c r="CS69" s="100"/>
      <c r="CT69" s="100"/>
      <c r="CU69" s="100"/>
      <c r="CV69" s="100"/>
      <c r="CW69" s="100"/>
      <c r="CX69" s="100"/>
      <c r="CY69" s="100"/>
      <c r="CZ69" s="100"/>
      <c r="DA69" s="100"/>
      <c r="DB69" s="100"/>
      <c r="DC69" s="100"/>
      <c r="DD69" s="100"/>
      <c r="DE69" s="100"/>
      <c r="DF69" s="100"/>
      <c r="DG69" s="100"/>
      <c r="DH69" s="100"/>
      <c r="DI69" s="100"/>
      <c r="DJ69" s="100"/>
      <c r="DK69" s="100"/>
      <c r="DL69" s="100"/>
      <c r="DM69" s="100"/>
      <c r="DN69" s="100"/>
      <c r="DO69" s="100"/>
      <c r="DP69" s="100"/>
    </row>
    <row r="70" customFormat="false" ht="12.8" hidden="false" customHeight="false" outlineLevel="0" collapsed="false">
      <c r="A70" s="120"/>
      <c r="B70" s="120"/>
      <c r="C70" s="120"/>
      <c r="D70" s="120"/>
      <c r="E70" s="120"/>
      <c r="F70" s="120"/>
      <c r="G70" s="193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00"/>
      <c r="AA70" s="100"/>
      <c r="AB70" s="100"/>
      <c r="AC70" s="100"/>
      <c r="AD70" s="100"/>
      <c r="AE70" s="100"/>
      <c r="AF70" s="100"/>
      <c r="AG70" s="163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  <c r="BH70" s="100"/>
      <c r="BI70" s="100"/>
      <c r="BJ70" s="100"/>
      <c r="BK70" s="100"/>
      <c r="BL70" s="100"/>
      <c r="BM70" s="100"/>
      <c r="BN70" s="100"/>
      <c r="BO70" s="100"/>
      <c r="BP70" s="100"/>
      <c r="BQ70" s="120"/>
      <c r="BR70" s="120"/>
      <c r="BS70" s="120"/>
      <c r="BT70" s="120"/>
      <c r="BU70" s="120"/>
      <c r="BV70" s="120"/>
      <c r="BW70" s="120"/>
      <c r="BX70" s="120"/>
      <c r="BY70" s="120"/>
      <c r="BZ70" s="120"/>
      <c r="CA70" s="120"/>
      <c r="CB70" s="120"/>
      <c r="CC70" s="120"/>
      <c r="CD70" s="120"/>
      <c r="CE70" s="120"/>
      <c r="CF70" s="100"/>
      <c r="CG70" s="100"/>
      <c r="CH70" s="100"/>
      <c r="CI70" s="100"/>
      <c r="CJ70" s="100"/>
      <c r="CK70" s="100"/>
      <c r="CL70" s="100"/>
      <c r="CM70" s="100"/>
      <c r="CN70" s="100"/>
      <c r="CO70" s="100"/>
      <c r="CP70" s="100"/>
      <c r="CQ70" s="100"/>
      <c r="CR70" s="100"/>
      <c r="CS70" s="100"/>
      <c r="CT70" s="100"/>
      <c r="CU70" s="100"/>
      <c r="CV70" s="100"/>
      <c r="CW70" s="100"/>
      <c r="CX70" s="100"/>
      <c r="CY70" s="100"/>
      <c r="CZ70" s="100"/>
      <c r="DA70" s="100"/>
      <c r="DB70" s="100"/>
      <c r="DC70" s="100"/>
      <c r="DD70" s="100"/>
      <c r="DE70" s="100"/>
      <c r="DF70" s="100"/>
      <c r="DG70" s="100"/>
      <c r="DH70" s="100"/>
      <c r="DI70" s="100"/>
      <c r="DJ70" s="100"/>
      <c r="DK70" s="100"/>
      <c r="DL70" s="100"/>
      <c r="DM70" s="100"/>
      <c r="DN70" s="100"/>
      <c r="DO70" s="100"/>
      <c r="DP70" s="100"/>
    </row>
    <row r="71" customFormat="false" ht="12.8" hidden="false" customHeight="false" outlineLevel="0" collapsed="false">
      <c r="A71" s="120"/>
      <c r="B71" s="120"/>
      <c r="C71" s="120"/>
      <c r="D71" s="120"/>
      <c r="E71" s="120"/>
      <c r="F71" s="120"/>
      <c r="G71" s="193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00"/>
      <c r="AA71" s="100"/>
      <c r="AB71" s="100"/>
      <c r="AC71" s="100"/>
      <c r="AD71" s="100"/>
      <c r="AE71" s="100"/>
      <c r="AF71" s="100"/>
      <c r="AG71" s="163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  <c r="BD71" s="100"/>
      <c r="BE71" s="100"/>
      <c r="BF71" s="100"/>
      <c r="BG71" s="100"/>
      <c r="BH71" s="100"/>
      <c r="BI71" s="100"/>
      <c r="BJ71" s="100"/>
      <c r="BK71" s="100"/>
      <c r="BL71" s="100"/>
      <c r="BM71" s="100"/>
      <c r="BN71" s="100"/>
      <c r="BO71" s="100"/>
      <c r="BP71" s="100"/>
      <c r="BQ71" s="120"/>
      <c r="BR71" s="120"/>
      <c r="BS71" s="120"/>
      <c r="BT71" s="120"/>
      <c r="BU71" s="120"/>
      <c r="BV71" s="120"/>
      <c r="BW71" s="120"/>
      <c r="BX71" s="120"/>
      <c r="BY71" s="120"/>
      <c r="BZ71" s="120"/>
      <c r="CA71" s="120"/>
      <c r="CB71" s="120"/>
      <c r="CC71" s="120"/>
      <c r="CD71" s="120"/>
      <c r="CE71" s="120"/>
      <c r="CF71" s="100"/>
      <c r="CG71" s="100"/>
      <c r="CH71" s="100"/>
      <c r="CI71" s="100"/>
      <c r="CJ71" s="100"/>
      <c r="CK71" s="100"/>
      <c r="CL71" s="100"/>
      <c r="CM71" s="100"/>
      <c r="CN71" s="100"/>
      <c r="CO71" s="100"/>
      <c r="CP71" s="100"/>
      <c r="CQ71" s="100"/>
      <c r="CR71" s="100"/>
      <c r="CS71" s="100"/>
      <c r="CT71" s="100"/>
      <c r="CU71" s="100"/>
      <c r="CV71" s="100"/>
      <c r="CW71" s="100"/>
      <c r="CX71" s="100"/>
      <c r="CY71" s="100"/>
      <c r="CZ71" s="100"/>
      <c r="DA71" s="100"/>
      <c r="DB71" s="100"/>
      <c r="DC71" s="100"/>
      <c r="DD71" s="100"/>
      <c r="DE71" s="100"/>
      <c r="DF71" s="100"/>
      <c r="DG71" s="100"/>
      <c r="DH71" s="100"/>
      <c r="DI71" s="100"/>
      <c r="DJ71" s="100"/>
      <c r="DK71" s="100"/>
      <c r="DL71" s="100"/>
      <c r="DM71" s="100"/>
      <c r="DN71" s="100"/>
      <c r="DO71" s="100"/>
      <c r="DP71" s="100"/>
    </row>
    <row r="72" customFormat="false" ht="12.8" hidden="false" customHeight="false" outlineLevel="0" collapsed="false">
      <c r="A72" s="120"/>
      <c r="B72" s="120"/>
      <c r="C72" s="120"/>
      <c r="D72" s="120"/>
      <c r="E72" s="120"/>
      <c r="F72" s="120"/>
      <c r="G72" s="193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00"/>
      <c r="AA72" s="100"/>
      <c r="AB72" s="100"/>
      <c r="AC72" s="100"/>
      <c r="AD72" s="100"/>
      <c r="AE72" s="100"/>
      <c r="AF72" s="100"/>
      <c r="AG72" s="163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  <c r="BD72" s="100"/>
      <c r="BE72" s="100"/>
      <c r="BF72" s="100"/>
      <c r="BG72" s="100"/>
      <c r="BH72" s="100"/>
      <c r="BI72" s="100"/>
      <c r="BJ72" s="100"/>
      <c r="BK72" s="100"/>
      <c r="BL72" s="100"/>
      <c r="BM72" s="100"/>
      <c r="BN72" s="100"/>
      <c r="BO72" s="100"/>
      <c r="BP72" s="10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0"/>
      <c r="CB72" s="120"/>
      <c r="CC72" s="120"/>
      <c r="CD72" s="120"/>
      <c r="CE72" s="120"/>
      <c r="CF72" s="100"/>
      <c r="CG72" s="100"/>
      <c r="CH72" s="100"/>
      <c r="CI72" s="100"/>
      <c r="CJ72" s="100"/>
      <c r="CK72" s="100"/>
      <c r="CL72" s="100"/>
      <c r="CM72" s="100"/>
      <c r="CN72" s="100"/>
      <c r="CO72" s="100"/>
      <c r="CP72" s="100"/>
      <c r="CQ72" s="100"/>
      <c r="CR72" s="100"/>
      <c r="CS72" s="100"/>
      <c r="CT72" s="100"/>
      <c r="CU72" s="100"/>
      <c r="CV72" s="100"/>
      <c r="CW72" s="100"/>
      <c r="CX72" s="100"/>
      <c r="CY72" s="100"/>
      <c r="CZ72" s="100"/>
      <c r="DA72" s="100"/>
      <c r="DB72" s="100"/>
      <c r="DC72" s="100"/>
      <c r="DD72" s="100"/>
      <c r="DE72" s="100"/>
      <c r="DF72" s="100"/>
      <c r="DG72" s="100"/>
      <c r="DH72" s="100"/>
      <c r="DI72" s="100"/>
      <c r="DJ72" s="100"/>
      <c r="DK72" s="100"/>
      <c r="DL72" s="100"/>
      <c r="DM72" s="100"/>
      <c r="DN72" s="100"/>
      <c r="DO72" s="100"/>
      <c r="DP72" s="100"/>
    </row>
    <row r="73" customFormat="false" ht="12.8" hidden="false" customHeight="false" outlineLevel="0" collapsed="false">
      <c r="A73" s="120"/>
      <c r="B73" s="120"/>
      <c r="C73" s="120"/>
      <c r="D73" s="120"/>
      <c r="E73" s="120"/>
      <c r="F73" s="120"/>
      <c r="G73" s="193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00"/>
      <c r="AA73" s="100"/>
      <c r="AB73" s="100"/>
      <c r="AC73" s="100"/>
      <c r="AD73" s="100"/>
      <c r="AE73" s="100"/>
      <c r="AF73" s="100"/>
      <c r="AG73" s="163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  <c r="BD73" s="100"/>
      <c r="BE73" s="100"/>
      <c r="BF73" s="100"/>
      <c r="BG73" s="100"/>
      <c r="BH73" s="100"/>
      <c r="BI73" s="100"/>
      <c r="BJ73" s="100"/>
      <c r="BK73" s="100"/>
      <c r="BL73" s="100"/>
      <c r="BM73" s="100"/>
      <c r="BN73" s="100"/>
      <c r="BO73" s="100"/>
      <c r="BP73" s="10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0"/>
      <c r="CB73" s="120"/>
      <c r="CC73" s="120"/>
      <c r="CD73" s="120"/>
      <c r="CE73" s="120"/>
      <c r="CF73" s="100"/>
      <c r="CG73" s="100"/>
      <c r="CH73" s="100"/>
      <c r="CI73" s="100"/>
      <c r="CJ73" s="100"/>
      <c r="CK73" s="100"/>
      <c r="CL73" s="100"/>
      <c r="CM73" s="100"/>
      <c r="CN73" s="100"/>
      <c r="CO73" s="100"/>
      <c r="CP73" s="100"/>
      <c r="CQ73" s="100"/>
      <c r="CR73" s="100"/>
      <c r="CS73" s="100"/>
      <c r="CT73" s="100"/>
      <c r="CU73" s="100"/>
      <c r="CV73" s="100"/>
      <c r="CW73" s="100"/>
      <c r="CX73" s="100"/>
      <c r="CY73" s="100"/>
      <c r="CZ73" s="100"/>
      <c r="DA73" s="100"/>
      <c r="DB73" s="100"/>
      <c r="DC73" s="100"/>
      <c r="DD73" s="100"/>
      <c r="DE73" s="100"/>
      <c r="DF73" s="100"/>
      <c r="DG73" s="100"/>
      <c r="DH73" s="100"/>
      <c r="DI73" s="100"/>
      <c r="DJ73" s="100"/>
      <c r="DK73" s="100"/>
      <c r="DL73" s="100"/>
      <c r="DM73" s="100"/>
      <c r="DN73" s="100"/>
      <c r="DO73" s="100"/>
      <c r="DP73" s="100"/>
    </row>
    <row r="74" customFormat="false" ht="12.8" hidden="false" customHeight="false" outlineLevel="0" collapsed="false">
      <c r="A74" s="120"/>
      <c r="B74" s="120"/>
      <c r="C74" s="120"/>
      <c r="D74" s="120"/>
      <c r="E74" s="120"/>
      <c r="F74" s="120"/>
      <c r="G74" s="193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00"/>
      <c r="AA74" s="100"/>
      <c r="AB74" s="100"/>
      <c r="AC74" s="100"/>
      <c r="AD74" s="100"/>
      <c r="AE74" s="100"/>
      <c r="AF74" s="100"/>
      <c r="AG74" s="163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  <c r="BH74" s="100"/>
      <c r="BI74" s="100"/>
      <c r="BJ74" s="100"/>
      <c r="BK74" s="100"/>
      <c r="BL74" s="100"/>
      <c r="BM74" s="100"/>
      <c r="BN74" s="100"/>
      <c r="BO74" s="100"/>
      <c r="BP74" s="100"/>
      <c r="BQ74" s="120"/>
      <c r="BR74" s="120"/>
      <c r="BS74" s="120"/>
      <c r="BT74" s="120"/>
      <c r="BU74" s="120"/>
      <c r="BV74" s="120"/>
      <c r="BW74" s="120"/>
      <c r="BX74" s="120"/>
      <c r="BY74" s="120"/>
      <c r="BZ74" s="120"/>
      <c r="CA74" s="120"/>
      <c r="CB74" s="120"/>
      <c r="CC74" s="120"/>
      <c r="CD74" s="120"/>
      <c r="CE74" s="120"/>
      <c r="CF74" s="100"/>
      <c r="CG74" s="100"/>
      <c r="CH74" s="100"/>
      <c r="CI74" s="100"/>
      <c r="CJ74" s="100"/>
      <c r="CK74" s="100"/>
      <c r="CL74" s="100"/>
      <c r="CM74" s="100"/>
      <c r="CN74" s="100"/>
      <c r="CO74" s="100"/>
      <c r="CP74" s="100"/>
      <c r="CQ74" s="100"/>
      <c r="CR74" s="100"/>
      <c r="CS74" s="100"/>
      <c r="CT74" s="100"/>
      <c r="CU74" s="100"/>
      <c r="CV74" s="100"/>
      <c r="CW74" s="100"/>
      <c r="CX74" s="100"/>
      <c r="CY74" s="100"/>
      <c r="CZ74" s="100"/>
      <c r="DA74" s="100"/>
      <c r="DB74" s="100"/>
      <c r="DC74" s="100"/>
      <c r="DD74" s="100"/>
      <c r="DE74" s="100"/>
      <c r="DF74" s="100"/>
      <c r="DG74" s="100"/>
      <c r="DH74" s="100"/>
      <c r="DI74" s="100"/>
      <c r="DJ74" s="100"/>
      <c r="DK74" s="100"/>
      <c r="DL74" s="100"/>
      <c r="DM74" s="100"/>
      <c r="DN74" s="100"/>
      <c r="DO74" s="100"/>
      <c r="DP74" s="100"/>
    </row>
    <row r="75" customFormat="false" ht="12.8" hidden="false" customHeight="false" outlineLevel="0" collapsed="false">
      <c r="A75" s="120"/>
      <c r="B75" s="120"/>
      <c r="C75" s="120"/>
      <c r="D75" s="120"/>
      <c r="E75" s="120"/>
      <c r="F75" s="120"/>
      <c r="G75" s="193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00"/>
      <c r="AA75" s="100"/>
      <c r="AB75" s="100"/>
      <c r="AC75" s="100"/>
      <c r="AD75" s="100"/>
      <c r="AE75" s="100"/>
      <c r="AF75" s="100"/>
      <c r="AG75" s="163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0"/>
      <c r="BE75" s="100"/>
      <c r="BF75" s="100"/>
      <c r="BG75" s="100"/>
      <c r="BH75" s="100"/>
      <c r="BI75" s="100"/>
      <c r="BJ75" s="100"/>
      <c r="BK75" s="100"/>
      <c r="BL75" s="100"/>
      <c r="BM75" s="100"/>
      <c r="BN75" s="100"/>
      <c r="BO75" s="100"/>
      <c r="BP75" s="100"/>
      <c r="BQ75" s="120"/>
      <c r="BR75" s="120"/>
      <c r="BS75" s="120"/>
      <c r="BT75" s="120"/>
      <c r="BU75" s="120"/>
      <c r="BV75" s="120"/>
      <c r="BW75" s="120"/>
      <c r="BX75" s="120"/>
      <c r="BY75" s="120"/>
      <c r="BZ75" s="120"/>
      <c r="CA75" s="120"/>
      <c r="CB75" s="120"/>
      <c r="CC75" s="120"/>
      <c r="CD75" s="120"/>
      <c r="CE75" s="120"/>
      <c r="CF75" s="100"/>
      <c r="CG75" s="100"/>
      <c r="CH75" s="100"/>
      <c r="CI75" s="100"/>
      <c r="CJ75" s="100"/>
      <c r="CK75" s="100"/>
      <c r="CL75" s="100"/>
      <c r="CM75" s="100"/>
      <c r="CN75" s="100"/>
      <c r="CO75" s="100"/>
      <c r="CP75" s="100"/>
      <c r="CQ75" s="100"/>
      <c r="CR75" s="100"/>
      <c r="CS75" s="100"/>
      <c r="CT75" s="100"/>
      <c r="CU75" s="100"/>
      <c r="CV75" s="100"/>
      <c r="CW75" s="100"/>
      <c r="CX75" s="100"/>
      <c r="CY75" s="100"/>
      <c r="CZ75" s="100"/>
      <c r="DA75" s="100"/>
      <c r="DB75" s="100"/>
      <c r="DC75" s="100"/>
      <c r="DD75" s="100"/>
      <c r="DE75" s="100"/>
      <c r="DF75" s="100"/>
      <c r="DG75" s="100"/>
      <c r="DH75" s="100"/>
      <c r="DI75" s="100"/>
      <c r="DJ75" s="100"/>
      <c r="DK75" s="100"/>
      <c r="DL75" s="100"/>
      <c r="DM75" s="100"/>
      <c r="DN75" s="100"/>
      <c r="DO75" s="100"/>
      <c r="DP75" s="100"/>
    </row>
    <row r="76" customFormat="false" ht="12.8" hidden="false" customHeight="false" outlineLevel="0" collapsed="false">
      <c r="A76" s="120"/>
      <c r="B76" s="120"/>
      <c r="C76" s="120"/>
      <c r="D76" s="120"/>
      <c r="E76" s="120"/>
      <c r="F76" s="120"/>
      <c r="G76" s="193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00"/>
      <c r="AA76" s="100"/>
      <c r="AB76" s="100"/>
      <c r="AC76" s="100"/>
      <c r="AD76" s="100"/>
      <c r="AE76" s="100"/>
      <c r="AF76" s="100"/>
      <c r="AG76" s="163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100"/>
      <c r="AY76" s="100"/>
      <c r="AZ76" s="100"/>
      <c r="BA76" s="100"/>
      <c r="BB76" s="100"/>
      <c r="BC76" s="100"/>
      <c r="BD76" s="100"/>
      <c r="BE76" s="100"/>
      <c r="BF76" s="100"/>
      <c r="BG76" s="100"/>
      <c r="BH76" s="100"/>
      <c r="BI76" s="100"/>
      <c r="BJ76" s="100"/>
      <c r="BK76" s="100"/>
      <c r="BL76" s="100"/>
      <c r="BM76" s="100"/>
      <c r="BN76" s="100"/>
      <c r="BO76" s="100"/>
      <c r="BP76" s="100"/>
      <c r="BQ76" s="120"/>
      <c r="BR76" s="120"/>
      <c r="BS76" s="120"/>
      <c r="BT76" s="120"/>
      <c r="BU76" s="120"/>
      <c r="BV76" s="120"/>
      <c r="BW76" s="120"/>
      <c r="BX76" s="120"/>
      <c r="BY76" s="120"/>
      <c r="BZ76" s="120"/>
      <c r="CA76" s="120"/>
      <c r="CB76" s="120"/>
      <c r="CC76" s="120"/>
      <c r="CD76" s="120"/>
      <c r="CE76" s="120"/>
      <c r="CF76" s="100"/>
      <c r="CG76" s="100"/>
      <c r="CH76" s="100"/>
      <c r="CI76" s="100"/>
      <c r="CJ76" s="100"/>
      <c r="CK76" s="100"/>
      <c r="CL76" s="100"/>
      <c r="CM76" s="100"/>
      <c r="CN76" s="100"/>
      <c r="CO76" s="100"/>
      <c r="CP76" s="100"/>
      <c r="CQ76" s="100"/>
      <c r="CR76" s="100"/>
      <c r="CS76" s="100"/>
      <c r="CT76" s="100"/>
      <c r="CU76" s="100"/>
      <c r="CV76" s="100"/>
      <c r="CW76" s="100"/>
      <c r="CX76" s="100"/>
      <c r="CY76" s="100"/>
      <c r="CZ76" s="100"/>
      <c r="DA76" s="100"/>
      <c r="DB76" s="100"/>
      <c r="DC76" s="100"/>
      <c r="DD76" s="100"/>
      <c r="DE76" s="100"/>
      <c r="DF76" s="100"/>
      <c r="DG76" s="100"/>
      <c r="DH76" s="100"/>
      <c r="DI76" s="100"/>
      <c r="DJ76" s="100"/>
      <c r="DK76" s="100"/>
      <c r="DL76" s="100"/>
      <c r="DM76" s="100"/>
      <c r="DN76" s="100"/>
      <c r="DO76" s="100"/>
      <c r="DP76" s="100"/>
    </row>
    <row r="77" customFormat="false" ht="12.8" hidden="false" customHeight="false" outlineLevel="0" collapsed="false">
      <c r="A77" s="120"/>
      <c r="B77" s="120"/>
      <c r="C77" s="120"/>
      <c r="D77" s="120"/>
      <c r="E77" s="120"/>
      <c r="F77" s="120"/>
      <c r="G77" s="193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00"/>
      <c r="AA77" s="100"/>
      <c r="AB77" s="100"/>
      <c r="AC77" s="100"/>
      <c r="AD77" s="100"/>
      <c r="AE77" s="100"/>
      <c r="AF77" s="100"/>
      <c r="AG77" s="163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  <c r="BE77" s="100"/>
      <c r="BF77" s="100"/>
      <c r="BG77" s="100"/>
      <c r="BH77" s="100"/>
      <c r="BI77" s="100"/>
      <c r="BJ77" s="100"/>
      <c r="BK77" s="100"/>
      <c r="BL77" s="100"/>
      <c r="BM77" s="100"/>
      <c r="BN77" s="100"/>
      <c r="BO77" s="100"/>
      <c r="BP77" s="10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20"/>
      <c r="CB77" s="120"/>
      <c r="CC77" s="120"/>
      <c r="CD77" s="120"/>
      <c r="CE77" s="120"/>
      <c r="CF77" s="100"/>
      <c r="CG77" s="100"/>
      <c r="CH77" s="100"/>
      <c r="CI77" s="100"/>
      <c r="CJ77" s="100"/>
      <c r="CK77" s="100"/>
      <c r="CL77" s="100"/>
      <c r="CM77" s="100"/>
      <c r="CN77" s="100"/>
      <c r="CO77" s="100"/>
      <c r="CP77" s="100"/>
      <c r="CQ77" s="100"/>
      <c r="CR77" s="100"/>
      <c r="CS77" s="100"/>
      <c r="CT77" s="100"/>
      <c r="CU77" s="100"/>
      <c r="CV77" s="100"/>
      <c r="CW77" s="100"/>
      <c r="CX77" s="100"/>
      <c r="CY77" s="100"/>
      <c r="CZ77" s="100"/>
      <c r="DA77" s="100"/>
      <c r="DB77" s="100"/>
      <c r="DC77" s="100"/>
      <c r="DD77" s="100"/>
      <c r="DE77" s="100"/>
      <c r="DF77" s="100"/>
      <c r="DG77" s="100"/>
      <c r="DH77" s="100"/>
      <c r="DI77" s="100"/>
      <c r="DJ77" s="100"/>
      <c r="DK77" s="100"/>
      <c r="DL77" s="100"/>
      <c r="DM77" s="100"/>
      <c r="DN77" s="100"/>
      <c r="DO77" s="100"/>
      <c r="DP77" s="100"/>
    </row>
    <row r="78" customFormat="false" ht="12.8" hidden="false" customHeight="false" outlineLevel="0" collapsed="false">
      <c r="A78" s="120"/>
      <c r="B78" s="120"/>
      <c r="C78" s="120"/>
      <c r="D78" s="120"/>
      <c r="E78" s="120"/>
      <c r="F78" s="120"/>
      <c r="G78" s="193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00"/>
      <c r="AA78" s="100"/>
      <c r="AB78" s="100"/>
      <c r="AC78" s="100"/>
      <c r="AD78" s="100"/>
      <c r="AE78" s="100"/>
      <c r="AF78" s="100"/>
      <c r="AG78" s="163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  <c r="BE78" s="100"/>
      <c r="BF78" s="100"/>
      <c r="BG78" s="100"/>
      <c r="BH78" s="100"/>
      <c r="BI78" s="100"/>
      <c r="BJ78" s="100"/>
      <c r="BK78" s="100"/>
      <c r="BL78" s="100"/>
      <c r="BM78" s="100"/>
      <c r="BN78" s="100"/>
      <c r="BO78" s="100"/>
      <c r="BP78" s="100"/>
      <c r="BQ78" s="120"/>
      <c r="BR78" s="120"/>
      <c r="BS78" s="120"/>
      <c r="BT78" s="120"/>
      <c r="BU78" s="120"/>
      <c r="BV78" s="120"/>
      <c r="BW78" s="120"/>
      <c r="BX78" s="120"/>
      <c r="BY78" s="120"/>
      <c r="BZ78" s="120"/>
      <c r="CA78" s="120"/>
      <c r="CB78" s="120"/>
      <c r="CC78" s="120"/>
      <c r="CD78" s="120"/>
      <c r="CE78" s="120"/>
      <c r="CF78" s="100"/>
      <c r="CG78" s="100"/>
      <c r="CH78" s="100"/>
      <c r="CI78" s="100"/>
      <c r="CJ78" s="100"/>
      <c r="CK78" s="100"/>
      <c r="CL78" s="100"/>
      <c r="CM78" s="100"/>
      <c r="CN78" s="100"/>
      <c r="CO78" s="100"/>
      <c r="CP78" s="100"/>
      <c r="CQ78" s="100"/>
      <c r="CR78" s="100"/>
      <c r="CS78" s="100"/>
      <c r="CT78" s="100"/>
      <c r="CU78" s="100"/>
      <c r="CV78" s="100"/>
      <c r="CW78" s="100"/>
      <c r="CX78" s="100"/>
      <c r="CY78" s="100"/>
      <c r="CZ78" s="100"/>
      <c r="DA78" s="100"/>
      <c r="DB78" s="100"/>
      <c r="DC78" s="100"/>
      <c r="DD78" s="100"/>
      <c r="DE78" s="100"/>
      <c r="DF78" s="100"/>
      <c r="DG78" s="100"/>
      <c r="DH78" s="100"/>
      <c r="DI78" s="100"/>
      <c r="DJ78" s="100"/>
      <c r="DK78" s="100"/>
      <c r="DL78" s="100"/>
      <c r="DM78" s="100"/>
      <c r="DN78" s="100"/>
      <c r="DO78" s="100"/>
      <c r="DP78" s="100"/>
    </row>
    <row r="79" customFormat="false" ht="12.8" hidden="false" customHeight="false" outlineLevel="0" collapsed="false">
      <c r="A79" s="120"/>
      <c r="B79" s="120"/>
      <c r="C79" s="120"/>
      <c r="D79" s="120"/>
      <c r="E79" s="120"/>
      <c r="F79" s="120"/>
      <c r="G79" s="193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00"/>
      <c r="AA79" s="100"/>
      <c r="AB79" s="100"/>
      <c r="AC79" s="100"/>
      <c r="AD79" s="100"/>
      <c r="AE79" s="100"/>
      <c r="AF79" s="100"/>
      <c r="AG79" s="163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100"/>
      <c r="BE79" s="100"/>
      <c r="BF79" s="100"/>
      <c r="BG79" s="100"/>
      <c r="BH79" s="100"/>
      <c r="BI79" s="100"/>
      <c r="BJ79" s="100"/>
      <c r="BK79" s="100"/>
      <c r="BL79" s="100"/>
      <c r="BM79" s="100"/>
      <c r="BN79" s="100"/>
      <c r="BO79" s="100"/>
      <c r="BP79" s="100"/>
      <c r="BQ79" s="120"/>
      <c r="BR79" s="120"/>
      <c r="BS79" s="120"/>
      <c r="BT79" s="120"/>
      <c r="BU79" s="120"/>
      <c r="BV79" s="120"/>
      <c r="BW79" s="120"/>
      <c r="BX79" s="120"/>
      <c r="BY79" s="120"/>
      <c r="BZ79" s="120"/>
      <c r="CA79" s="120"/>
      <c r="CB79" s="120"/>
      <c r="CC79" s="120"/>
      <c r="CD79" s="120"/>
      <c r="CE79" s="120"/>
      <c r="CF79" s="100"/>
      <c r="CG79" s="100"/>
      <c r="CH79" s="100"/>
      <c r="CI79" s="100"/>
      <c r="CJ79" s="100"/>
      <c r="CK79" s="100"/>
      <c r="CL79" s="100"/>
      <c r="CM79" s="100"/>
      <c r="CN79" s="100"/>
      <c r="CO79" s="100"/>
      <c r="CP79" s="100"/>
      <c r="CQ79" s="100"/>
      <c r="CR79" s="100"/>
      <c r="CS79" s="100"/>
      <c r="CT79" s="100"/>
      <c r="CU79" s="100"/>
      <c r="CV79" s="100"/>
      <c r="CW79" s="100"/>
      <c r="CX79" s="100"/>
      <c r="CY79" s="100"/>
      <c r="CZ79" s="100"/>
      <c r="DA79" s="100"/>
      <c r="DB79" s="100"/>
      <c r="DC79" s="100"/>
      <c r="DD79" s="100"/>
      <c r="DE79" s="100"/>
      <c r="DF79" s="100"/>
      <c r="DG79" s="100"/>
      <c r="DH79" s="100"/>
      <c r="DI79" s="100"/>
      <c r="DJ79" s="100"/>
      <c r="DK79" s="100"/>
      <c r="DL79" s="100"/>
      <c r="DM79" s="100"/>
      <c r="DN79" s="100"/>
      <c r="DO79" s="100"/>
      <c r="DP79" s="100"/>
    </row>
    <row r="80" customFormat="false" ht="12.8" hidden="false" customHeight="false" outlineLevel="0" collapsed="false">
      <c r="A80" s="120"/>
      <c r="B80" s="120"/>
      <c r="C80" s="120"/>
      <c r="D80" s="120"/>
      <c r="E80" s="120"/>
      <c r="F80" s="120"/>
      <c r="G80" s="193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00"/>
      <c r="AA80" s="100"/>
      <c r="AB80" s="100"/>
      <c r="AC80" s="100"/>
      <c r="AD80" s="100"/>
      <c r="AE80" s="100"/>
      <c r="AF80" s="100"/>
      <c r="AG80" s="163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  <c r="BK80" s="100"/>
      <c r="BL80" s="100"/>
      <c r="BM80" s="100"/>
      <c r="BN80" s="100"/>
      <c r="BO80" s="100"/>
      <c r="BP80" s="100"/>
      <c r="BQ80" s="120"/>
      <c r="BR80" s="120"/>
      <c r="BS80" s="120"/>
      <c r="BT80" s="120"/>
      <c r="BU80" s="120"/>
      <c r="BV80" s="120"/>
      <c r="BW80" s="120"/>
      <c r="BX80" s="120"/>
      <c r="BY80" s="120"/>
      <c r="BZ80" s="120"/>
      <c r="CA80" s="120"/>
      <c r="CB80" s="120"/>
      <c r="CC80" s="120"/>
      <c r="CD80" s="120"/>
      <c r="CE80" s="120"/>
      <c r="CF80" s="100"/>
      <c r="CG80" s="100"/>
      <c r="CH80" s="100"/>
      <c r="CI80" s="100"/>
      <c r="CJ80" s="100"/>
      <c r="CK80" s="100"/>
      <c r="CL80" s="100"/>
      <c r="CM80" s="100"/>
      <c r="CN80" s="100"/>
      <c r="CO80" s="100"/>
      <c r="CP80" s="100"/>
      <c r="CQ80" s="100"/>
      <c r="CR80" s="100"/>
      <c r="CS80" s="100"/>
      <c r="CT80" s="100"/>
      <c r="CU80" s="100"/>
      <c r="CV80" s="100"/>
      <c r="CW80" s="100"/>
      <c r="CX80" s="100"/>
      <c r="CY80" s="100"/>
      <c r="CZ80" s="100"/>
      <c r="DA80" s="100"/>
      <c r="DB80" s="100"/>
      <c r="DC80" s="100"/>
      <c r="DD80" s="100"/>
      <c r="DE80" s="100"/>
      <c r="DF80" s="100"/>
      <c r="DG80" s="100"/>
      <c r="DH80" s="100"/>
      <c r="DI80" s="100"/>
      <c r="DJ80" s="100"/>
      <c r="DK80" s="100"/>
      <c r="DL80" s="100"/>
      <c r="DM80" s="100"/>
      <c r="DN80" s="100"/>
      <c r="DO80" s="100"/>
      <c r="DP80" s="100"/>
    </row>
    <row r="81" customFormat="false" ht="12.8" hidden="false" customHeight="false" outlineLevel="0" collapsed="false">
      <c r="A81" s="120"/>
      <c r="B81" s="120"/>
      <c r="C81" s="120"/>
      <c r="D81" s="120"/>
      <c r="E81" s="120"/>
      <c r="F81" s="120"/>
      <c r="G81" s="193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00"/>
      <c r="AA81" s="100"/>
      <c r="AB81" s="100"/>
      <c r="AC81" s="100"/>
      <c r="AD81" s="100"/>
      <c r="AE81" s="100"/>
      <c r="AF81" s="100"/>
      <c r="AG81" s="163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0"/>
      <c r="BK81" s="100"/>
      <c r="BL81" s="100"/>
      <c r="BM81" s="100"/>
      <c r="BN81" s="100"/>
      <c r="BO81" s="100"/>
      <c r="BP81" s="100"/>
      <c r="BQ81" s="120"/>
      <c r="BR81" s="120"/>
      <c r="BS81" s="120"/>
      <c r="BT81" s="120"/>
      <c r="BU81" s="120"/>
      <c r="BV81" s="120"/>
      <c r="BW81" s="120"/>
      <c r="BX81" s="120"/>
      <c r="BY81" s="120"/>
      <c r="BZ81" s="120"/>
      <c r="CA81" s="120"/>
      <c r="CB81" s="120"/>
      <c r="CC81" s="120"/>
      <c r="CD81" s="120"/>
      <c r="CE81" s="120"/>
      <c r="CF81" s="100"/>
      <c r="CG81" s="100"/>
      <c r="CH81" s="100"/>
      <c r="CI81" s="100"/>
      <c r="CJ81" s="100"/>
      <c r="CK81" s="100"/>
      <c r="CL81" s="100"/>
      <c r="CM81" s="100"/>
      <c r="CN81" s="100"/>
      <c r="CO81" s="100"/>
      <c r="CP81" s="100"/>
      <c r="CQ81" s="100"/>
      <c r="CR81" s="100"/>
      <c r="CS81" s="100"/>
      <c r="CT81" s="100"/>
      <c r="CU81" s="100"/>
      <c r="CV81" s="100"/>
      <c r="CW81" s="100"/>
      <c r="CX81" s="100"/>
      <c r="CY81" s="100"/>
      <c r="CZ81" s="100"/>
      <c r="DA81" s="100"/>
      <c r="DB81" s="100"/>
      <c r="DC81" s="100"/>
      <c r="DD81" s="100"/>
      <c r="DE81" s="100"/>
      <c r="DF81" s="100"/>
      <c r="DG81" s="100"/>
      <c r="DH81" s="100"/>
      <c r="DI81" s="100"/>
      <c r="DJ81" s="100"/>
      <c r="DK81" s="100"/>
      <c r="DL81" s="100"/>
      <c r="DM81" s="100"/>
      <c r="DN81" s="100"/>
      <c r="DO81" s="100"/>
      <c r="DP81" s="100"/>
    </row>
    <row r="82" customFormat="false" ht="12.8" hidden="false" customHeight="false" outlineLevel="0" collapsed="false">
      <c r="A82" s="120"/>
      <c r="B82" s="120"/>
      <c r="C82" s="120"/>
      <c r="D82" s="120"/>
      <c r="E82" s="120"/>
      <c r="F82" s="120"/>
      <c r="G82" s="193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00"/>
      <c r="AA82" s="100"/>
      <c r="AB82" s="100"/>
      <c r="AC82" s="100"/>
      <c r="AD82" s="100"/>
      <c r="AE82" s="100"/>
      <c r="AF82" s="100"/>
      <c r="AG82" s="163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00"/>
      <c r="BI82" s="100"/>
      <c r="BJ82" s="100"/>
      <c r="BK82" s="100"/>
      <c r="BL82" s="100"/>
      <c r="BM82" s="100"/>
      <c r="BN82" s="100"/>
      <c r="BO82" s="100"/>
      <c r="BP82" s="100"/>
      <c r="BQ82" s="120"/>
      <c r="BR82" s="120"/>
      <c r="BS82" s="120"/>
      <c r="BT82" s="120"/>
      <c r="BU82" s="120"/>
      <c r="BV82" s="120"/>
      <c r="BW82" s="120"/>
      <c r="BX82" s="120"/>
      <c r="BY82" s="120"/>
      <c r="BZ82" s="120"/>
      <c r="CA82" s="120"/>
      <c r="CB82" s="120"/>
      <c r="CC82" s="120"/>
      <c r="CD82" s="120"/>
      <c r="CE82" s="120"/>
      <c r="CF82" s="100"/>
      <c r="CG82" s="100"/>
      <c r="CH82" s="100"/>
      <c r="CI82" s="100"/>
      <c r="CJ82" s="100"/>
      <c r="CK82" s="100"/>
      <c r="CL82" s="100"/>
      <c r="CM82" s="100"/>
      <c r="CN82" s="100"/>
      <c r="CO82" s="100"/>
      <c r="CP82" s="100"/>
      <c r="CQ82" s="100"/>
      <c r="CR82" s="100"/>
      <c r="CS82" s="100"/>
      <c r="CT82" s="100"/>
      <c r="CU82" s="100"/>
      <c r="CV82" s="100"/>
      <c r="CW82" s="100"/>
      <c r="CX82" s="100"/>
      <c r="CY82" s="100"/>
      <c r="CZ82" s="100"/>
      <c r="DA82" s="100"/>
      <c r="DB82" s="100"/>
      <c r="DC82" s="100"/>
      <c r="DD82" s="100"/>
      <c r="DE82" s="100"/>
      <c r="DF82" s="100"/>
      <c r="DG82" s="100"/>
      <c r="DH82" s="100"/>
      <c r="DI82" s="100"/>
      <c r="DJ82" s="100"/>
      <c r="DK82" s="100"/>
      <c r="DL82" s="100"/>
      <c r="DM82" s="100"/>
      <c r="DN82" s="100"/>
      <c r="DO82" s="100"/>
      <c r="DP82" s="100"/>
    </row>
    <row r="83" customFormat="false" ht="12.8" hidden="false" customHeight="false" outlineLevel="0" collapsed="false">
      <c r="A83" s="120"/>
      <c r="B83" s="120"/>
      <c r="C83" s="120"/>
      <c r="D83" s="120"/>
      <c r="E83" s="120"/>
      <c r="F83" s="120"/>
      <c r="G83" s="193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00"/>
      <c r="AA83" s="100"/>
      <c r="AB83" s="100"/>
      <c r="AC83" s="100"/>
      <c r="AD83" s="100"/>
      <c r="AE83" s="100"/>
      <c r="AF83" s="100"/>
      <c r="AG83" s="163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  <c r="BD83" s="100"/>
      <c r="BE83" s="100"/>
      <c r="BF83" s="100"/>
      <c r="BG83" s="100"/>
      <c r="BH83" s="100"/>
      <c r="BI83" s="100"/>
      <c r="BJ83" s="100"/>
      <c r="BK83" s="100"/>
      <c r="BL83" s="100"/>
      <c r="BM83" s="100"/>
      <c r="BN83" s="100"/>
      <c r="BO83" s="100"/>
      <c r="BP83" s="100"/>
      <c r="BQ83" s="120"/>
      <c r="BR83" s="120"/>
      <c r="BS83" s="120"/>
      <c r="BT83" s="120"/>
      <c r="BU83" s="120"/>
      <c r="BV83" s="120"/>
      <c r="BW83" s="120"/>
      <c r="BX83" s="120"/>
      <c r="BY83" s="120"/>
      <c r="BZ83" s="120"/>
      <c r="CA83" s="120"/>
      <c r="CB83" s="120"/>
      <c r="CC83" s="120"/>
      <c r="CD83" s="120"/>
      <c r="CE83" s="120"/>
      <c r="CF83" s="100"/>
      <c r="CG83" s="100"/>
      <c r="CH83" s="100"/>
      <c r="CI83" s="100"/>
      <c r="CJ83" s="100"/>
      <c r="CK83" s="100"/>
      <c r="CL83" s="100"/>
      <c r="CM83" s="100"/>
      <c r="CN83" s="100"/>
      <c r="CO83" s="100"/>
      <c r="CP83" s="100"/>
      <c r="CQ83" s="100"/>
      <c r="CR83" s="100"/>
      <c r="CS83" s="100"/>
      <c r="CT83" s="100"/>
      <c r="CU83" s="100"/>
      <c r="CV83" s="100"/>
      <c r="CW83" s="100"/>
      <c r="CX83" s="100"/>
      <c r="CY83" s="100"/>
      <c r="CZ83" s="100"/>
      <c r="DA83" s="100"/>
      <c r="DB83" s="100"/>
      <c r="DC83" s="100"/>
      <c r="DD83" s="100"/>
      <c r="DE83" s="100"/>
      <c r="DF83" s="100"/>
      <c r="DG83" s="100"/>
      <c r="DH83" s="100"/>
      <c r="DI83" s="100"/>
      <c r="DJ83" s="100"/>
      <c r="DK83" s="100"/>
      <c r="DL83" s="100"/>
      <c r="DM83" s="100"/>
      <c r="DN83" s="100"/>
      <c r="DO83" s="100"/>
      <c r="DP83" s="100"/>
    </row>
    <row r="84" customFormat="false" ht="12.8" hidden="false" customHeight="false" outlineLevel="0" collapsed="false">
      <c r="A84" s="120"/>
      <c r="B84" s="120"/>
      <c r="C84" s="120"/>
      <c r="D84" s="120"/>
      <c r="E84" s="120"/>
      <c r="F84" s="120"/>
      <c r="G84" s="193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00"/>
      <c r="AA84" s="100"/>
      <c r="AB84" s="100"/>
      <c r="AC84" s="100"/>
      <c r="AD84" s="100"/>
      <c r="AE84" s="100"/>
      <c r="AF84" s="100"/>
      <c r="AG84" s="163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100"/>
      <c r="BG84" s="100"/>
      <c r="BH84" s="100"/>
      <c r="BI84" s="100"/>
      <c r="BJ84" s="100"/>
      <c r="BK84" s="100"/>
      <c r="BL84" s="100"/>
      <c r="BM84" s="100"/>
      <c r="BN84" s="100"/>
      <c r="BO84" s="100"/>
      <c r="BP84" s="100"/>
      <c r="BQ84" s="120"/>
      <c r="BR84" s="120"/>
      <c r="BS84" s="120"/>
      <c r="BT84" s="120"/>
      <c r="BU84" s="120"/>
      <c r="BV84" s="120"/>
      <c r="BW84" s="120"/>
      <c r="BX84" s="120"/>
      <c r="BY84" s="120"/>
      <c r="BZ84" s="120"/>
      <c r="CA84" s="120"/>
      <c r="CB84" s="120"/>
      <c r="CC84" s="120"/>
      <c r="CD84" s="120"/>
      <c r="CE84" s="120"/>
      <c r="CF84" s="100"/>
      <c r="CG84" s="100"/>
      <c r="CH84" s="100"/>
      <c r="CI84" s="100"/>
      <c r="CJ84" s="100"/>
      <c r="CK84" s="100"/>
      <c r="CL84" s="100"/>
      <c r="CM84" s="100"/>
      <c r="CN84" s="100"/>
      <c r="CO84" s="100"/>
      <c r="CP84" s="100"/>
      <c r="CQ84" s="100"/>
      <c r="CR84" s="100"/>
      <c r="CS84" s="100"/>
      <c r="CT84" s="100"/>
      <c r="CU84" s="100"/>
      <c r="CV84" s="100"/>
      <c r="CW84" s="100"/>
      <c r="CX84" s="100"/>
      <c r="CY84" s="100"/>
      <c r="CZ84" s="100"/>
      <c r="DA84" s="100"/>
      <c r="DB84" s="100"/>
      <c r="DC84" s="100"/>
      <c r="DD84" s="100"/>
      <c r="DE84" s="100"/>
      <c r="DF84" s="100"/>
      <c r="DG84" s="100"/>
      <c r="DH84" s="100"/>
      <c r="DI84" s="100"/>
      <c r="DJ84" s="100"/>
      <c r="DK84" s="100"/>
      <c r="DL84" s="100"/>
      <c r="DM84" s="100"/>
      <c r="DN84" s="100"/>
      <c r="DO84" s="100"/>
      <c r="DP84" s="100"/>
    </row>
    <row r="85" customFormat="false" ht="12.8" hidden="false" customHeight="false" outlineLevel="0" collapsed="false">
      <c r="A85" s="120"/>
      <c r="B85" s="120"/>
      <c r="C85" s="120"/>
      <c r="D85" s="120"/>
      <c r="E85" s="120"/>
      <c r="F85" s="120"/>
      <c r="G85" s="193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00"/>
      <c r="AA85" s="100"/>
      <c r="AB85" s="100"/>
      <c r="AC85" s="100"/>
      <c r="AD85" s="100"/>
      <c r="AE85" s="100"/>
      <c r="AF85" s="100"/>
      <c r="AG85" s="163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  <c r="BD85" s="100"/>
      <c r="BE85" s="100"/>
      <c r="BF85" s="100"/>
      <c r="BG85" s="100"/>
      <c r="BH85" s="100"/>
      <c r="BI85" s="100"/>
      <c r="BJ85" s="100"/>
      <c r="BK85" s="100"/>
      <c r="BL85" s="100"/>
      <c r="BM85" s="100"/>
      <c r="BN85" s="100"/>
      <c r="BO85" s="100"/>
      <c r="BP85" s="100"/>
      <c r="BQ85" s="120"/>
      <c r="BR85" s="120"/>
      <c r="BS85" s="120"/>
      <c r="BT85" s="120"/>
      <c r="BU85" s="120"/>
      <c r="BV85" s="120"/>
      <c r="BW85" s="120"/>
      <c r="BX85" s="120"/>
      <c r="BY85" s="120"/>
      <c r="BZ85" s="120"/>
      <c r="CA85" s="120"/>
      <c r="CB85" s="120"/>
      <c r="CC85" s="120"/>
      <c r="CD85" s="120"/>
      <c r="CE85" s="120"/>
      <c r="CF85" s="100"/>
      <c r="CG85" s="100"/>
      <c r="CH85" s="100"/>
      <c r="CI85" s="100"/>
      <c r="CJ85" s="100"/>
      <c r="CK85" s="100"/>
      <c r="CL85" s="100"/>
      <c r="CM85" s="100"/>
      <c r="CN85" s="100"/>
      <c r="CO85" s="100"/>
      <c r="CP85" s="100"/>
      <c r="CQ85" s="100"/>
      <c r="CR85" s="100"/>
      <c r="CS85" s="100"/>
      <c r="CT85" s="100"/>
      <c r="CU85" s="100"/>
      <c r="CV85" s="100"/>
      <c r="CW85" s="100"/>
      <c r="CX85" s="100"/>
      <c r="CY85" s="100"/>
      <c r="CZ85" s="100"/>
      <c r="DA85" s="100"/>
      <c r="DB85" s="100"/>
      <c r="DC85" s="100"/>
      <c r="DD85" s="100"/>
      <c r="DE85" s="100"/>
      <c r="DF85" s="100"/>
      <c r="DG85" s="100"/>
      <c r="DH85" s="100"/>
      <c r="DI85" s="100"/>
      <c r="DJ85" s="100"/>
      <c r="DK85" s="100"/>
      <c r="DL85" s="100"/>
      <c r="DM85" s="100"/>
      <c r="DN85" s="100"/>
      <c r="DO85" s="100"/>
      <c r="DP85" s="100"/>
    </row>
    <row r="86" customFormat="false" ht="12.8" hidden="false" customHeight="false" outlineLevel="0" collapsed="false">
      <c r="A86" s="120"/>
      <c r="B86" s="120"/>
      <c r="C86" s="120"/>
      <c r="D86" s="120"/>
      <c r="E86" s="120"/>
      <c r="F86" s="120"/>
      <c r="G86" s="193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00"/>
      <c r="AA86" s="100"/>
      <c r="AB86" s="100"/>
      <c r="AC86" s="100"/>
      <c r="AD86" s="100"/>
      <c r="AE86" s="100"/>
      <c r="AF86" s="100"/>
      <c r="AG86" s="163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  <c r="BD86" s="100"/>
      <c r="BE86" s="100"/>
      <c r="BF86" s="100"/>
      <c r="BG86" s="100"/>
      <c r="BH86" s="100"/>
      <c r="BI86" s="100"/>
      <c r="BJ86" s="100"/>
      <c r="BK86" s="100"/>
      <c r="BL86" s="100"/>
      <c r="BM86" s="100"/>
      <c r="BN86" s="100"/>
      <c r="BO86" s="100"/>
      <c r="BP86" s="100"/>
      <c r="BQ86" s="120"/>
      <c r="BR86" s="120"/>
      <c r="BS86" s="120"/>
      <c r="BT86" s="120"/>
      <c r="BU86" s="120"/>
      <c r="BV86" s="120"/>
      <c r="BW86" s="120"/>
      <c r="BX86" s="120"/>
      <c r="BY86" s="120"/>
      <c r="BZ86" s="120"/>
      <c r="CA86" s="120"/>
      <c r="CB86" s="120"/>
      <c r="CC86" s="120"/>
      <c r="CD86" s="120"/>
      <c r="CE86" s="120"/>
      <c r="CF86" s="100"/>
      <c r="CG86" s="100"/>
      <c r="CH86" s="100"/>
      <c r="CI86" s="100"/>
      <c r="CJ86" s="100"/>
      <c r="CK86" s="100"/>
      <c r="CL86" s="100"/>
      <c r="CM86" s="100"/>
      <c r="CN86" s="100"/>
      <c r="CO86" s="100"/>
      <c r="CP86" s="100"/>
      <c r="CQ86" s="100"/>
      <c r="CR86" s="100"/>
      <c r="CS86" s="100"/>
      <c r="CT86" s="100"/>
      <c r="CU86" s="100"/>
      <c r="CV86" s="100"/>
      <c r="CW86" s="100"/>
      <c r="CX86" s="100"/>
      <c r="CY86" s="100"/>
      <c r="CZ86" s="100"/>
      <c r="DA86" s="100"/>
      <c r="DB86" s="100"/>
      <c r="DC86" s="100"/>
      <c r="DD86" s="100"/>
      <c r="DE86" s="100"/>
      <c r="DF86" s="100"/>
      <c r="DG86" s="100"/>
      <c r="DH86" s="100"/>
      <c r="DI86" s="100"/>
      <c r="DJ86" s="100"/>
      <c r="DK86" s="100"/>
      <c r="DL86" s="100"/>
      <c r="DM86" s="100"/>
      <c r="DN86" s="100"/>
      <c r="DO86" s="100"/>
      <c r="DP86" s="100"/>
    </row>
    <row r="87" customFormat="false" ht="12.8" hidden="false" customHeight="false" outlineLevel="0" collapsed="false">
      <c r="A87" s="120"/>
      <c r="B87" s="120"/>
      <c r="C87" s="120"/>
      <c r="D87" s="120"/>
      <c r="E87" s="120"/>
      <c r="F87" s="120"/>
      <c r="G87" s="193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00"/>
      <c r="AA87" s="100"/>
      <c r="AB87" s="100"/>
      <c r="AC87" s="100"/>
      <c r="AD87" s="100"/>
      <c r="AE87" s="100"/>
      <c r="AF87" s="100"/>
      <c r="AG87" s="163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100"/>
      <c r="BJ87" s="100"/>
      <c r="BK87" s="100"/>
      <c r="BL87" s="100"/>
      <c r="BM87" s="100"/>
      <c r="BN87" s="100"/>
      <c r="BO87" s="100"/>
      <c r="BP87" s="100"/>
      <c r="BQ87" s="120"/>
      <c r="BR87" s="120"/>
      <c r="BS87" s="120"/>
      <c r="BT87" s="120"/>
      <c r="BU87" s="120"/>
      <c r="BV87" s="120"/>
      <c r="BW87" s="120"/>
      <c r="BX87" s="120"/>
      <c r="BY87" s="120"/>
      <c r="BZ87" s="120"/>
      <c r="CA87" s="120"/>
      <c r="CB87" s="120"/>
      <c r="CC87" s="120"/>
      <c r="CD87" s="120"/>
      <c r="CE87" s="120"/>
      <c r="CF87" s="100"/>
      <c r="CG87" s="100"/>
      <c r="CH87" s="100"/>
      <c r="CI87" s="100"/>
      <c r="CJ87" s="100"/>
      <c r="CK87" s="100"/>
      <c r="CL87" s="100"/>
      <c r="CM87" s="100"/>
      <c r="CN87" s="100"/>
      <c r="CO87" s="100"/>
      <c r="CP87" s="100"/>
      <c r="CQ87" s="100"/>
      <c r="CR87" s="100"/>
      <c r="CS87" s="100"/>
      <c r="CT87" s="100"/>
      <c r="CU87" s="100"/>
      <c r="CV87" s="100"/>
      <c r="CW87" s="100"/>
      <c r="CX87" s="100"/>
      <c r="CY87" s="100"/>
      <c r="CZ87" s="100"/>
      <c r="DA87" s="100"/>
      <c r="DB87" s="100"/>
      <c r="DC87" s="100"/>
      <c r="DD87" s="100"/>
      <c r="DE87" s="100"/>
      <c r="DF87" s="100"/>
      <c r="DG87" s="100"/>
      <c r="DH87" s="100"/>
      <c r="DI87" s="100"/>
      <c r="DJ87" s="100"/>
      <c r="DK87" s="100"/>
      <c r="DL87" s="100"/>
      <c r="DM87" s="100"/>
      <c r="DN87" s="100"/>
      <c r="DO87" s="100"/>
      <c r="DP87" s="100"/>
    </row>
    <row r="88" customFormat="false" ht="12.8" hidden="false" customHeight="false" outlineLevel="0" collapsed="false">
      <c r="A88" s="120"/>
      <c r="B88" s="120"/>
      <c r="C88" s="120"/>
      <c r="D88" s="120"/>
      <c r="E88" s="120"/>
      <c r="F88" s="120"/>
      <c r="G88" s="193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00"/>
      <c r="AA88" s="100"/>
      <c r="AB88" s="100"/>
      <c r="AC88" s="100"/>
      <c r="AD88" s="100"/>
      <c r="AE88" s="100"/>
      <c r="AF88" s="100"/>
      <c r="AG88" s="163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00"/>
      <c r="BI88" s="100"/>
      <c r="BJ88" s="100"/>
      <c r="BK88" s="100"/>
      <c r="BL88" s="100"/>
      <c r="BM88" s="100"/>
      <c r="BN88" s="100"/>
      <c r="BO88" s="100"/>
      <c r="BP88" s="100"/>
      <c r="BQ88" s="120"/>
      <c r="BR88" s="120"/>
      <c r="BS88" s="120"/>
      <c r="BT88" s="120"/>
      <c r="BU88" s="120"/>
      <c r="BV88" s="120"/>
      <c r="BW88" s="120"/>
      <c r="BX88" s="120"/>
      <c r="BY88" s="120"/>
      <c r="BZ88" s="120"/>
      <c r="CA88" s="120"/>
      <c r="CB88" s="120"/>
      <c r="CC88" s="120"/>
      <c r="CD88" s="120"/>
      <c r="CE88" s="120"/>
      <c r="CF88" s="100"/>
      <c r="CG88" s="100"/>
      <c r="CH88" s="100"/>
      <c r="CI88" s="100"/>
      <c r="CJ88" s="100"/>
      <c r="CK88" s="100"/>
      <c r="CL88" s="100"/>
      <c r="CM88" s="100"/>
      <c r="CN88" s="100"/>
      <c r="CO88" s="100"/>
      <c r="CP88" s="100"/>
      <c r="CQ88" s="100"/>
      <c r="CR88" s="100"/>
      <c r="CS88" s="100"/>
      <c r="CT88" s="100"/>
      <c r="CU88" s="100"/>
      <c r="CV88" s="100"/>
      <c r="CW88" s="100"/>
      <c r="CX88" s="100"/>
      <c r="CY88" s="100"/>
      <c r="CZ88" s="100"/>
      <c r="DA88" s="100"/>
      <c r="DB88" s="100"/>
      <c r="DC88" s="100"/>
      <c r="DD88" s="100"/>
      <c r="DE88" s="100"/>
      <c r="DF88" s="100"/>
      <c r="DG88" s="100"/>
      <c r="DH88" s="100"/>
      <c r="DI88" s="100"/>
      <c r="DJ88" s="100"/>
      <c r="DK88" s="100"/>
      <c r="DL88" s="100"/>
      <c r="DM88" s="100"/>
      <c r="DN88" s="100"/>
      <c r="DO88" s="100"/>
      <c r="DP88" s="100"/>
    </row>
    <row r="89" customFormat="false" ht="12.8" hidden="false" customHeight="false" outlineLevel="0" collapsed="false">
      <c r="A89" s="120"/>
      <c r="B89" s="120"/>
      <c r="C89" s="120"/>
      <c r="D89" s="120"/>
      <c r="E89" s="120"/>
      <c r="F89" s="120"/>
      <c r="G89" s="193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00"/>
      <c r="AA89" s="100"/>
      <c r="AB89" s="100"/>
      <c r="AC89" s="100"/>
      <c r="AD89" s="100"/>
      <c r="AE89" s="100"/>
      <c r="AF89" s="100"/>
      <c r="AG89" s="163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  <c r="BD89" s="100"/>
      <c r="BE89" s="100"/>
      <c r="BF89" s="100"/>
      <c r="BG89" s="100"/>
      <c r="BH89" s="100"/>
      <c r="BI89" s="100"/>
      <c r="BJ89" s="100"/>
      <c r="BK89" s="100"/>
      <c r="BL89" s="100"/>
      <c r="BM89" s="100"/>
      <c r="BN89" s="100"/>
      <c r="BO89" s="100"/>
      <c r="BP89" s="100"/>
      <c r="BQ89" s="120"/>
      <c r="BR89" s="120"/>
      <c r="BS89" s="120"/>
      <c r="BT89" s="120"/>
      <c r="BU89" s="120"/>
      <c r="BV89" s="120"/>
      <c r="BW89" s="120"/>
      <c r="BX89" s="120"/>
      <c r="BY89" s="120"/>
      <c r="BZ89" s="120"/>
      <c r="CA89" s="120"/>
      <c r="CB89" s="120"/>
      <c r="CC89" s="120"/>
      <c r="CD89" s="120"/>
      <c r="CE89" s="120"/>
      <c r="CF89" s="100"/>
      <c r="CG89" s="100"/>
      <c r="CH89" s="100"/>
      <c r="CI89" s="100"/>
      <c r="CJ89" s="100"/>
      <c r="CK89" s="100"/>
      <c r="CL89" s="100"/>
      <c r="CM89" s="100"/>
      <c r="CN89" s="100"/>
      <c r="CO89" s="100"/>
      <c r="CP89" s="100"/>
      <c r="CQ89" s="100"/>
      <c r="CR89" s="100"/>
      <c r="CS89" s="100"/>
      <c r="CT89" s="100"/>
      <c r="CU89" s="100"/>
      <c r="CV89" s="100"/>
      <c r="CW89" s="100"/>
      <c r="CX89" s="100"/>
      <c r="CY89" s="100"/>
      <c r="CZ89" s="100"/>
      <c r="DA89" s="100"/>
      <c r="DB89" s="100"/>
      <c r="DC89" s="100"/>
      <c r="DD89" s="100"/>
      <c r="DE89" s="100"/>
      <c r="DF89" s="100"/>
      <c r="DG89" s="100"/>
      <c r="DH89" s="100"/>
      <c r="DI89" s="100"/>
      <c r="DJ89" s="100"/>
      <c r="DK89" s="100"/>
      <c r="DL89" s="100"/>
      <c r="DM89" s="100"/>
      <c r="DN89" s="100"/>
      <c r="DO89" s="100"/>
      <c r="DP89" s="100"/>
    </row>
    <row r="90" customFormat="false" ht="12.8" hidden="false" customHeight="false" outlineLevel="0" collapsed="false">
      <c r="A90" s="120"/>
      <c r="B90" s="120"/>
      <c r="C90" s="120"/>
      <c r="D90" s="120"/>
      <c r="E90" s="120"/>
      <c r="F90" s="120"/>
      <c r="G90" s="193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00"/>
      <c r="AA90" s="100"/>
      <c r="AB90" s="100"/>
      <c r="AC90" s="100"/>
      <c r="AD90" s="100"/>
      <c r="AE90" s="100"/>
      <c r="AF90" s="100"/>
      <c r="AG90" s="163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  <c r="BD90" s="100"/>
      <c r="BE90" s="100"/>
      <c r="BF90" s="100"/>
      <c r="BG90" s="100"/>
      <c r="BH90" s="100"/>
      <c r="BI90" s="100"/>
      <c r="BJ90" s="100"/>
      <c r="BK90" s="100"/>
      <c r="BL90" s="100"/>
      <c r="BM90" s="100"/>
      <c r="BN90" s="100"/>
      <c r="BO90" s="100"/>
      <c r="BP90" s="100"/>
      <c r="BQ90" s="120"/>
      <c r="BR90" s="120"/>
      <c r="BS90" s="120"/>
      <c r="BT90" s="120"/>
      <c r="BU90" s="120"/>
      <c r="BV90" s="120"/>
      <c r="BW90" s="120"/>
      <c r="BX90" s="120"/>
      <c r="BY90" s="120"/>
      <c r="BZ90" s="120"/>
      <c r="CA90" s="120"/>
      <c r="CB90" s="120"/>
      <c r="CC90" s="120"/>
      <c r="CD90" s="120"/>
      <c r="CE90" s="120"/>
      <c r="CF90" s="100"/>
      <c r="CG90" s="100"/>
      <c r="CH90" s="100"/>
      <c r="CI90" s="100"/>
      <c r="CJ90" s="100"/>
      <c r="CK90" s="100"/>
      <c r="CL90" s="100"/>
      <c r="CM90" s="100"/>
      <c r="CN90" s="100"/>
      <c r="CO90" s="100"/>
      <c r="CP90" s="100"/>
      <c r="CQ90" s="100"/>
      <c r="CR90" s="100"/>
      <c r="CS90" s="100"/>
      <c r="CT90" s="100"/>
      <c r="CU90" s="100"/>
      <c r="CV90" s="100"/>
      <c r="CW90" s="100"/>
      <c r="CX90" s="100"/>
      <c r="CY90" s="100"/>
      <c r="CZ90" s="100"/>
      <c r="DA90" s="100"/>
      <c r="DB90" s="100"/>
      <c r="DC90" s="100"/>
      <c r="DD90" s="100"/>
      <c r="DE90" s="100"/>
      <c r="DF90" s="100"/>
      <c r="DG90" s="100"/>
      <c r="DH90" s="100"/>
      <c r="DI90" s="100"/>
      <c r="DJ90" s="100"/>
      <c r="DK90" s="100"/>
      <c r="DL90" s="100"/>
      <c r="DM90" s="100"/>
      <c r="DN90" s="100"/>
      <c r="DO90" s="100"/>
      <c r="DP90" s="100"/>
    </row>
    <row r="91" customFormat="false" ht="12.8" hidden="false" customHeight="false" outlineLevel="0" collapsed="false">
      <c r="A91" s="120"/>
      <c r="B91" s="120"/>
      <c r="C91" s="120"/>
      <c r="D91" s="120"/>
      <c r="E91" s="120"/>
      <c r="F91" s="120"/>
      <c r="G91" s="193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00"/>
      <c r="AA91" s="100"/>
      <c r="AB91" s="100"/>
      <c r="AC91" s="100"/>
      <c r="AD91" s="100"/>
      <c r="AE91" s="100"/>
      <c r="AF91" s="100"/>
      <c r="AG91" s="163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  <c r="AW91" s="100"/>
      <c r="AX91" s="100"/>
      <c r="AY91" s="100"/>
      <c r="AZ91" s="100"/>
      <c r="BA91" s="100"/>
      <c r="BB91" s="100"/>
      <c r="BC91" s="100"/>
      <c r="BD91" s="100"/>
      <c r="BE91" s="100"/>
      <c r="BF91" s="100"/>
      <c r="BG91" s="100"/>
      <c r="BH91" s="100"/>
      <c r="BI91" s="100"/>
      <c r="BJ91" s="100"/>
      <c r="BK91" s="100"/>
      <c r="BL91" s="100"/>
      <c r="BM91" s="100"/>
      <c r="BN91" s="100"/>
      <c r="BO91" s="100"/>
      <c r="BP91" s="100"/>
      <c r="BQ91" s="120"/>
      <c r="BR91" s="120"/>
      <c r="BS91" s="120"/>
      <c r="BT91" s="120"/>
      <c r="BU91" s="120"/>
      <c r="BV91" s="120"/>
      <c r="BW91" s="120"/>
      <c r="BX91" s="120"/>
      <c r="BY91" s="120"/>
      <c r="BZ91" s="120"/>
      <c r="CA91" s="120"/>
      <c r="CB91" s="120"/>
      <c r="CC91" s="120"/>
      <c r="CD91" s="120"/>
      <c r="CE91" s="120"/>
      <c r="CF91" s="100"/>
      <c r="CG91" s="100"/>
      <c r="CH91" s="100"/>
      <c r="CI91" s="100"/>
      <c r="CJ91" s="100"/>
      <c r="CK91" s="100"/>
      <c r="CL91" s="100"/>
      <c r="CM91" s="100"/>
      <c r="CN91" s="100"/>
      <c r="CO91" s="100"/>
      <c r="CP91" s="100"/>
      <c r="CQ91" s="100"/>
      <c r="CR91" s="100"/>
      <c r="CS91" s="100"/>
      <c r="CT91" s="100"/>
      <c r="CU91" s="100"/>
      <c r="CV91" s="100"/>
      <c r="CW91" s="100"/>
      <c r="CX91" s="100"/>
      <c r="CY91" s="100"/>
      <c r="CZ91" s="100"/>
      <c r="DA91" s="100"/>
      <c r="DB91" s="100"/>
      <c r="DC91" s="100"/>
      <c r="DD91" s="100"/>
      <c r="DE91" s="100"/>
      <c r="DF91" s="100"/>
      <c r="DG91" s="100"/>
      <c r="DH91" s="100"/>
      <c r="DI91" s="100"/>
      <c r="DJ91" s="100"/>
      <c r="DK91" s="100"/>
      <c r="DL91" s="100"/>
      <c r="DM91" s="100"/>
      <c r="DN91" s="100"/>
      <c r="DO91" s="100"/>
      <c r="DP91" s="100"/>
    </row>
    <row r="92" customFormat="false" ht="12.8" hidden="false" customHeight="false" outlineLevel="0" collapsed="false">
      <c r="A92" s="120"/>
      <c r="B92" s="120"/>
      <c r="C92" s="120"/>
      <c r="D92" s="120"/>
      <c r="E92" s="120"/>
      <c r="F92" s="120"/>
      <c r="G92" s="193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00"/>
      <c r="AA92" s="100"/>
      <c r="AB92" s="100"/>
      <c r="AC92" s="100"/>
      <c r="AD92" s="100"/>
      <c r="AE92" s="100"/>
      <c r="AF92" s="100"/>
      <c r="AG92" s="163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  <c r="AW92" s="100"/>
      <c r="AX92" s="100"/>
      <c r="AY92" s="100"/>
      <c r="AZ92" s="100"/>
      <c r="BA92" s="100"/>
      <c r="BB92" s="100"/>
      <c r="BC92" s="100"/>
      <c r="BD92" s="100"/>
      <c r="BE92" s="100"/>
      <c r="BF92" s="100"/>
      <c r="BG92" s="100"/>
      <c r="BH92" s="100"/>
      <c r="BI92" s="100"/>
      <c r="BJ92" s="100"/>
      <c r="BK92" s="100"/>
      <c r="BL92" s="100"/>
      <c r="BM92" s="100"/>
      <c r="BN92" s="100"/>
      <c r="BO92" s="100"/>
      <c r="BP92" s="100"/>
      <c r="BQ92" s="120"/>
      <c r="BR92" s="120"/>
      <c r="BS92" s="120"/>
      <c r="BT92" s="120"/>
      <c r="BU92" s="120"/>
      <c r="BV92" s="120"/>
      <c r="BW92" s="120"/>
      <c r="BX92" s="120"/>
      <c r="BY92" s="120"/>
      <c r="BZ92" s="120"/>
      <c r="CA92" s="120"/>
      <c r="CB92" s="120"/>
      <c r="CC92" s="120"/>
      <c r="CD92" s="120"/>
      <c r="CE92" s="120"/>
      <c r="CF92" s="100"/>
      <c r="CG92" s="100"/>
      <c r="CH92" s="100"/>
      <c r="CI92" s="100"/>
      <c r="CJ92" s="100"/>
      <c r="CK92" s="100"/>
      <c r="CL92" s="100"/>
      <c r="CM92" s="100"/>
      <c r="CN92" s="100"/>
      <c r="CO92" s="100"/>
      <c r="CP92" s="100"/>
      <c r="CQ92" s="100"/>
      <c r="CR92" s="100"/>
      <c r="CS92" s="100"/>
      <c r="CT92" s="100"/>
      <c r="CU92" s="100"/>
      <c r="CV92" s="100"/>
      <c r="CW92" s="100"/>
      <c r="CX92" s="100"/>
      <c r="CY92" s="100"/>
      <c r="CZ92" s="100"/>
      <c r="DA92" s="100"/>
      <c r="DB92" s="100"/>
      <c r="DC92" s="100"/>
      <c r="DD92" s="100"/>
      <c r="DE92" s="100"/>
      <c r="DF92" s="100"/>
      <c r="DG92" s="100"/>
      <c r="DH92" s="100"/>
      <c r="DI92" s="100"/>
      <c r="DJ92" s="100"/>
      <c r="DK92" s="100"/>
      <c r="DL92" s="100"/>
      <c r="DM92" s="100"/>
      <c r="DN92" s="100"/>
      <c r="DO92" s="100"/>
      <c r="DP92" s="100"/>
    </row>
    <row r="93" customFormat="false" ht="12.8" hidden="false" customHeight="false" outlineLevel="0" collapsed="false">
      <c r="A93" s="120"/>
      <c r="B93" s="120"/>
      <c r="C93" s="120"/>
      <c r="D93" s="120"/>
      <c r="E93" s="120"/>
      <c r="F93" s="120"/>
      <c r="G93" s="193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00"/>
      <c r="AA93" s="100"/>
      <c r="AB93" s="100"/>
      <c r="AC93" s="100"/>
      <c r="AD93" s="100"/>
      <c r="AE93" s="100"/>
      <c r="AF93" s="100"/>
      <c r="AG93" s="163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  <c r="AS93" s="100"/>
      <c r="AT93" s="100"/>
      <c r="AU93" s="100"/>
      <c r="AV93" s="100"/>
      <c r="AW93" s="100"/>
      <c r="AX93" s="100"/>
      <c r="AY93" s="100"/>
      <c r="AZ93" s="100"/>
      <c r="BA93" s="100"/>
      <c r="BB93" s="100"/>
      <c r="BC93" s="100"/>
      <c r="BD93" s="100"/>
      <c r="BE93" s="100"/>
      <c r="BF93" s="100"/>
      <c r="BG93" s="100"/>
      <c r="BH93" s="100"/>
      <c r="BI93" s="100"/>
      <c r="BJ93" s="100"/>
      <c r="BK93" s="100"/>
      <c r="BL93" s="100"/>
      <c r="BM93" s="100"/>
      <c r="BN93" s="100"/>
      <c r="BO93" s="100"/>
      <c r="BP93" s="100"/>
      <c r="BQ93" s="120"/>
      <c r="BR93" s="120"/>
      <c r="BS93" s="120"/>
      <c r="BT93" s="120"/>
      <c r="BU93" s="120"/>
      <c r="BV93" s="120"/>
      <c r="BW93" s="120"/>
      <c r="BX93" s="120"/>
      <c r="BY93" s="120"/>
      <c r="BZ93" s="120"/>
      <c r="CA93" s="120"/>
      <c r="CB93" s="120"/>
      <c r="CC93" s="120"/>
      <c r="CD93" s="120"/>
      <c r="CE93" s="120"/>
      <c r="CF93" s="100"/>
      <c r="CG93" s="100"/>
      <c r="CH93" s="100"/>
      <c r="CI93" s="100"/>
      <c r="CJ93" s="100"/>
      <c r="CK93" s="100"/>
      <c r="CL93" s="100"/>
      <c r="CM93" s="100"/>
      <c r="CN93" s="100"/>
      <c r="CO93" s="100"/>
      <c r="CP93" s="100"/>
      <c r="CQ93" s="100"/>
      <c r="CR93" s="100"/>
      <c r="CS93" s="100"/>
      <c r="CT93" s="100"/>
      <c r="CU93" s="100"/>
      <c r="CV93" s="100"/>
      <c r="CW93" s="100"/>
      <c r="CX93" s="100"/>
      <c r="CY93" s="100"/>
      <c r="CZ93" s="100"/>
      <c r="DA93" s="100"/>
      <c r="DB93" s="100"/>
      <c r="DC93" s="100"/>
      <c r="DD93" s="100"/>
      <c r="DE93" s="100"/>
      <c r="DF93" s="100"/>
      <c r="DG93" s="100"/>
      <c r="DH93" s="100"/>
      <c r="DI93" s="100"/>
      <c r="DJ93" s="100"/>
      <c r="DK93" s="100"/>
      <c r="DL93" s="100"/>
      <c r="DM93" s="100"/>
      <c r="DN93" s="100"/>
      <c r="DO93" s="100"/>
      <c r="DP93" s="100"/>
    </row>
    <row r="94" customFormat="false" ht="12.8" hidden="false" customHeight="false" outlineLevel="0" collapsed="false">
      <c r="A94" s="120"/>
      <c r="B94" s="120"/>
      <c r="C94" s="120"/>
      <c r="D94" s="120"/>
      <c r="E94" s="120"/>
      <c r="F94" s="120"/>
      <c r="G94" s="193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00"/>
      <c r="AA94" s="100"/>
      <c r="AB94" s="100"/>
      <c r="AC94" s="100"/>
      <c r="AD94" s="100"/>
      <c r="AE94" s="100"/>
      <c r="AF94" s="100"/>
      <c r="AG94" s="163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0"/>
      <c r="AS94" s="100"/>
      <c r="AT94" s="100"/>
      <c r="AU94" s="100"/>
      <c r="AV94" s="100"/>
      <c r="AW94" s="100"/>
      <c r="AX94" s="100"/>
      <c r="AY94" s="100"/>
      <c r="AZ94" s="100"/>
      <c r="BA94" s="100"/>
      <c r="BB94" s="100"/>
      <c r="BC94" s="100"/>
      <c r="BD94" s="100"/>
      <c r="BE94" s="100"/>
      <c r="BF94" s="100"/>
      <c r="BG94" s="100"/>
      <c r="BH94" s="100"/>
      <c r="BI94" s="100"/>
      <c r="BJ94" s="100"/>
      <c r="BK94" s="100"/>
      <c r="BL94" s="100"/>
      <c r="BM94" s="100"/>
      <c r="BN94" s="100"/>
      <c r="BO94" s="100"/>
      <c r="BP94" s="100"/>
      <c r="BQ94" s="120"/>
      <c r="BR94" s="120"/>
      <c r="BS94" s="120"/>
      <c r="BT94" s="120"/>
      <c r="BU94" s="120"/>
      <c r="BV94" s="120"/>
      <c r="BW94" s="120"/>
      <c r="BX94" s="120"/>
      <c r="BY94" s="120"/>
      <c r="BZ94" s="120"/>
      <c r="CA94" s="120"/>
      <c r="CB94" s="120"/>
      <c r="CC94" s="120"/>
      <c r="CD94" s="120"/>
      <c r="CE94" s="120"/>
      <c r="CF94" s="100"/>
      <c r="CG94" s="100"/>
      <c r="CH94" s="100"/>
      <c r="CI94" s="100"/>
      <c r="CJ94" s="100"/>
      <c r="CK94" s="100"/>
      <c r="CL94" s="100"/>
      <c r="CM94" s="100"/>
      <c r="CN94" s="100"/>
      <c r="CO94" s="100"/>
      <c r="CP94" s="100"/>
      <c r="CQ94" s="100"/>
      <c r="CR94" s="100"/>
      <c r="CS94" s="100"/>
      <c r="CT94" s="100"/>
      <c r="CU94" s="100"/>
      <c r="CV94" s="100"/>
      <c r="CW94" s="100"/>
      <c r="CX94" s="100"/>
      <c r="CY94" s="100"/>
      <c r="CZ94" s="100"/>
      <c r="DA94" s="100"/>
      <c r="DB94" s="100"/>
      <c r="DC94" s="100"/>
      <c r="DD94" s="100"/>
      <c r="DE94" s="100"/>
      <c r="DF94" s="100"/>
      <c r="DG94" s="100"/>
      <c r="DH94" s="100"/>
      <c r="DI94" s="100"/>
      <c r="DJ94" s="100"/>
      <c r="DK94" s="100"/>
      <c r="DL94" s="100"/>
      <c r="DM94" s="100"/>
      <c r="DN94" s="100"/>
      <c r="DO94" s="100"/>
      <c r="DP94" s="100"/>
    </row>
    <row r="95" customFormat="false" ht="12.8" hidden="false" customHeight="false" outlineLevel="0" collapsed="false">
      <c r="A95" s="120"/>
      <c r="B95" s="120"/>
      <c r="C95" s="120"/>
      <c r="D95" s="120"/>
      <c r="E95" s="120"/>
      <c r="F95" s="120"/>
      <c r="G95" s="193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00"/>
      <c r="AA95" s="100"/>
      <c r="AB95" s="100"/>
      <c r="AC95" s="100"/>
      <c r="AD95" s="100"/>
      <c r="AE95" s="100"/>
      <c r="AF95" s="100"/>
      <c r="AG95" s="163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0"/>
      <c r="AS95" s="100"/>
      <c r="AT95" s="100"/>
      <c r="AU95" s="100"/>
      <c r="AV95" s="100"/>
      <c r="AW95" s="100"/>
      <c r="AX95" s="100"/>
      <c r="AY95" s="100"/>
      <c r="AZ95" s="100"/>
      <c r="BA95" s="100"/>
      <c r="BB95" s="100"/>
      <c r="BC95" s="100"/>
      <c r="BD95" s="100"/>
      <c r="BE95" s="100"/>
      <c r="BF95" s="100"/>
      <c r="BG95" s="100"/>
      <c r="BH95" s="100"/>
      <c r="BI95" s="100"/>
      <c r="BJ95" s="100"/>
      <c r="BK95" s="100"/>
      <c r="BL95" s="100"/>
      <c r="BM95" s="100"/>
      <c r="BN95" s="100"/>
      <c r="BO95" s="100"/>
      <c r="BP95" s="100"/>
      <c r="BQ95" s="120"/>
      <c r="BR95" s="120"/>
      <c r="BS95" s="120"/>
      <c r="BT95" s="120"/>
      <c r="BU95" s="120"/>
      <c r="BV95" s="120"/>
      <c r="BW95" s="120"/>
      <c r="BX95" s="120"/>
      <c r="BY95" s="120"/>
      <c r="BZ95" s="120"/>
      <c r="CA95" s="120"/>
      <c r="CB95" s="120"/>
      <c r="CC95" s="120"/>
      <c r="CD95" s="120"/>
      <c r="CE95" s="120"/>
      <c r="CF95" s="100"/>
      <c r="CG95" s="100"/>
      <c r="CH95" s="100"/>
      <c r="CI95" s="100"/>
      <c r="CJ95" s="100"/>
      <c r="CK95" s="100"/>
      <c r="CL95" s="100"/>
      <c r="CM95" s="100"/>
      <c r="CN95" s="100"/>
      <c r="CO95" s="100"/>
      <c r="CP95" s="100"/>
      <c r="CQ95" s="100"/>
      <c r="CR95" s="100"/>
      <c r="CS95" s="100"/>
      <c r="CT95" s="100"/>
      <c r="CU95" s="100"/>
      <c r="CV95" s="100"/>
      <c r="CW95" s="100"/>
      <c r="CX95" s="100"/>
      <c r="CY95" s="100"/>
      <c r="CZ95" s="100"/>
      <c r="DA95" s="100"/>
      <c r="DB95" s="100"/>
      <c r="DC95" s="100"/>
      <c r="DD95" s="100"/>
      <c r="DE95" s="100"/>
      <c r="DF95" s="100"/>
      <c r="DG95" s="100"/>
      <c r="DH95" s="100"/>
      <c r="DI95" s="100"/>
      <c r="DJ95" s="100"/>
      <c r="DK95" s="100"/>
      <c r="DL95" s="100"/>
      <c r="DM95" s="100"/>
      <c r="DN95" s="100"/>
      <c r="DO95" s="100"/>
      <c r="DP95" s="100"/>
    </row>
    <row r="96" customFormat="false" ht="12.8" hidden="false" customHeight="false" outlineLevel="0" collapsed="false">
      <c r="A96" s="120"/>
      <c r="B96" s="120"/>
      <c r="C96" s="120"/>
      <c r="D96" s="120"/>
      <c r="E96" s="120"/>
      <c r="F96" s="120"/>
      <c r="G96" s="193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00"/>
      <c r="AA96" s="100"/>
      <c r="AB96" s="100"/>
      <c r="AC96" s="100"/>
      <c r="AD96" s="100"/>
      <c r="AE96" s="100"/>
      <c r="AF96" s="100"/>
      <c r="AG96" s="163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100"/>
      <c r="AU96" s="100"/>
      <c r="AV96" s="100"/>
      <c r="AW96" s="100"/>
      <c r="AX96" s="100"/>
      <c r="AY96" s="100"/>
      <c r="AZ96" s="100"/>
      <c r="BA96" s="100"/>
      <c r="BB96" s="100"/>
      <c r="BC96" s="100"/>
      <c r="BD96" s="100"/>
      <c r="BE96" s="100"/>
      <c r="BF96" s="100"/>
      <c r="BG96" s="100"/>
      <c r="BH96" s="100"/>
      <c r="BI96" s="100"/>
      <c r="BJ96" s="100"/>
      <c r="BK96" s="100"/>
      <c r="BL96" s="100"/>
      <c r="BM96" s="100"/>
      <c r="BN96" s="100"/>
      <c r="BO96" s="100"/>
      <c r="BP96" s="100"/>
      <c r="BQ96" s="120"/>
      <c r="BR96" s="120"/>
      <c r="BS96" s="120"/>
      <c r="BT96" s="120"/>
      <c r="BU96" s="120"/>
      <c r="BV96" s="120"/>
      <c r="BW96" s="120"/>
      <c r="BX96" s="120"/>
      <c r="BY96" s="120"/>
      <c r="BZ96" s="120"/>
      <c r="CA96" s="120"/>
      <c r="CB96" s="120"/>
      <c r="CC96" s="120"/>
      <c r="CD96" s="120"/>
      <c r="CE96" s="120"/>
      <c r="CF96" s="100"/>
      <c r="CG96" s="100"/>
      <c r="CH96" s="100"/>
      <c r="CI96" s="100"/>
      <c r="CJ96" s="100"/>
      <c r="CK96" s="100"/>
      <c r="CL96" s="100"/>
      <c r="CM96" s="100"/>
      <c r="CN96" s="100"/>
      <c r="CO96" s="100"/>
      <c r="CP96" s="100"/>
      <c r="CQ96" s="100"/>
      <c r="CR96" s="100"/>
      <c r="CS96" s="100"/>
      <c r="CT96" s="100"/>
      <c r="CU96" s="100"/>
      <c r="CV96" s="100"/>
      <c r="CW96" s="100"/>
      <c r="CX96" s="100"/>
      <c r="CY96" s="100"/>
      <c r="CZ96" s="100"/>
      <c r="DA96" s="100"/>
      <c r="DB96" s="100"/>
      <c r="DC96" s="100"/>
      <c r="DD96" s="100"/>
      <c r="DE96" s="100"/>
      <c r="DF96" s="100"/>
      <c r="DG96" s="100"/>
      <c r="DH96" s="100"/>
      <c r="DI96" s="100"/>
      <c r="DJ96" s="100"/>
      <c r="DK96" s="100"/>
      <c r="DL96" s="100"/>
      <c r="DM96" s="100"/>
      <c r="DN96" s="100"/>
      <c r="DO96" s="100"/>
      <c r="DP96" s="100"/>
    </row>
    <row r="97" customFormat="false" ht="12.8" hidden="false" customHeight="false" outlineLevel="0" collapsed="false">
      <c r="A97" s="120"/>
      <c r="B97" s="120"/>
      <c r="C97" s="120"/>
      <c r="D97" s="120"/>
      <c r="E97" s="120"/>
      <c r="F97" s="120"/>
      <c r="G97" s="193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00"/>
      <c r="AA97" s="100"/>
      <c r="AB97" s="100"/>
      <c r="AC97" s="100"/>
      <c r="AD97" s="100"/>
      <c r="AE97" s="100"/>
      <c r="AF97" s="100"/>
      <c r="AG97" s="163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  <c r="AW97" s="100"/>
      <c r="AX97" s="100"/>
      <c r="AY97" s="100"/>
      <c r="AZ97" s="100"/>
      <c r="BA97" s="100"/>
      <c r="BB97" s="100"/>
      <c r="BC97" s="100"/>
      <c r="BD97" s="100"/>
      <c r="BE97" s="100"/>
      <c r="BF97" s="100"/>
      <c r="BG97" s="100"/>
      <c r="BH97" s="100"/>
      <c r="BI97" s="100"/>
      <c r="BJ97" s="100"/>
      <c r="BK97" s="100"/>
      <c r="BL97" s="100"/>
      <c r="BM97" s="100"/>
      <c r="BN97" s="100"/>
      <c r="BO97" s="100"/>
      <c r="BP97" s="100"/>
      <c r="BQ97" s="120"/>
      <c r="BR97" s="120"/>
      <c r="BS97" s="120"/>
      <c r="BT97" s="120"/>
      <c r="BU97" s="120"/>
      <c r="BV97" s="120"/>
      <c r="BW97" s="120"/>
      <c r="BX97" s="120"/>
      <c r="BY97" s="120"/>
      <c r="BZ97" s="120"/>
      <c r="CA97" s="120"/>
      <c r="CB97" s="120"/>
      <c r="CC97" s="120"/>
      <c r="CD97" s="120"/>
      <c r="CE97" s="120"/>
      <c r="CF97" s="100"/>
      <c r="CG97" s="100"/>
      <c r="CH97" s="100"/>
      <c r="CI97" s="100"/>
      <c r="CJ97" s="100"/>
      <c r="CK97" s="100"/>
      <c r="CL97" s="100"/>
      <c r="CM97" s="100"/>
      <c r="CN97" s="100"/>
      <c r="CO97" s="100"/>
      <c r="CP97" s="100"/>
      <c r="CQ97" s="100"/>
      <c r="CR97" s="100"/>
      <c r="CS97" s="100"/>
      <c r="CT97" s="100"/>
      <c r="CU97" s="100"/>
      <c r="CV97" s="100"/>
      <c r="CW97" s="100"/>
      <c r="CX97" s="100"/>
      <c r="CY97" s="100"/>
      <c r="CZ97" s="100"/>
      <c r="DA97" s="100"/>
      <c r="DB97" s="100"/>
      <c r="DC97" s="100"/>
      <c r="DD97" s="100"/>
      <c r="DE97" s="100"/>
      <c r="DF97" s="100"/>
      <c r="DG97" s="100"/>
      <c r="DH97" s="100"/>
      <c r="DI97" s="100"/>
      <c r="DJ97" s="100"/>
      <c r="DK97" s="100"/>
      <c r="DL97" s="100"/>
      <c r="DM97" s="100"/>
      <c r="DN97" s="100"/>
      <c r="DO97" s="100"/>
      <c r="DP97" s="100"/>
    </row>
    <row r="98" customFormat="false" ht="12.8" hidden="false" customHeight="false" outlineLevel="0" collapsed="false">
      <c r="A98" s="120"/>
      <c r="B98" s="120"/>
      <c r="C98" s="120"/>
      <c r="D98" s="120"/>
      <c r="E98" s="120"/>
      <c r="F98" s="120"/>
      <c r="G98" s="193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00"/>
      <c r="AA98" s="100"/>
      <c r="AB98" s="100"/>
      <c r="AC98" s="100"/>
      <c r="AD98" s="100"/>
      <c r="AE98" s="100"/>
      <c r="AF98" s="100"/>
      <c r="AG98" s="163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  <c r="AW98" s="100"/>
      <c r="AX98" s="100"/>
      <c r="AY98" s="100"/>
      <c r="AZ98" s="100"/>
      <c r="BA98" s="100"/>
      <c r="BB98" s="100"/>
      <c r="BC98" s="100"/>
      <c r="BD98" s="100"/>
      <c r="BE98" s="100"/>
      <c r="BF98" s="100"/>
      <c r="BG98" s="100"/>
      <c r="BH98" s="100"/>
      <c r="BI98" s="100"/>
      <c r="BJ98" s="100"/>
      <c r="BK98" s="100"/>
      <c r="BL98" s="100"/>
      <c r="BM98" s="100"/>
      <c r="BN98" s="100"/>
      <c r="BO98" s="100"/>
      <c r="BP98" s="100"/>
      <c r="BQ98" s="120"/>
      <c r="BR98" s="120"/>
      <c r="BS98" s="120"/>
      <c r="BT98" s="120"/>
      <c r="BU98" s="120"/>
      <c r="BV98" s="120"/>
      <c r="BW98" s="120"/>
      <c r="BX98" s="120"/>
      <c r="BY98" s="120"/>
      <c r="BZ98" s="120"/>
      <c r="CA98" s="120"/>
      <c r="CB98" s="120"/>
      <c r="CC98" s="120"/>
      <c r="CD98" s="120"/>
      <c r="CE98" s="120"/>
      <c r="CF98" s="100"/>
      <c r="CG98" s="100"/>
      <c r="CH98" s="100"/>
      <c r="CI98" s="100"/>
      <c r="CJ98" s="100"/>
      <c r="CK98" s="100"/>
      <c r="CL98" s="100"/>
      <c r="CM98" s="100"/>
      <c r="CN98" s="100"/>
      <c r="CO98" s="100"/>
      <c r="CP98" s="100"/>
      <c r="CQ98" s="100"/>
      <c r="CR98" s="100"/>
      <c r="CS98" s="100"/>
      <c r="CT98" s="100"/>
      <c r="CU98" s="100"/>
      <c r="CV98" s="100"/>
      <c r="CW98" s="100"/>
      <c r="CX98" s="100"/>
      <c r="CY98" s="100"/>
      <c r="CZ98" s="100"/>
      <c r="DA98" s="100"/>
      <c r="DB98" s="100"/>
      <c r="DC98" s="100"/>
      <c r="DD98" s="100"/>
      <c r="DE98" s="100"/>
      <c r="DF98" s="100"/>
      <c r="DG98" s="100"/>
      <c r="DH98" s="100"/>
      <c r="DI98" s="100"/>
      <c r="DJ98" s="100"/>
      <c r="DK98" s="100"/>
      <c r="DL98" s="100"/>
      <c r="DM98" s="100"/>
      <c r="DN98" s="100"/>
      <c r="DO98" s="100"/>
      <c r="DP98" s="100"/>
    </row>
    <row r="99" customFormat="false" ht="12.8" hidden="false" customHeight="false" outlineLevel="0" collapsed="false">
      <c r="A99" s="120"/>
      <c r="B99" s="120"/>
      <c r="C99" s="120"/>
      <c r="D99" s="120"/>
      <c r="E99" s="120"/>
      <c r="F99" s="120"/>
      <c r="G99" s="193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00"/>
      <c r="AA99" s="100"/>
      <c r="AB99" s="100"/>
      <c r="AC99" s="100"/>
      <c r="AD99" s="100"/>
      <c r="AE99" s="100"/>
      <c r="AF99" s="100"/>
      <c r="AG99" s="163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  <c r="AT99" s="100"/>
      <c r="AU99" s="100"/>
      <c r="AV99" s="100"/>
      <c r="AW99" s="100"/>
      <c r="AX99" s="100"/>
      <c r="AY99" s="100"/>
      <c r="AZ99" s="100"/>
      <c r="BA99" s="100"/>
      <c r="BB99" s="100"/>
      <c r="BC99" s="100"/>
      <c r="BD99" s="100"/>
      <c r="BE99" s="100"/>
      <c r="BF99" s="100"/>
      <c r="BG99" s="100"/>
      <c r="BH99" s="100"/>
      <c r="BI99" s="100"/>
      <c r="BJ99" s="100"/>
      <c r="BK99" s="100"/>
      <c r="BL99" s="100"/>
      <c r="BM99" s="100"/>
      <c r="BN99" s="100"/>
      <c r="BO99" s="100"/>
      <c r="BP99" s="100"/>
      <c r="BQ99" s="120"/>
      <c r="BR99" s="120"/>
      <c r="BS99" s="120"/>
      <c r="BT99" s="120"/>
      <c r="BU99" s="120"/>
      <c r="BV99" s="120"/>
      <c r="BW99" s="120"/>
      <c r="BX99" s="120"/>
      <c r="BY99" s="120"/>
      <c r="BZ99" s="120"/>
      <c r="CA99" s="120"/>
      <c r="CB99" s="120"/>
      <c r="CC99" s="120"/>
      <c r="CD99" s="120"/>
      <c r="CE99" s="120"/>
      <c r="CF99" s="100"/>
      <c r="CG99" s="100"/>
      <c r="CH99" s="100"/>
      <c r="CI99" s="100"/>
      <c r="CJ99" s="100"/>
      <c r="CK99" s="100"/>
      <c r="CL99" s="100"/>
      <c r="CM99" s="100"/>
      <c r="CN99" s="100"/>
      <c r="CO99" s="100"/>
      <c r="CP99" s="100"/>
      <c r="CQ99" s="100"/>
      <c r="CR99" s="100"/>
      <c r="CS99" s="100"/>
      <c r="CT99" s="100"/>
      <c r="CU99" s="100"/>
      <c r="CV99" s="100"/>
      <c r="CW99" s="100"/>
      <c r="CX99" s="100"/>
      <c r="CY99" s="100"/>
      <c r="CZ99" s="100"/>
      <c r="DA99" s="100"/>
      <c r="DB99" s="100"/>
      <c r="DC99" s="100"/>
      <c r="DD99" s="100"/>
      <c r="DE99" s="100"/>
      <c r="DF99" s="100"/>
      <c r="DG99" s="100"/>
      <c r="DH99" s="100"/>
      <c r="DI99" s="100"/>
      <c r="DJ99" s="100"/>
      <c r="DK99" s="100"/>
      <c r="DL99" s="100"/>
      <c r="DM99" s="100"/>
      <c r="DN99" s="100"/>
      <c r="DO99" s="100"/>
      <c r="DP99" s="100"/>
    </row>
    <row r="100" customFormat="false" ht="12.8" hidden="false" customHeight="false" outlineLevel="0" collapsed="false">
      <c r="A100" s="120"/>
      <c r="B100" s="120"/>
      <c r="C100" s="120"/>
      <c r="D100" s="120"/>
      <c r="E100" s="120"/>
      <c r="F100" s="120"/>
      <c r="G100" s="193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00"/>
      <c r="AA100" s="100"/>
      <c r="AB100" s="100"/>
      <c r="AC100" s="100"/>
      <c r="AD100" s="100"/>
      <c r="AE100" s="100"/>
      <c r="AF100" s="100"/>
      <c r="AG100" s="163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0"/>
      <c r="AS100" s="100"/>
      <c r="AT100" s="100"/>
      <c r="AU100" s="100"/>
      <c r="AV100" s="100"/>
      <c r="AW100" s="100"/>
      <c r="AX100" s="100"/>
      <c r="AY100" s="100"/>
      <c r="AZ100" s="100"/>
      <c r="BA100" s="100"/>
      <c r="BB100" s="100"/>
      <c r="BC100" s="100"/>
      <c r="BD100" s="100"/>
      <c r="BE100" s="100"/>
      <c r="BF100" s="100"/>
      <c r="BG100" s="100"/>
      <c r="BH100" s="100"/>
      <c r="BI100" s="100"/>
      <c r="BJ100" s="100"/>
      <c r="BK100" s="100"/>
      <c r="BL100" s="100"/>
      <c r="BM100" s="100"/>
      <c r="BN100" s="100"/>
      <c r="BO100" s="100"/>
      <c r="BP100" s="100"/>
      <c r="BQ100" s="120"/>
      <c r="BR100" s="120"/>
      <c r="BS100" s="120"/>
      <c r="BT100" s="120"/>
      <c r="BU100" s="120"/>
      <c r="BV100" s="120"/>
      <c r="BW100" s="120"/>
      <c r="BX100" s="120"/>
      <c r="BY100" s="120"/>
      <c r="BZ100" s="120"/>
      <c r="CA100" s="120"/>
      <c r="CB100" s="120"/>
      <c r="CC100" s="120"/>
      <c r="CD100" s="120"/>
      <c r="CE100" s="120"/>
      <c r="CF100" s="100"/>
      <c r="CG100" s="100"/>
      <c r="CH100" s="100"/>
      <c r="CI100" s="100"/>
      <c r="CJ100" s="100"/>
      <c r="CK100" s="100"/>
      <c r="CL100" s="100"/>
      <c r="CM100" s="100"/>
      <c r="CN100" s="100"/>
      <c r="CO100" s="100"/>
      <c r="CP100" s="100"/>
      <c r="CQ100" s="100"/>
      <c r="CR100" s="100"/>
      <c r="CS100" s="100"/>
      <c r="CT100" s="100"/>
      <c r="CU100" s="100"/>
      <c r="CV100" s="100"/>
      <c r="CW100" s="100"/>
      <c r="CX100" s="100"/>
      <c r="CY100" s="100"/>
      <c r="CZ100" s="100"/>
      <c r="DA100" s="100"/>
      <c r="DB100" s="100"/>
      <c r="DC100" s="100"/>
      <c r="DD100" s="100"/>
      <c r="DE100" s="100"/>
      <c r="DF100" s="100"/>
      <c r="DG100" s="100"/>
      <c r="DH100" s="100"/>
      <c r="DI100" s="100"/>
      <c r="DJ100" s="100"/>
      <c r="DK100" s="100"/>
      <c r="DL100" s="100"/>
      <c r="DM100" s="100"/>
      <c r="DN100" s="100"/>
      <c r="DO100" s="100"/>
      <c r="DP100" s="100"/>
    </row>
    <row r="101" customFormat="false" ht="12.8" hidden="false" customHeight="false" outlineLevel="0" collapsed="false">
      <c r="A101" s="120"/>
      <c r="B101" s="120"/>
      <c r="C101" s="120"/>
      <c r="D101" s="120"/>
      <c r="E101" s="120"/>
      <c r="F101" s="120"/>
      <c r="G101" s="193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00"/>
      <c r="AA101" s="100"/>
      <c r="AB101" s="100"/>
      <c r="AC101" s="100"/>
      <c r="AD101" s="100"/>
      <c r="AE101" s="100"/>
      <c r="AF101" s="100"/>
      <c r="AG101" s="163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  <c r="BE101" s="100"/>
      <c r="BF101" s="100"/>
      <c r="BG101" s="100"/>
      <c r="BH101" s="100"/>
      <c r="BI101" s="100"/>
      <c r="BJ101" s="100"/>
      <c r="BK101" s="100"/>
      <c r="BL101" s="100"/>
      <c r="BM101" s="100"/>
      <c r="BN101" s="100"/>
      <c r="BO101" s="100"/>
      <c r="BP101" s="100"/>
      <c r="BQ101" s="120"/>
      <c r="BR101" s="120"/>
      <c r="BS101" s="120"/>
      <c r="BT101" s="120"/>
      <c r="BU101" s="120"/>
      <c r="BV101" s="120"/>
      <c r="BW101" s="120"/>
      <c r="BX101" s="120"/>
      <c r="BY101" s="120"/>
      <c r="BZ101" s="120"/>
      <c r="CA101" s="120"/>
      <c r="CB101" s="120"/>
      <c r="CC101" s="120"/>
      <c r="CD101" s="120"/>
      <c r="CE101" s="120"/>
      <c r="CF101" s="100"/>
      <c r="CG101" s="100"/>
      <c r="CH101" s="100"/>
      <c r="CI101" s="100"/>
      <c r="CJ101" s="100"/>
      <c r="CK101" s="100"/>
      <c r="CL101" s="100"/>
      <c r="CM101" s="100"/>
      <c r="CN101" s="100"/>
      <c r="CO101" s="100"/>
      <c r="CP101" s="100"/>
      <c r="CQ101" s="100"/>
      <c r="CR101" s="100"/>
      <c r="CS101" s="100"/>
      <c r="CT101" s="100"/>
      <c r="CU101" s="100"/>
      <c r="CV101" s="100"/>
      <c r="CW101" s="100"/>
      <c r="CX101" s="100"/>
      <c r="CY101" s="100"/>
      <c r="CZ101" s="100"/>
      <c r="DA101" s="100"/>
      <c r="DB101" s="100"/>
      <c r="DC101" s="100"/>
      <c r="DD101" s="100"/>
      <c r="DE101" s="100"/>
      <c r="DF101" s="100"/>
      <c r="DG101" s="100"/>
      <c r="DH101" s="100"/>
      <c r="DI101" s="100"/>
      <c r="DJ101" s="100"/>
      <c r="DK101" s="100"/>
      <c r="DL101" s="100"/>
      <c r="DM101" s="100"/>
      <c r="DN101" s="100"/>
      <c r="DO101" s="100"/>
      <c r="DP101" s="100"/>
    </row>
    <row r="102" customFormat="false" ht="12.8" hidden="false" customHeight="false" outlineLevel="0" collapsed="false">
      <c r="A102" s="120"/>
      <c r="B102" s="120"/>
      <c r="C102" s="120"/>
      <c r="D102" s="120"/>
      <c r="E102" s="120"/>
      <c r="F102" s="120"/>
      <c r="G102" s="193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00"/>
      <c r="AA102" s="100"/>
      <c r="AB102" s="100"/>
      <c r="AC102" s="100"/>
      <c r="AD102" s="100"/>
      <c r="AE102" s="100"/>
      <c r="AF102" s="100"/>
      <c r="AG102" s="163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00"/>
      <c r="BC102" s="100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00"/>
      <c r="BP102" s="100"/>
      <c r="BQ102" s="120"/>
      <c r="BR102" s="120"/>
      <c r="BS102" s="120"/>
      <c r="BT102" s="120"/>
      <c r="BU102" s="120"/>
      <c r="BV102" s="120"/>
      <c r="BW102" s="120"/>
      <c r="BX102" s="120"/>
      <c r="BY102" s="120"/>
      <c r="BZ102" s="120"/>
      <c r="CA102" s="120"/>
      <c r="CB102" s="120"/>
      <c r="CC102" s="120"/>
      <c r="CD102" s="120"/>
      <c r="CE102" s="12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00"/>
      <c r="CP102" s="100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00"/>
      <c r="DC102" s="100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00"/>
      <c r="DP102" s="100"/>
    </row>
    <row r="103" customFormat="false" ht="12.8" hidden="false" customHeight="false" outlineLevel="0" collapsed="false">
      <c r="A103" s="120"/>
      <c r="B103" s="120"/>
      <c r="C103" s="120"/>
      <c r="D103" s="120"/>
      <c r="E103" s="120"/>
      <c r="F103" s="120"/>
      <c r="G103" s="193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00"/>
      <c r="AA103" s="100"/>
      <c r="AB103" s="100"/>
      <c r="AC103" s="100"/>
      <c r="AD103" s="100"/>
      <c r="AE103" s="100"/>
      <c r="AF103" s="100"/>
      <c r="AG103" s="163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0"/>
      <c r="AV103" s="100"/>
      <c r="AW103" s="100"/>
      <c r="AX103" s="100"/>
      <c r="AY103" s="100"/>
      <c r="AZ103" s="100"/>
      <c r="BA103" s="100"/>
      <c r="BB103" s="100"/>
      <c r="BC103" s="100"/>
      <c r="BD103" s="100"/>
      <c r="BE103" s="100"/>
      <c r="BF103" s="100"/>
      <c r="BG103" s="100"/>
      <c r="BH103" s="100"/>
      <c r="BI103" s="100"/>
      <c r="BJ103" s="100"/>
      <c r="BK103" s="100"/>
      <c r="BL103" s="100"/>
      <c r="BM103" s="100"/>
      <c r="BN103" s="100"/>
      <c r="BO103" s="100"/>
      <c r="BP103" s="100"/>
      <c r="BQ103" s="120"/>
      <c r="BR103" s="120"/>
      <c r="BS103" s="120"/>
      <c r="BT103" s="120"/>
      <c r="BU103" s="120"/>
      <c r="BV103" s="120"/>
      <c r="BW103" s="120"/>
      <c r="BX103" s="120"/>
      <c r="BY103" s="120"/>
      <c r="BZ103" s="120"/>
      <c r="CA103" s="120"/>
      <c r="CB103" s="120"/>
      <c r="CC103" s="120"/>
      <c r="CD103" s="120"/>
      <c r="CE103" s="120"/>
      <c r="CF103" s="100"/>
      <c r="CG103" s="100"/>
      <c r="CH103" s="100"/>
      <c r="CI103" s="100"/>
      <c r="CJ103" s="100"/>
      <c r="CK103" s="100"/>
      <c r="CL103" s="100"/>
      <c r="CM103" s="100"/>
      <c r="CN103" s="100"/>
      <c r="CO103" s="100"/>
      <c r="CP103" s="100"/>
      <c r="CQ103" s="100"/>
      <c r="CR103" s="100"/>
      <c r="CS103" s="100"/>
      <c r="CT103" s="100"/>
      <c r="CU103" s="100"/>
      <c r="CV103" s="100"/>
      <c r="CW103" s="100"/>
      <c r="CX103" s="100"/>
      <c r="CY103" s="100"/>
      <c r="CZ103" s="100"/>
      <c r="DA103" s="100"/>
      <c r="DB103" s="100"/>
      <c r="DC103" s="100"/>
      <c r="DD103" s="100"/>
      <c r="DE103" s="100"/>
      <c r="DF103" s="100"/>
      <c r="DG103" s="100"/>
      <c r="DH103" s="100"/>
      <c r="DI103" s="100"/>
      <c r="DJ103" s="100"/>
      <c r="DK103" s="100"/>
      <c r="DL103" s="100"/>
      <c r="DM103" s="100"/>
      <c r="DN103" s="100"/>
      <c r="DO103" s="100"/>
      <c r="DP103" s="100"/>
    </row>
    <row r="104" customFormat="false" ht="12.8" hidden="false" customHeight="false" outlineLevel="0" collapsed="false">
      <c r="A104" s="120"/>
      <c r="B104" s="120"/>
      <c r="C104" s="120"/>
      <c r="D104" s="120"/>
      <c r="E104" s="120"/>
      <c r="F104" s="120"/>
      <c r="G104" s="193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00"/>
      <c r="AA104" s="100"/>
      <c r="AB104" s="100"/>
      <c r="AC104" s="100"/>
      <c r="AD104" s="100"/>
      <c r="AE104" s="100"/>
      <c r="AF104" s="100"/>
      <c r="AG104" s="163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  <c r="AT104" s="100"/>
      <c r="AU104" s="100"/>
      <c r="AV104" s="100"/>
      <c r="AW104" s="100"/>
      <c r="AX104" s="100"/>
      <c r="AY104" s="100"/>
      <c r="AZ104" s="100"/>
      <c r="BA104" s="100"/>
      <c r="BB104" s="100"/>
      <c r="BC104" s="100"/>
      <c r="BD104" s="100"/>
      <c r="BE104" s="100"/>
      <c r="BF104" s="100"/>
      <c r="BG104" s="100"/>
      <c r="BH104" s="100"/>
      <c r="BI104" s="100"/>
      <c r="BJ104" s="100"/>
      <c r="BK104" s="100"/>
      <c r="BL104" s="100"/>
      <c r="BM104" s="100"/>
      <c r="BN104" s="100"/>
      <c r="BO104" s="100"/>
      <c r="BP104" s="100"/>
      <c r="BQ104" s="120"/>
      <c r="BR104" s="120"/>
      <c r="BS104" s="120"/>
      <c r="BT104" s="120"/>
      <c r="BU104" s="120"/>
      <c r="BV104" s="120"/>
      <c r="BW104" s="120"/>
      <c r="BX104" s="120"/>
      <c r="BY104" s="120"/>
      <c r="BZ104" s="120"/>
      <c r="CA104" s="120"/>
      <c r="CB104" s="120"/>
      <c r="CC104" s="120"/>
      <c r="CD104" s="120"/>
      <c r="CE104" s="120"/>
      <c r="CF104" s="100"/>
      <c r="CG104" s="100"/>
      <c r="CH104" s="100"/>
      <c r="CI104" s="100"/>
      <c r="CJ104" s="100"/>
      <c r="CK104" s="100"/>
      <c r="CL104" s="100"/>
      <c r="CM104" s="100"/>
      <c r="CN104" s="100"/>
      <c r="CO104" s="100"/>
      <c r="CP104" s="100"/>
      <c r="CQ104" s="100"/>
      <c r="CR104" s="100"/>
      <c r="CS104" s="100"/>
      <c r="CT104" s="100"/>
      <c r="CU104" s="100"/>
      <c r="CV104" s="100"/>
      <c r="CW104" s="100"/>
      <c r="CX104" s="100"/>
      <c r="CY104" s="100"/>
      <c r="CZ104" s="100"/>
      <c r="DA104" s="100"/>
      <c r="DB104" s="100"/>
      <c r="DC104" s="100"/>
      <c r="DD104" s="100"/>
      <c r="DE104" s="100"/>
      <c r="DF104" s="100"/>
      <c r="DG104" s="100"/>
      <c r="DH104" s="100"/>
      <c r="DI104" s="100"/>
      <c r="DJ104" s="100"/>
      <c r="DK104" s="100"/>
      <c r="DL104" s="100"/>
      <c r="DM104" s="100"/>
      <c r="DN104" s="100"/>
      <c r="DO104" s="100"/>
      <c r="DP104" s="100"/>
    </row>
    <row r="105" customFormat="false" ht="12.8" hidden="false" customHeight="false" outlineLevel="0" collapsed="false">
      <c r="A105" s="120"/>
      <c r="B105" s="120"/>
      <c r="C105" s="120"/>
      <c r="D105" s="120"/>
      <c r="E105" s="120"/>
      <c r="F105" s="120"/>
      <c r="G105" s="193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00"/>
      <c r="AA105" s="100"/>
      <c r="AB105" s="100"/>
      <c r="AC105" s="100"/>
      <c r="AD105" s="100"/>
      <c r="AE105" s="100"/>
      <c r="AF105" s="100"/>
      <c r="AG105" s="163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0"/>
      <c r="AV105" s="100"/>
      <c r="AW105" s="100"/>
      <c r="AX105" s="100"/>
      <c r="AY105" s="100"/>
      <c r="AZ105" s="100"/>
      <c r="BA105" s="100"/>
      <c r="BB105" s="100"/>
      <c r="BC105" s="100"/>
      <c r="BD105" s="100"/>
      <c r="BE105" s="100"/>
      <c r="BF105" s="100"/>
      <c r="BG105" s="100"/>
      <c r="BH105" s="100"/>
      <c r="BI105" s="100"/>
      <c r="BJ105" s="100"/>
      <c r="BK105" s="100"/>
      <c r="BL105" s="100"/>
      <c r="BM105" s="100"/>
      <c r="BN105" s="100"/>
      <c r="BO105" s="100"/>
      <c r="BP105" s="100"/>
      <c r="BQ105" s="120"/>
      <c r="BR105" s="120"/>
      <c r="BS105" s="120"/>
      <c r="BT105" s="120"/>
      <c r="BU105" s="120"/>
      <c r="BV105" s="120"/>
      <c r="BW105" s="120"/>
      <c r="BX105" s="120"/>
      <c r="BY105" s="120"/>
      <c r="BZ105" s="120"/>
      <c r="CA105" s="120"/>
      <c r="CB105" s="120"/>
      <c r="CC105" s="120"/>
      <c r="CD105" s="120"/>
      <c r="CE105" s="120"/>
      <c r="CF105" s="100"/>
      <c r="CG105" s="100"/>
      <c r="CH105" s="100"/>
      <c r="CI105" s="100"/>
      <c r="CJ105" s="100"/>
      <c r="CK105" s="100"/>
      <c r="CL105" s="100"/>
      <c r="CM105" s="100"/>
      <c r="CN105" s="100"/>
      <c r="CO105" s="100"/>
      <c r="CP105" s="100"/>
      <c r="CQ105" s="100"/>
      <c r="CR105" s="100"/>
      <c r="CS105" s="100"/>
      <c r="CT105" s="100"/>
      <c r="CU105" s="100"/>
      <c r="CV105" s="100"/>
      <c r="CW105" s="100"/>
      <c r="CX105" s="100"/>
      <c r="CY105" s="100"/>
      <c r="CZ105" s="100"/>
      <c r="DA105" s="100"/>
      <c r="DB105" s="100"/>
      <c r="DC105" s="100"/>
      <c r="DD105" s="100"/>
      <c r="DE105" s="100"/>
      <c r="DF105" s="100"/>
      <c r="DG105" s="100"/>
      <c r="DH105" s="100"/>
      <c r="DI105" s="100"/>
      <c r="DJ105" s="100"/>
      <c r="DK105" s="100"/>
      <c r="DL105" s="100"/>
      <c r="DM105" s="100"/>
      <c r="DN105" s="100"/>
      <c r="DO105" s="100"/>
      <c r="DP105" s="100"/>
    </row>
    <row r="106" customFormat="false" ht="12.8" hidden="false" customHeight="false" outlineLevel="0" collapsed="false">
      <c r="A106" s="120"/>
      <c r="B106" s="120"/>
      <c r="C106" s="120"/>
      <c r="D106" s="120"/>
      <c r="E106" s="120"/>
      <c r="F106" s="120"/>
      <c r="G106" s="193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00"/>
      <c r="AA106" s="100"/>
      <c r="AB106" s="100"/>
      <c r="AC106" s="100"/>
      <c r="AD106" s="100"/>
      <c r="AE106" s="100"/>
      <c r="AF106" s="100"/>
      <c r="AG106" s="163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00"/>
      <c r="AV106" s="100"/>
      <c r="AW106" s="100"/>
      <c r="AX106" s="100"/>
      <c r="AY106" s="100"/>
      <c r="AZ106" s="100"/>
      <c r="BA106" s="100"/>
      <c r="BB106" s="100"/>
      <c r="BC106" s="100"/>
      <c r="BD106" s="100"/>
      <c r="BE106" s="100"/>
      <c r="BF106" s="100"/>
      <c r="BG106" s="100"/>
      <c r="BH106" s="100"/>
      <c r="BI106" s="100"/>
      <c r="BJ106" s="100"/>
      <c r="BK106" s="100"/>
      <c r="BL106" s="100"/>
      <c r="BM106" s="100"/>
      <c r="BN106" s="100"/>
      <c r="BO106" s="100"/>
      <c r="BP106" s="100"/>
      <c r="BQ106" s="120"/>
      <c r="BR106" s="120"/>
      <c r="BS106" s="120"/>
      <c r="BT106" s="120"/>
      <c r="BU106" s="120"/>
      <c r="BV106" s="120"/>
      <c r="BW106" s="120"/>
      <c r="BX106" s="120"/>
      <c r="BY106" s="120"/>
      <c r="BZ106" s="120"/>
      <c r="CA106" s="120"/>
      <c r="CB106" s="120"/>
      <c r="CC106" s="120"/>
      <c r="CD106" s="120"/>
      <c r="CE106" s="120"/>
      <c r="CF106" s="100"/>
      <c r="CG106" s="100"/>
      <c r="CH106" s="100"/>
      <c r="CI106" s="100"/>
      <c r="CJ106" s="100"/>
      <c r="CK106" s="100"/>
      <c r="CL106" s="100"/>
      <c r="CM106" s="100"/>
      <c r="CN106" s="100"/>
      <c r="CO106" s="100"/>
      <c r="CP106" s="100"/>
      <c r="CQ106" s="100"/>
      <c r="CR106" s="100"/>
      <c r="CS106" s="100"/>
      <c r="CT106" s="100"/>
      <c r="CU106" s="100"/>
      <c r="CV106" s="100"/>
      <c r="CW106" s="100"/>
      <c r="CX106" s="100"/>
      <c r="CY106" s="100"/>
      <c r="CZ106" s="100"/>
      <c r="DA106" s="100"/>
      <c r="DB106" s="100"/>
      <c r="DC106" s="100"/>
      <c r="DD106" s="100"/>
      <c r="DE106" s="100"/>
      <c r="DF106" s="100"/>
      <c r="DG106" s="100"/>
      <c r="DH106" s="100"/>
      <c r="DI106" s="100"/>
      <c r="DJ106" s="100"/>
      <c r="DK106" s="100"/>
      <c r="DL106" s="100"/>
      <c r="DM106" s="100"/>
      <c r="DN106" s="100"/>
      <c r="DO106" s="100"/>
      <c r="DP106" s="100"/>
    </row>
    <row r="107" customFormat="false" ht="12.8" hidden="false" customHeight="false" outlineLevel="0" collapsed="false">
      <c r="A107" s="120"/>
      <c r="B107" s="120"/>
      <c r="C107" s="120"/>
      <c r="D107" s="120"/>
      <c r="E107" s="120"/>
      <c r="F107" s="120"/>
      <c r="G107" s="193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00"/>
      <c r="AA107" s="100"/>
      <c r="AB107" s="100"/>
      <c r="AC107" s="100"/>
      <c r="AD107" s="100"/>
      <c r="AE107" s="100"/>
      <c r="AF107" s="100"/>
      <c r="AG107" s="163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  <c r="AW107" s="100"/>
      <c r="AX107" s="100"/>
      <c r="AY107" s="100"/>
      <c r="AZ107" s="100"/>
      <c r="BA107" s="100"/>
      <c r="BB107" s="100"/>
      <c r="BC107" s="100"/>
      <c r="BD107" s="100"/>
      <c r="BE107" s="100"/>
      <c r="BF107" s="100"/>
      <c r="BG107" s="100"/>
      <c r="BH107" s="100"/>
      <c r="BI107" s="100"/>
      <c r="BJ107" s="100"/>
      <c r="BK107" s="100"/>
      <c r="BL107" s="100"/>
      <c r="BM107" s="100"/>
      <c r="BN107" s="100"/>
      <c r="BO107" s="100"/>
      <c r="BP107" s="100"/>
      <c r="BQ107" s="120"/>
      <c r="BR107" s="120"/>
      <c r="BS107" s="120"/>
      <c r="BT107" s="120"/>
      <c r="BU107" s="120"/>
      <c r="BV107" s="120"/>
      <c r="BW107" s="120"/>
      <c r="BX107" s="120"/>
      <c r="BY107" s="120"/>
      <c r="BZ107" s="120"/>
      <c r="CA107" s="120"/>
      <c r="CB107" s="120"/>
      <c r="CC107" s="120"/>
      <c r="CD107" s="120"/>
      <c r="CE107" s="120"/>
      <c r="CF107" s="100"/>
      <c r="CG107" s="100"/>
      <c r="CH107" s="100"/>
      <c r="CI107" s="100"/>
      <c r="CJ107" s="100"/>
      <c r="CK107" s="100"/>
      <c r="CL107" s="100"/>
      <c r="CM107" s="100"/>
      <c r="CN107" s="100"/>
      <c r="CO107" s="100"/>
      <c r="CP107" s="100"/>
      <c r="CQ107" s="100"/>
      <c r="CR107" s="100"/>
      <c r="CS107" s="100"/>
      <c r="CT107" s="100"/>
      <c r="CU107" s="100"/>
      <c r="CV107" s="100"/>
      <c r="CW107" s="100"/>
      <c r="CX107" s="100"/>
      <c r="CY107" s="100"/>
      <c r="CZ107" s="100"/>
      <c r="DA107" s="100"/>
      <c r="DB107" s="100"/>
      <c r="DC107" s="100"/>
      <c r="DD107" s="100"/>
      <c r="DE107" s="100"/>
      <c r="DF107" s="100"/>
      <c r="DG107" s="100"/>
      <c r="DH107" s="100"/>
      <c r="DI107" s="100"/>
      <c r="DJ107" s="100"/>
      <c r="DK107" s="100"/>
      <c r="DL107" s="100"/>
      <c r="DM107" s="100"/>
      <c r="DN107" s="100"/>
      <c r="DO107" s="100"/>
      <c r="DP107" s="100"/>
    </row>
    <row r="108" customFormat="false" ht="12.8" hidden="false" customHeight="false" outlineLevel="0" collapsed="false">
      <c r="A108" s="120"/>
      <c r="B108" s="120"/>
      <c r="C108" s="120"/>
      <c r="D108" s="120"/>
      <c r="E108" s="120"/>
      <c r="F108" s="120"/>
      <c r="G108" s="193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00"/>
      <c r="AA108" s="100"/>
      <c r="AB108" s="100"/>
      <c r="AC108" s="100"/>
      <c r="AD108" s="100"/>
      <c r="AE108" s="100"/>
      <c r="AF108" s="100"/>
      <c r="AG108" s="163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  <c r="AS108" s="100"/>
      <c r="AT108" s="100"/>
      <c r="AU108" s="100"/>
      <c r="AV108" s="100"/>
      <c r="AW108" s="100"/>
      <c r="AX108" s="100"/>
      <c r="AY108" s="100"/>
      <c r="AZ108" s="100"/>
      <c r="BA108" s="100"/>
      <c r="BB108" s="100"/>
      <c r="BC108" s="100"/>
      <c r="BD108" s="100"/>
      <c r="BE108" s="100"/>
      <c r="BF108" s="100"/>
      <c r="BG108" s="100"/>
      <c r="BH108" s="100"/>
      <c r="BI108" s="100"/>
      <c r="BJ108" s="100"/>
      <c r="BK108" s="100"/>
      <c r="BL108" s="100"/>
      <c r="BM108" s="100"/>
      <c r="BN108" s="100"/>
      <c r="BO108" s="100"/>
      <c r="BP108" s="100"/>
      <c r="BQ108" s="120"/>
      <c r="BR108" s="120"/>
      <c r="BS108" s="120"/>
      <c r="BT108" s="120"/>
      <c r="BU108" s="120"/>
      <c r="BV108" s="120"/>
      <c r="BW108" s="120"/>
      <c r="BX108" s="120"/>
      <c r="BY108" s="120"/>
      <c r="BZ108" s="120"/>
      <c r="CA108" s="120"/>
      <c r="CB108" s="120"/>
      <c r="CC108" s="120"/>
      <c r="CD108" s="120"/>
      <c r="CE108" s="120"/>
      <c r="CF108" s="100"/>
      <c r="CG108" s="100"/>
      <c r="CH108" s="100"/>
      <c r="CI108" s="100"/>
      <c r="CJ108" s="100"/>
      <c r="CK108" s="100"/>
      <c r="CL108" s="100"/>
      <c r="CM108" s="100"/>
      <c r="CN108" s="100"/>
      <c r="CO108" s="100"/>
      <c r="CP108" s="100"/>
      <c r="CQ108" s="100"/>
      <c r="CR108" s="100"/>
      <c r="CS108" s="100"/>
      <c r="CT108" s="100"/>
      <c r="CU108" s="100"/>
      <c r="CV108" s="100"/>
      <c r="CW108" s="100"/>
      <c r="CX108" s="100"/>
      <c r="CY108" s="100"/>
      <c r="CZ108" s="100"/>
      <c r="DA108" s="100"/>
      <c r="DB108" s="100"/>
      <c r="DC108" s="100"/>
      <c r="DD108" s="100"/>
      <c r="DE108" s="100"/>
      <c r="DF108" s="100"/>
      <c r="DG108" s="100"/>
      <c r="DH108" s="100"/>
      <c r="DI108" s="100"/>
      <c r="DJ108" s="100"/>
      <c r="DK108" s="100"/>
      <c r="DL108" s="100"/>
      <c r="DM108" s="100"/>
      <c r="DN108" s="100"/>
      <c r="DO108" s="100"/>
      <c r="DP108" s="100"/>
    </row>
    <row r="109" customFormat="false" ht="12.8" hidden="false" customHeight="false" outlineLevel="0" collapsed="false">
      <c r="A109" s="120"/>
      <c r="B109" s="120"/>
      <c r="C109" s="120"/>
      <c r="D109" s="120"/>
      <c r="E109" s="120"/>
      <c r="F109" s="120"/>
      <c r="G109" s="193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00"/>
      <c r="AA109" s="100"/>
      <c r="AB109" s="100"/>
      <c r="AC109" s="100"/>
      <c r="AD109" s="100"/>
      <c r="AE109" s="100"/>
      <c r="AF109" s="100"/>
      <c r="AG109" s="163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0"/>
      <c r="AV109" s="100"/>
      <c r="AW109" s="100"/>
      <c r="AX109" s="100"/>
      <c r="AY109" s="100"/>
      <c r="AZ109" s="100"/>
      <c r="BA109" s="100"/>
      <c r="BB109" s="100"/>
      <c r="BC109" s="100"/>
      <c r="BD109" s="100"/>
      <c r="BE109" s="100"/>
      <c r="BF109" s="100"/>
      <c r="BG109" s="100"/>
      <c r="BH109" s="100"/>
      <c r="BI109" s="100"/>
      <c r="BJ109" s="100"/>
      <c r="BK109" s="100"/>
      <c r="BL109" s="100"/>
      <c r="BM109" s="100"/>
      <c r="BN109" s="100"/>
      <c r="BO109" s="100"/>
      <c r="BP109" s="100"/>
      <c r="BQ109" s="120"/>
      <c r="BR109" s="120"/>
      <c r="BS109" s="120"/>
      <c r="BT109" s="120"/>
      <c r="BU109" s="120"/>
      <c r="BV109" s="120"/>
      <c r="BW109" s="120"/>
      <c r="BX109" s="120"/>
      <c r="BY109" s="120"/>
      <c r="BZ109" s="120"/>
      <c r="CA109" s="120"/>
      <c r="CB109" s="120"/>
      <c r="CC109" s="120"/>
      <c r="CD109" s="120"/>
      <c r="CE109" s="120"/>
      <c r="CF109" s="100"/>
      <c r="CG109" s="100"/>
      <c r="CH109" s="100"/>
      <c r="CI109" s="100"/>
      <c r="CJ109" s="100"/>
      <c r="CK109" s="100"/>
      <c r="CL109" s="100"/>
      <c r="CM109" s="100"/>
      <c r="CN109" s="100"/>
      <c r="CO109" s="100"/>
      <c r="CP109" s="100"/>
      <c r="CQ109" s="100"/>
      <c r="CR109" s="100"/>
      <c r="CS109" s="100"/>
      <c r="CT109" s="100"/>
      <c r="CU109" s="100"/>
      <c r="CV109" s="100"/>
      <c r="CW109" s="100"/>
      <c r="CX109" s="100"/>
      <c r="CY109" s="100"/>
      <c r="CZ109" s="100"/>
      <c r="DA109" s="100"/>
      <c r="DB109" s="100"/>
      <c r="DC109" s="100"/>
      <c r="DD109" s="100"/>
      <c r="DE109" s="100"/>
      <c r="DF109" s="100"/>
      <c r="DG109" s="100"/>
      <c r="DH109" s="100"/>
      <c r="DI109" s="100"/>
      <c r="DJ109" s="100"/>
      <c r="DK109" s="100"/>
      <c r="DL109" s="100"/>
      <c r="DM109" s="100"/>
      <c r="DN109" s="100"/>
      <c r="DO109" s="100"/>
      <c r="DP109" s="100"/>
    </row>
    <row r="110" customFormat="false" ht="12.8" hidden="false" customHeight="false" outlineLevel="0" collapsed="false">
      <c r="A110" s="120"/>
      <c r="B110" s="120"/>
      <c r="C110" s="120"/>
      <c r="D110" s="120"/>
      <c r="E110" s="120"/>
      <c r="F110" s="120"/>
      <c r="G110" s="193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00"/>
      <c r="AA110" s="100"/>
      <c r="AB110" s="100"/>
      <c r="AC110" s="100"/>
      <c r="AD110" s="100"/>
      <c r="AE110" s="100"/>
      <c r="AF110" s="100"/>
      <c r="AG110" s="163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  <c r="AT110" s="100"/>
      <c r="AU110" s="100"/>
      <c r="AV110" s="100"/>
      <c r="AW110" s="100"/>
      <c r="AX110" s="100"/>
      <c r="AY110" s="100"/>
      <c r="AZ110" s="100"/>
      <c r="BA110" s="100"/>
      <c r="BB110" s="100"/>
      <c r="BC110" s="100"/>
      <c r="BD110" s="100"/>
      <c r="BE110" s="100"/>
      <c r="BF110" s="100"/>
      <c r="BG110" s="100"/>
      <c r="BH110" s="100"/>
      <c r="BI110" s="100"/>
      <c r="BJ110" s="100"/>
      <c r="BK110" s="100"/>
      <c r="BL110" s="100"/>
      <c r="BM110" s="100"/>
      <c r="BN110" s="100"/>
      <c r="BO110" s="100"/>
      <c r="BP110" s="100"/>
      <c r="BQ110" s="120"/>
      <c r="BR110" s="120"/>
      <c r="BS110" s="120"/>
      <c r="BT110" s="120"/>
      <c r="BU110" s="120"/>
      <c r="BV110" s="120"/>
      <c r="BW110" s="120"/>
      <c r="BX110" s="120"/>
      <c r="BY110" s="120"/>
      <c r="BZ110" s="120"/>
      <c r="CA110" s="120"/>
      <c r="CB110" s="120"/>
      <c r="CC110" s="120"/>
      <c r="CD110" s="120"/>
      <c r="CE110" s="120"/>
      <c r="CF110" s="100"/>
      <c r="CG110" s="100"/>
      <c r="CH110" s="100"/>
      <c r="CI110" s="100"/>
      <c r="CJ110" s="100"/>
      <c r="CK110" s="100"/>
      <c r="CL110" s="100"/>
      <c r="CM110" s="100"/>
      <c r="CN110" s="100"/>
      <c r="CO110" s="100"/>
      <c r="CP110" s="100"/>
      <c r="CQ110" s="100"/>
      <c r="CR110" s="100"/>
      <c r="CS110" s="100"/>
      <c r="CT110" s="100"/>
      <c r="CU110" s="100"/>
      <c r="CV110" s="100"/>
      <c r="CW110" s="100"/>
      <c r="CX110" s="100"/>
      <c r="CY110" s="100"/>
      <c r="CZ110" s="100"/>
      <c r="DA110" s="100"/>
      <c r="DB110" s="100"/>
      <c r="DC110" s="100"/>
      <c r="DD110" s="100"/>
      <c r="DE110" s="100"/>
      <c r="DF110" s="100"/>
      <c r="DG110" s="100"/>
      <c r="DH110" s="100"/>
      <c r="DI110" s="100"/>
      <c r="DJ110" s="100"/>
      <c r="DK110" s="100"/>
      <c r="DL110" s="100"/>
      <c r="DM110" s="100"/>
      <c r="DN110" s="100"/>
      <c r="DO110" s="100"/>
      <c r="DP110" s="100"/>
    </row>
    <row r="111" customFormat="false" ht="12.8" hidden="false" customHeight="false" outlineLevel="0" collapsed="false">
      <c r="A111" s="120"/>
      <c r="B111" s="120"/>
      <c r="C111" s="120"/>
      <c r="D111" s="120"/>
      <c r="E111" s="120"/>
      <c r="F111" s="120"/>
      <c r="G111" s="193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00"/>
      <c r="AA111" s="100"/>
      <c r="AB111" s="100"/>
      <c r="AC111" s="100"/>
      <c r="AD111" s="100"/>
      <c r="AE111" s="100"/>
      <c r="AF111" s="100"/>
      <c r="AG111" s="163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  <c r="AT111" s="100"/>
      <c r="AU111" s="100"/>
      <c r="AV111" s="100"/>
      <c r="AW111" s="100"/>
      <c r="AX111" s="100"/>
      <c r="AY111" s="100"/>
      <c r="AZ111" s="100"/>
      <c r="BA111" s="100"/>
      <c r="BB111" s="100"/>
      <c r="BC111" s="100"/>
      <c r="BD111" s="100"/>
      <c r="BE111" s="100"/>
      <c r="BF111" s="100"/>
      <c r="BG111" s="100"/>
      <c r="BH111" s="100"/>
      <c r="BI111" s="100"/>
      <c r="BJ111" s="100"/>
      <c r="BK111" s="100"/>
      <c r="BL111" s="100"/>
      <c r="BM111" s="100"/>
      <c r="BN111" s="100"/>
      <c r="BO111" s="100"/>
      <c r="BP111" s="100"/>
      <c r="BQ111" s="120"/>
      <c r="BR111" s="120"/>
      <c r="BS111" s="120"/>
      <c r="BT111" s="120"/>
      <c r="BU111" s="120"/>
      <c r="BV111" s="120"/>
      <c r="BW111" s="120"/>
      <c r="BX111" s="120"/>
      <c r="BY111" s="120"/>
      <c r="BZ111" s="120"/>
      <c r="CA111" s="120"/>
      <c r="CB111" s="120"/>
      <c r="CC111" s="120"/>
      <c r="CD111" s="120"/>
      <c r="CE111" s="120"/>
      <c r="CF111" s="100"/>
      <c r="CG111" s="100"/>
      <c r="CH111" s="100"/>
      <c r="CI111" s="100"/>
      <c r="CJ111" s="100"/>
      <c r="CK111" s="100"/>
      <c r="CL111" s="100"/>
      <c r="CM111" s="100"/>
      <c r="CN111" s="100"/>
      <c r="CO111" s="100"/>
      <c r="CP111" s="100"/>
      <c r="CQ111" s="100"/>
      <c r="CR111" s="100"/>
      <c r="CS111" s="100"/>
      <c r="CT111" s="100"/>
      <c r="CU111" s="100"/>
      <c r="CV111" s="100"/>
      <c r="CW111" s="100"/>
      <c r="CX111" s="100"/>
      <c r="CY111" s="100"/>
      <c r="CZ111" s="100"/>
      <c r="DA111" s="100"/>
      <c r="DB111" s="100"/>
      <c r="DC111" s="100"/>
      <c r="DD111" s="100"/>
      <c r="DE111" s="100"/>
      <c r="DF111" s="100"/>
      <c r="DG111" s="100"/>
      <c r="DH111" s="100"/>
      <c r="DI111" s="100"/>
      <c r="DJ111" s="100"/>
      <c r="DK111" s="100"/>
      <c r="DL111" s="100"/>
      <c r="DM111" s="100"/>
      <c r="DN111" s="100"/>
      <c r="DO111" s="100"/>
      <c r="DP111" s="100"/>
    </row>
    <row r="112" customFormat="false" ht="12.8" hidden="false" customHeight="false" outlineLevel="0" collapsed="false">
      <c r="A112" s="120"/>
      <c r="B112" s="120"/>
      <c r="C112" s="120"/>
      <c r="D112" s="120"/>
      <c r="E112" s="120"/>
      <c r="F112" s="120"/>
      <c r="G112" s="193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00"/>
      <c r="AA112" s="100"/>
      <c r="AB112" s="100"/>
      <c r="AC112" s="100"/>
      <c r="AD112" s="100"/>
      <c r="AE112" s="100"/>
      <c r="AF112" s="100"/>
      <c r="AG112" s="163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  <c r="AT112" s="100"/>
      <c r="AU112" s="100"/>
      <c r="AV112" s="100"/>
      <c r="AW112" s="100"/>
      <c r="AX112" s="100"/>
      <c r="AY112" s="100"/>
      <c r="AZ112" s="100"/>
      <c r="BA112" s="100"/>
      <c r="BB112" s="100"/>
      <c r="BC112" s="100"/>
      <c r="BD112" s="100"/>
      <c r="BE112" s="100"/>
      <c r="BF112" s="100"/>
      <c r="BG112" s="100"/>
      <c r="BH112" s="100"/>
      <c r="BI112" s="100"/>
      <c r="BJ112" s="100"/>
      <c r="BK112" s="100"/>
      <c r="BL112" s="100"/>
      <c r="BM112" s="100"/>
      <c r="BN112" s="100"/>
      <c r="BO112" s="100"/>
      <c r="BP112" s="100"/>
      <c r="BQ112" s="120"/>
      <c r="BR112" s="120"/>
      <c r="BS112" s="120"/>
      <c r="BT112" s="120"/>
      <c r="BU112" s="120"/>
      <c r="BV112" s="120"/>
      <c r="BW112" s="120"/>
      <c r="BX112" s="120"/>
      <c r="BY112" s="120"/>
      <c r="BZ112" s="120"/>
      <c r="CA112" s="120"/>
      <c r="CB112" s="120"/>
      <c r="CC112" s="120"/>
      <c r="CD112" s="120"/>
      <c r="CE112" s="120"/>
      <c r="CF112" s="100"/>
      <c r="CG112" s="100"/>
      <c r="CH112" s="100"/>
      <c r="CI112" s="100"/>
      <c r="CJ112" s="100"/>
      <c r="CK112" s="100"/>
      <c r="CL112" s="100"/>
      <c r="CM112" s="100"/>
      <c r="CN112" s="100"/>
      <c r="CO112" s="100"/>
      <c r="CP112" s="100"/>
      <c r="CQ112" s="100"/>
      <c r="CR112" s="100"/>
      <c r="CS112" s="100"/>
      <c r="CT112" s="100"/>
      <c r="CU112" s="100"/>
      <c r="CV112" s="100"/>
      <c r="CW112" s="100"/>
      <c r="CX112" s="100"/>
      <c r="CY112" s="100"/>
      <c r="CZ112" s="100"/>
      <c r="DA112" s="100"/>
      <c r="DB112" s="100"/>
      <c r="DC112" s="100"/>
      <c r="DD112" s="100"/>
      <c r="DE112" s="100"/>
      <c r="DF112" s="100"/>
      <c r="DG112" s="100"/>
      <c r="DH112" s="100"/>
      <c r="DI112" s="100"/>
      <c r="DJ112" s="100"/>
      <c r="DK112" s="100"/>
      <c r="DL112" s="100"/>
      <c r="DM112" s="100"/>
      <c r="DN112" s="100"/>
      <c r="DO112" s="100"/>
      <c r="DP112" s="100"/>
    </row>
    <row r="113" customFormat="false" ht="12.8" hidden="false" customHeight="false" outlineLevel="0" collapsed="false">
      <c r="A113" s="120"/>
      <c r="B113" s="120"/>
      <c r="C113" s="120"/>
      <c r="D113" s="120"/>
      <c r="E113" s="120"/>
      <c r="F113" s="120"/>
      <c r="G113" s="193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00"/>
      <c r="AA113" s="100"/>
      <c r="AB113" s="100"/>
      <c r="AC113" s="100"/>
      <c r="AD113" s="100"/>
      <c r="AE113" s="100"/>
      <c r="AF113" s="100"/>
      <c r="AG113" s="163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00"/>
      <c r="AV113" s="100"/>
      <c r="AW113" s="100"/>
      <c r="AX113" s="100"/>
      <c r="AY113" s="100"/>
      <c r="AZ113" s="100"/>
      <c r="BA113" s="100"/>
      <c r="BB113" s="100"/>
      <c r="BC113" s="100"/>
      <c r="BD113" s="100"/>
      <c r="BE113" s="100"/>
      <c r="BF113" s="100"/>
      <c r="BG113" s="100"/>
      <c r="BH113" s="100"/>
      <c r="BI113" s="100"/>
      <c r="BJ113" s="100"/>
      <c r="BK113" s="100"/>
      <c r="BL113" s="100"/>
      <c r="BM113" s="100"/>
      <c r="BN113" s="100"/>
      <c r="BO113" s="100"/>
      <c r="BP113" s="10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0"/>
      <c r="CD113" s="120"/>
      <c r="CE113" s="120"/>
      <c r="CF113" s="100"/>
      <c r="CG113" s="100"/>
      <c r="CH113" s="100"/>
      <c r="CI113" s="100"/>
      <c r="CJ113" s="100"/>
      <c r="CK113" s="100"/>
      <c r="CL113" s="100"/>
      <c r="CM113" s="100"/>
      <c r="CN113" s="100"/>
      <c r="CO113" s="100"/>
      <c r="CP113" s="100"/>
      <c r="CQ113" s="100"/>
      <c r="CR113" s="100"/>
      <c r="CS113" s="100"/>
      <c r="CT113" s="100"/>
      <c r="CU113" s="100"/>
      <c r="CV113" s="100"/>
      <c r="CW113" s="100"/>
      <c r="CX113" s="100"/>
      <c r="CY113" s="100"/>
      <c r="CZ113" s="100"/>
      <c r="DA113" s="100"/>
      <c r="DB113" s="100"/>
      <c r="DC113" s="100"/>
      <c r="DD113" s="100"/>
      <c r="DE113" s="100"/>
      <c r="DF113" s="100"/>
      <c r="DG113" s="100"/>
      <c r="DH113" s="100"/>
      <c r="DI113" s="100"/>
      <c r="DJ113" s="100"/>
      <c r="DK113" s="100"/>
      <c r="DL113" s="100"/>
      <c r="DM113" s="100"/>
      <c r="DN113" s="100"/>
      <c r="DO113" s="100"/>
      <c r="DP113" s="100"/>
    </row>
    <row r="114" customFormat="false" ht="12.8" hidden="false" customHeight="false" outlineLevel="0" collapsed="false">
      <c r="A114" s="120"/>
      <c r="B114" s="120"/>
      <c r="C114" s="120"/>
      <c r="D114" s="120"/>
      <c r="E114" s="120"/>
      <c r="F114" s="120"/>
      <c r="G114" s="193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00"/>
      <c r="AA114" s="100"/>
      <c r="AB114" s="100"/>
      <c r="AC114" s="100"/>
      <c r="AD114" s="100"/>
      <c r="AE114" s="100"/>
      <c r="AF114" s="100"/>
      <c r="AG114" s="163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0"/>
      <c r="AV114" s="100"/>
      <c r="AW114" s="100"/>
      <c r="AX114" s="100"/>
      <c r="AY114" s="100"/>
      <c r="AZ114" s="100"/>
      <c r="BA114" s="100"/>
      <c r="BB114" s="100"/>
      <c r="BC114" s="100"/>
      <c r="BD114" s="100"/>
      <c r="BE114" s="100"/>
      <c r="BF114" s="100"/>
      <c r="BG114" s="100"/>
      <c r="BH114" s="100"/>
      <c r="BI114" s="100"/>
      <c r="BJ114" s="100"/>
      <c r="BK114" s="100"/>
      <c r="BL114" s="100"/>
      <c r="BM114" s="100"/>
      <c r="BN114" s="100"/>
      <c r="BO114" s="100"/>
      <c r="BP114" s="100"/>
      <c r="BQ114" s="120"/>
      <c r="BR114" s="120"/>
      <c r="BS114" s="120"/>
      <c r="BT114" s="120"/>
      <c r="BU114" s="120"/>
      <c r="BV114" s="120"/>
      <c r="BW114" s="120"/>
      <c r="BX114" s="120"/>
      <c r="BY114" s="120"/>
      <c r="BZ114" s="120"/>
      <c r="CA114" s="120"/>
      <c r="CB114" s="120"/>
      <c r="CC114" s="120"/>
      <c r="CD114" s="120"/>
      <c r="CE114" s="120"/>
      <c r="CF114" s="100"/>
      <c r="CG114" s="100"/>
      <c r="CH114" s="100"/>
      <c r="CI114" s="100"/>
      <c r="CJ114" s="100"/>
      <c r="CK114" s="100"/>
      <c r="CL114" s="100"/>
      <c r="CM114" s="100"/>
      <c r="CN114" s="100"/>
      <c r="CO114" s="100"/>
      <c r="CP114" s="100"/>
      <c r="CQ114" s="100"/>
      <c r="CR114" s="100"/>
      <c r="CS114" s="100"/>
      <c r="CT114" s="100"/>
      <c r="CU114" s="100"/>
      <c r="CV114" s="100"/>
      <c r="CW114" s="100"/>
      <c r="CX114" s="100"/>
      <c r="CY114" s="100"/>
      <c r="CZ114" s="100"/>
      <c r="DA114" s="100"/>
      <c r="DB114" s="100"/>
      <c r="DC114" s="100"/>
      <c r="DD114" s="100"/>
      <c r="DE114" s="100"/>
      <c r="DF114" s="100"/>
      <c r="DG114" s="100"/>
      <c r="DH114" s="100"/>
      <c r="DI114" s="100"/>
      <c r="DJ114" s="100"/>
      <c r="DK114" s="100"/>
      <c r="DL114" s="100"/>
      <c r="DM114" s="100"/>
      <c r="DN114" s="100"/>
      <c r="DO114" s="100"/>
      <c r="DP114" s="100"/>
    </row>
    <row r="115" customFormat="false" ht="12.8" hidden="false" customHeight="false" outlineLevel="0" collapsed="false">
      <c r="A115" s="120"/>
      <c r="B115" s="120"/>
      <c r="C115" s="120"/>
      <c r="D115" s="120"/>
      <c r="E115" s="120"/>
      <c r="F115" s="120"/>
      <c r="G115" s="193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00"/>
      <c r="AA115" s="100"/>
      <c r="AB115" s="100"/>
      <c r="AC115" s="100"/>
      <c r="AD115" s="100"/>
      <c r="AE115" s="100"/>
      <c r="AF115" s="100"/>
      <c r="AG115" s="163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0"/>
      <c r="BA115" s="100"/>
      <c r="BB115" s="100"/>
      <c r="BC115" s="100"/>
      <c r="BD115" s="100"/>
      <c r="BE115" s="100"/>
      <c r="BF115" s="100"/>
      <c r="BG115" s="100"/>
      <c r="BH115" s="100"/>
      <c r="BI115" s="100"/>
      <c r="BJ115" s="100"/>
      <c r="BK115" s="100"/>
      <c r="BL115" s="100"/>
      <c r="BM115" s="100"/>
      <c r="BN115" s="100"/>
      <c r="BO115" s="100"/>
      <c r="BP115" s="100"/>
      <c r="BQ115" s="120"/>
      <c r="BR115" s="120"/>
      <c r="BS115" s="120"/>
      <c r="BT115" s="120"/>
      <c r="BU115" s="120"/>
      <c r="BV115" s="120"/>
      <c r="BW115" s="120"/>
      <c r="BX115" s="120"/>
      <c r="BY115" s="120"/>
      <c r="BZ115" s="120"/>
      <c r="CA115" s="120"/>
      <c r="CB115" s="120"/>
      <c r="CC115" s="120"/>
      <c r="CD115" s="120"/>
      <c r="CE115" s="120"/>
      <c r="CF115" s="100"/>
      <c r="CG115" s="100"/>
      <c r="CH115" s="100"/>
      <c r="CI115" s="100"/>
      <c r="CJ115" s="100"/>
      <c r="CK115" s="100"/>
      <c r="CL115" s="100"/>
      <c r="CM115" s="100"/>
      <c r="CN115" s="100"/>
      <c r="CO115" s="100"/>
      <c r="CP115" s="100"/>
      <c r="CQ115" s="100"/>
      <c r="CR115" s="100"/>
      <c r="CS115" s="100"/>
      <c r="CT115" s="100"/>
      <c r="CU115" s="100"/>
      <c r="CV115" s="100"/>
      <c r="CW115" s="100"/>
      <c r="CX115" s="100"/>
      <c r="CY115" s="100"/>
      <c r="CZ115" s="100"/>
      <c r="DA115" s="100"/>
      <c r="DB115" s="100"/>
      <c r="DC115" s="100"/>
      <c r="DD115" s="100"/>
      <c r="DE115" s="100"/>
      <c r="DF115" s="100"/>
      <c r="DG115" s="100"/>
      <c r="DH115" s="100"/>
      <c r="DI115" s="100"/>
      <c r="DJ115" s="100"/>
      <c r="DK115" s="100"/>
      <c r="DL115" s="100"/>
      <c r="DM115" s="100"/>
      <c r="DN115" s="100"/>
      <c r="DO115" s="100"/>
      <c r="DP115" s="100"/>
    </row>
    <row r="116" customFormat="false" ht="12.8" hidden="false" customHeight="false" outlineLevel="0" collapsed="false">
      <c r="A116" s="120"/>
      <c r="B116" s="120"/>
      <c r="C116" s="120"/>
      <c r="D116" s="120"/>
      <c r="E116" s="120"/>
      <c r="F116" s="120"/>
      <c r="G116" s="193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00"/>
      <c r="AA116" s="100"/>
      <c r="AB116" s="100"/>
      <c r="AC116" s="100"/>
      <c r="AD116" s="100"/>
      <c r="AE116" s="100"/>
      <c r="AF116" s="100"/>
      <c r="AG116" s="163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  <c r="AW116" s="100"/>
      <c r="AX116" s="100"/>
      <c r="AY116" s="100"/>
      <c r="AZ116" s="100"/>
      <c r="BA116" s="100"/>
      <c r="BB116" s="100"/>
      <c r="BC116" s="100"/>
      <c r="BD116" s="100"/>
      <c r="BE116" s="100"/>
      <c r="BF116" s="100"/>
      <c r="BG116" s="100"/>
      <c r="BH116" s="100"/>
      <c r="BI116" s="100"/>
      <c r="BJ116" s="100"/>
      <c r="BK116" s="100"/>
      <c r="BL116" s="100"/>
      <c r="BM116" s="100"/>
      <c r="BN116" s="100"/>
      <c r="BO116" s="100"/>
      <c r="BP116" s="100"/>
      <c r="BQ116" s="120"/>
      <c r="BR116" s="120"/>
      <c r="BS116" s="120"/>
      <c r="BT116" s="120"/>
      <c r="BU116" s="120"/>
      <c r="BV116" s="120"/>
      <c r="BW116" s="120"/>
      <c r="BX116" s="120"/>
      <c r="BY116" s="120"/>
      <c r="BZ116" s="120"/>
      <c r="CA116" s="120"/>
      <c r="CB116" s="120"/>
      <c r="CC116" s="120"/>
      <c r="CD116" s="120"/>
      <c r="CE116" s="120"/>
      <c r="CF116" s="100"/>
      <c r="CG116" s="100"/>
      <c r="CH116" s="100"/>
      <c r="CI116" s="100"/>
      <c r="CJ116" s="100"/>
      <c r="CK116" s="100"/>
      <c r="CL116" s="100"/>
      <c r="CM116" s="100"/>
      <c r="CN116" s="100"/>
      <c r="CO116" s="100"/>
      <c r="CP116" s="100"/>
      <c r="CQ116" s="100"/>
      <c r="CR116" s="100"/>
      <c r="CS116" s="100"/>
      <c r="CT116" s="100"/>
      <c r="CU116" s="100"/>
      <c r="CV116" s="100"/>
      <c r="CW116" s="100"/>
      <c r="CX116" s="100"/>
      <c r="CY116" s="100"/>
      <c r="CZ116" s="100"/>
      <c r="DA116" s="100"/>
      <c r="DB116" s="100"/>
      <c r="DC116" s="100"/>
      <c r="DD116" s="100"/>
      <c r="DE116" s="100"/>
      <c r="DF116" s="100"/>
      <c r="DG116" s="100"/>
      <c r="DH116" s="100"/>
      <c r="DI116" s="100"/>
      <c r="DJ116" s="100"/>
      <c r="DK116" s="100"/>
      <c r="DL116" s="100"/>
      <c r="DM116" s="100"/>
      <c r="DN116" s="100"/>
      <c r="DO116" s="100"/>
      <c r="DP116" s="100"/>
    </row>
    <row r="117" customFormat="false" ht="12.8" hidden="false" customHeight="false" outlineLevel="0" collapsed="false">
      <c r="A117" s="120"/>
      <c r="B117" s="120"/>
      <c r="C117" s="120"/>
      <c r="D117" s="120"/>
      <c r="E117" s="120"/>
      <c r="F117" s="120"/>
      <c r="G117" s="193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00"/>
      <c r="AA117" s="100"/>
      <c r="AB117" s="100"/>
      <c r="AC117" s="100"/>
      <c r="AD117" s="100"/>
      <c r="AE117" s="100"/>
      <c r="AF117" s="100"/>
      <c r="AG117" s="163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0"/>
      <c r="AV117" s="100"/>
      <c r="AW117" s="100"/>
      <c r="AX117" s="100"/>
      <c r="AY117" s="100"/>
      <c r="AZ117" s="100"/>
      <c r="BA117" s="100"/>
      <c r="BB117" s="100"/>
      <c r="BC117" s="100"/>
      <c r="BD117" s="100"/>
      <c r="BE117" s="100"/>
      <c r="BF117" s="100"/>
      <c r="BG117" s="100"/>
      <c r="BH117" s="100"/>
      <c r="BI117" s="100"/>
      <c r="BJ117" s="100"/>
      <c r="BK117" s="100"/>
      <c r="BL117" s="100"/>
      <c r="BM117" s="100"/>
      <c r="BN117" s="100"/>
      <c r="BO117" s="100"/>
      <c r="BP117" s="100"/>
      <c r="BQ117" s="120"/>
      <c r="BR117" s="120"/>
      <c r="BS117" s="120"/>
      <c r="BT117" s="120"/>
      <c r="BU117" s="120"/>
      <c r="BV117" s="120"/>
      <c r="BW117" s="120"/>
      <c r="BX117" s="120"/>
      <c r="BY117" s="120"/>
      <c r="BZ117" s="120"/>
      <c r="CA117" s="120"/>
      <c r="CB117" s="120"/>
      <c r="CC117" s="120"/>
      <c r="CD117" s="120"/>
      <c r="CE117" s="120"/>
      <c r="CF117" s="100"/>
      <c r="CG117" s="100"/>
      <c r="CH117" s="100"/>
      <c r="CI117" s="100"/>
      <c r="CJ117" s="100"/>
      <c r="CK117" s="100"/>
      <c r="CL117" s="100"/>
      <c r="CM117" s="100"/>
      <c r="CN117" s="100"/>
      <c r="CO117" s="100"/>
      <c r="CP117" s="100"/>
      <c r="CQ117" s="100"/>
      <c r="CR117" s="100"/>
      <c r="CS117" s="100"/>
      <c r="CT117" s="100"/>
      <c r="CU117" s="100"/>
      <c r="CV117" s="100"/>
      <c r="CW117" s="100"/>
      <c r="CX117" s="100"/>
      <c r="CY117" s="100"/>
      <c r="CZ117" s="100"/>
      <c r="DA117" s="100"/>
      <c r="DB117" s="100"/>
      <c r="DC117" s="100"/>
      <c r="DD117" s="100"/>
      <c r="DE117" s="100"/>
      <c r="DF117" s="100"/>
      <c r="DG117" s="100"/>
      <c r="DH117" s="100"/>
      <c r="DI117" s="100"/>
      <c r="DJ117" s="100"/>
      <c r="DK117" s="100"/>
      <c r="DL117" s="100"/>
      <c r="DM117" s="100"/>
      <c r="DN117" s="100"/>
      <c r="DO117" s="100"/>
      <c r="DP117" s="100"/>
    </row>
    <row r="118" customFormat="false" ht="12.8" hidden="false" customHeight="false" outlineLevel="0" collapsed="false">
      <c r="A118" s="120"/>
      <c r="B118" s="120"/>
      <c r="C118" s="120"/>
      <c r="D118" s="120"/>
      <c r="E118" s="120"/>
      <c r="F118" s="120"/>
      <c r="G118" s="193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00"/>
      <c r="AA118" s="100"/>
      <c r="AB118" s="100"/>
      <c r="AC118" s="100"/>
      <c r="AD118" s="100"/>
      <c r="AE118" s="100"/>
      <c r="AF118" s="100"/>
      <c r="AG118" s="163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0"/>
      <c r="AV118" s="100"/>
      <c r="AW118" s="100"/>
      <c r="AX118" s="100"/>
      <c r="AY118" s="100"/>
      <c r="AZ118" s="100"/>
      <c r="BA118" s="100"/>
      <c r="BB118" s="100"/>
      <c r="BC118" s="100"/>
      <c r="BD118" s="100"/>
      <c r="BE118" s="100"/>
      <c r="BF118" s="100"/>
      <c r="BG118" s="100"/>
      <c r="BH118" s="100"/>
      <c r="BI118" s="100"/>
      <c r="BJ118" s="100"/>
      <c r="BK118" s="100"/>
      <c r="BL118" s="100"/>
      <c r="BM118" s="100"/>
      <c r="BN118" s="100"/>
      <c r="BO118" s="100"/>
      <c r="BP118" s="100"/>
      <c r="BQ118" s="120"/>
      <c r="BR118" s="120"/>
      <c r="BS118" s="120"/>
      <c r="BT118" s="120"/>
      <c r="BU118" s="120"/>
      <c r="BV118" s="120"/>
      <c r="BW118" s="120"/>
      <c r="BX118" s="120"/>
      <c r="BY118" s="120"/>
      <c r="BZ118" s="120"/>
      <c r="CA118" s="120"/>
      <c r="CB118" s="120"/>
      <c r="CC118" s="120"/>
      <c r="CD118" s="120"/>
      <c r="CE118" s="120"/>
      <c r="CF118" s="100"/>
      <c r="CG118" s="100"/>
      <c r="CH118" s="100"/>
      <c r="CI118" s="100"/>
      <c r="CJ118" s="100"/>
      <c r="CK118" s="100"/>
      <c r="CL118" s="100"/>
      <c r="CM118" s="100"/>
      <c r="CN118" s="100"/>
      <c r="CO118" s="100"/>
      <c r="CP118" s="100"/>
      <c r="CQ118" s="100"/>
      <c r="CR118" s="100"/>
      <c r="CS118" s="100"/>
      <c r="CT118" s="100"/>
      <c r="CU118" s="100"/>
      <c r="CV118" s="100"/>
      <c r="CW118" s="100"/>
      <c r="CX118" s="100"/>
      <c r="CY118" s="100"/>
      <c r="CZ118" s="100"/>
      <c r="DA118" s="100"/>
      <c r="DB118" s="100"/>
      <c r="DC118" s="100"/>
      <c r="DD118" s="100"/>
      <c r="DE118" s="100"/>
      <c r="DF118" s="100"/>
      <c r="DG118" s="100"/>
      <c r="DH118" s="100"/>
      <c r="DI118" s="100"/>
      <c r="DJ118" s="100"/>
      <c r="DK118" s="100"/>
      <c r="DL118" s="100"/>
      <c r="DM118" s="100"/>
      <c r="DN118" s="100"/>
      <c r="DO118" s="100"/>
      <c r="DP118" s="100"/>
    </row>
    <row r="119" customFormat="false" ht="12.8" hidden="false" customHeight="false" outlineLevel="0" collapsed="false">
      <c r="A119" s="120"/>
      <c r="B119" s="120"/>
      <c r="C119" s="120"/>
      <c r="D119" s="120"/>
      <c r="E119" s="120"/>
      <c r="F119" s="120"/>
      <c r="G119" s="193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00"/>
      <c r="AA119" s="100"/>
      <c r="AB119" s="100"/>
      <c r="AC119" s="100"/>
      <c r="AD119" s="100"/>
      <c r="AE119" s="100"/>
      <c r="AF119" s="100"/>
      <c r="AG119" s="163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0"/>
      <c r="AV119" s="100"/>
      <c r="AW119" s="100"/>
      <c r="AX119" s="100"/>
      <c r="AY119" s="100"/>
      <c r="AZ119" s="100"/>
      <c r="BA119" s="100"/>
      <c r="BB119" s="100"/>
      <c r="BC119" s="100"/>
      <c r="BD119" s="100"/>
      <c r="BE119" s="100"/>
      <c r="BF119" s="100"/>
      <c r="BG119" s="100"/>
      <c r="BH119" s="100"/>
      <c r="BI119" s="100"/>
      <c r="BJ119" s="100"/>
      <c r="BK119" s="100"/>
      <c r="BL119" s="100"/>
      <c r="BM119" s="100"/>
      <c r="BN119" s="100"/>
      <c r="BO119" s="100"/>
      <c r="BP119" s="100"/>
      <c r="BQ119" s="120"/>
      <c r="BR119" s="120"/>
      <c r="BS119" s="120"/>
      <c r="BT119" s="120"/>
      <c r="BU119" s="120"/>
      <c r="BV119" s="120"/>
      <c r="BW119" s="120"/>
      <c r="BX119" s="120"/>
      <c r="BY119" s="120"/>
      <c r="BZ119" s="120"/>
      <c r="CA119" s="120"/>
      <c r="CB119" s="120"/>
      <c r="CC119" s="120"/>
      <c r="CD119" s="120"/>
      <c r="CE119" s="120"/>
      <c r="CF119" s="100"/>
      <c r="CG119" s="100"/>
      <c r="CH119" s="100"/>
      <c r="CI119" s="100"/>
      <c r="CJ119" s="100"/>
      <c r="CK119" s="100"/>
      <c r="CL119" s="100"/>
      <c r="CM119" s="100"/>
      <c r="CN119" s="100"/>
      <c r="CO119" s="100"/>
      <c r="CP119" s="100"/>
      <c r="CQ119" s="100"/>
      <c r="CR119" s="100"/>
      <c r="CS119" s="100"/>
      <c r="CT119" s="100"/>
      <c r="CU119" s="100"/>
      <c r="CV119" s="100"/>
      <c r="CW119" s="100"/>
      <c r="CX119" s="100"/>
      <c r="CY119" s="100"/>
      <c r="CZ119" s="100"/>
      <c r="DA119" s="100"/>
      <c r="DB119" s="100"/>
      <c r="DC119" s="100"/>
      <c r="DD119" s="100"/>
      <c r="DE119" s="100"/>
      <c r="DF119" s="100"/>
      <c r="DG119" s="100"/>
      <c r="DH119" s="100"/>
      <c r="DI119" s="100"/>
      <c r="DJ119" s="100"/>
      <c r="DK119" s="100"/>
      <c r="DL119" s="100"/>
      <c r="DM119" s="100"/>
      <c r="DN119" s="100"/>
      <c r="DO119" s="100"/>
      <c r="DP119" s="100"/>
    </row>
    <row r="120" customFormat="false" ht="12.8" hidden="false" customHeight="false" outlineLevel="0" collapsed="false">
      <c r="A120" s="120"/>
      <c r="B120" s="120"/>
      <c r="C120" s="120"/>
      <c r="D120" s="120"/>
      <c r="E120" s="120"/>
      <c r="F120" s="120"/>
      <c r="G120" s="193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00"/>
      <c r="AA120" s="100"/>
      <c r="AB120" s="100"/>
      <c r="AC120" s="100"/>
      <c r="AD120" s="100"/>
      <c r="AE120" s="100"/>
      <c r="AF120" s="100"/>
      <c r="AG120" s="163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0"/>
      <c r="AV120" s="100"/>
      <c r="AW120" s="100"/>
      <c r="AX120" s="100"/>
      <c r="AY120" s="100"/>
      <c r="AZ120" s="100"/>
      <c r="BA120" s="100"/>
      <c r="BB120" s="100"/>
      <c r="BC120" s="100"/>
      <c r="BD120" s="100"/>
      <c r="BE120" s="100"/>
      <c r="BF120" s="100"/>
      <c r="BG120" s="100"/>
      <c r="BH120" s="100"/>
      <c r="BI120" s="100"/>
      <c r="BJ120" s="100"/>
      <c r="BK120" s="100"/>
      <c r="BL120" s="100"/>
      <c r="BM120" s="100"/>
      <c r="BN120" s="100"/>
      <c r="BO120" s="100"/>
      <c r="BP120" s="100"/>
      <c r="BQ120" s="120"/>
      <c r="BR120" s="120"/>
      <c r="BS120" s="120"/>
      <c r="BT120" s="120"/>
      <c r="BU120" s="120"/>
      <c r="BV120" s="120"/>
      <c r="BW120" s="120"/>
      <c r="BX120" s="120"/>
      <c r="BY120" s="120"/>
      <c r="BZ120" s="120"/>
      <c r="CA120" s="120"/>
      <c r="CB120" s="120"/>
      <c r="CC120" s="120"/>
      <c r="CD120" s="120"/>
      <c r="CE120" s="120"/>
      <c r="CF120" s="100"/>
      <c r="CG120" s="100"/>
      <c r="CH120" s="100"/>
      <c r="CI120" s="100"/>
      <c r="CJ120" s="100"/>
      <c r="CK120" s="100"/>
      <c r="CL120" s="100"/>
      <c r="CM120" s="100"/>
      <c r="CN120" s="100"/>
      <c r="CO120" s="100"/>
      <c r="CP120" s="100"/>
      <c r="CQ120" s="100"/>
      <c r="CR120" s="100"/>
      <c r="CS120" s="100"/>
      <c r="CT120" s="100"/>
      <c r="CU120" s="100"/>
      <c r="CV120" s="100"/>
      <c r="CW120" s="100"/>
      <c r="CX120" s="100"/>
      <c r="CY120" s="100"/>
      <c r="CZ120" s="100"/>
      <c r="DA120" s="100"/>
      <c r="DB120" s="100"/>
      <c r="DC120" s="100"/>
      <c r="DD120" s="100"/>
      <c r="DE120" s="100"/>
      <c r="DF120" s="100"/>
      <c r="DG120" s="100"/>
      <c r="DH120" s="100"/>
      <c r="DI120" s="100"/>
      <c r="DJ120" s="100"/>
      <c r="DK120" s="100"/>
      <c r="DL120" s="100"/>
      <c r="DM120" s="100"/>
      <c r="DN120" s="100"/>
      <c r="DO120" s="100"/>
      <c r="DP120" s="100"/>
    </row>
    <row r="121" customFormat="false" ht="12.8" hidden="false" customHeight="false" outlineLevel="0" collapsed="false">
      <c r="A121" s="120"/>
      <c r="B121" s="120"/>
      <c r="C121" s="120"/>
      <c r="D121" s="120"/>
      <c r="E121" s="120"/>
      <c r="F121" s="120"/>
      <c r="G121" s="193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00"/>
      <c r="AA121" s="100"/>
      <c r="AB121" s="100"/>
      <c r="AC121" s="100"/>
      <c r="AD121" s="100"/>
      <c r="AE121" s="100"/>
      <c r="AF121" s="100"/>
      <c r="AG121" s="163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  <c r="AW121" s="100"/>
      <c r="AX121" s="100"/>
      <c r="AY121" s="100"/>
      <c r="AZ121" s="100"/>
      <c r="BA121" s="100"/>
      <c r="BB121" s="100"/>
      <c r="BC121" s="100"/>
      <c r="BD121" s="100"/>
      <c r="BE121" s="100"/>
      <c r="BF121" s="100"/>
      <c r="BG121" s="100"/>
      <c r="BH121" s="100"/>
      <c r="BI121" s="100"/>
      <c r="BJ121" s="100"/>
      <c r="BK121" s="100"/>
      <c r="BL121" s="100"/>
      <c r="BM121" s="100"/>
      <c r="BN121" s="100"/>
      <c r="BO121" s="100"/>
      <c r="BP121" s="100"/>
      <c r="BQ121" s="120"/>
      <c r="BR121" s="120"/>
      <c r="BS121" s="120"/>
      <c r="BT121" s="120"/>
      <c r="BU121" s="120"/>
      <c r="BV121" s="120"/>
      <c r="BW121" s="120"/>
      <c r="BX121" s="120"/>
      <c r="BY121" s="120"/>
      <c r="BZ121" s="120"/>
      <c r="CA121" s="120"/>
      <c r="CB121" s="120"/>
      <c r="CC121" s="120"/>
      <c r="CD121" s="120"/>
      <c r="CE121" s="120"/>
      <c r="CF121" s="100"/>
      <c r="CG121" s="100"/>
      <c r="CH121" s="100"/>
      <c r="CI121" s="100"/>
      <c r="CJ121" s="100"/>
      <c r="CK121" s="100"/>
      <c r="CL121" s="100"/>
      <c r="CM121" s="100"/>
      <c r="CN121" s="100"/>
      <c r="CO121" s="100"/>
      <c r="CP121" s="100"/>
      <c r="CQ121" s="100"/>
      <c r="CR121" s="100"/>
      <c r="CS121" s="100"/>
      <c r="CT121" s="100"/>
      <c r="CU121" s="100"/>
      <c r="CV121" s="100"/>
      <c r="CW121" s="100"/>
      <c r="CX121" s="100"/>
      <c r="CY121" s="100"/>
      <c r="CZ121" s="100"/>
      <c r="DA121" s="100"/>
      <c r="DB121" s="100"/>
      <c r="DC121" s="100"/>
      <c r="DD121" s="100"/>
      <c r="DE121" s="100"/>
      <c r="DF121" s="100"/>
      <c r="DG121" s="100"/>
      <c r="DH121" s="100"/>
      <c r="DI121" s="100"/>
      <c r="DJ121" s="100"/>
      <c r="DK121" s="100"/>
      <c r="DL121" s="100"/>
      <c r="DM121" s="100"/>
      <c r="DN121" s="100"/>
      <c r="DO121" s="100"/>
      <c r="DP121" s="100"/>
    </row>
    <row r="122" customFormat="false" ht="12.8" hidden="false" customHeight="false" outlineLevel="0" collapsed="false">
      <c r="A122" s="120"/>
      <c r="B122" s="120"/>
      <c r="C122" s="120"/>
      <c r="D122" s="120"/>
      <c r="E122" s="120"/>
      <c r="F122" s="120"/>
      <c r="G122" s="193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00"/>
      <c r="AA122" s="100"/>
      <c r="AB122" s="100"/>
      <c r="AC122" s="100"/>
      <c r="AD122" s="100"/>
      <c r="AE122" s="100"/>
      <c r="AF122" s="100"/>
      <c r="AG122" s="163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0"/>
      <c r="AW122" s="100"/>
      <c r="AX122" s="100"/>
      <c r="AY122" s="100"/>
      <c r="AZ122" s="100"/>
      <c r="BA122" s="100"/>
      <c r="BB122" s="100"/>
      <c r="BC122" s="100"/>
      <c r="BD122" s="100"/>
      <c r="BE122" s="100"/>
      <c r="BF122" s="100"/>
      <c r="BG122" s="100"/>
      <c r="BH122" s="100"/>
      <c r="BI122" s="100"/>
      <c r="BJ122" s="100"/>
      <c r="BK122" s="100"/>
      <c r="BL122" s="100"/>
      <c r="BM122" s="100"/>
      <c r="BN122" s="100"/>
      <c r="BO122" s="100"/>
      <c r="BP122" s="100"/>
      <c r="BQ122" s="120"/>
      <c r="BR122" s="120"/>
      <c r="BS122" s="120"/>
      <c r="BT122" s="120"/>
      <c r="BU122" s="120"/>
      <c r="BV122" s="120"/>
      <c r="BW122" s="120"/>
      <c r="BX122" s="120"/>
      <c r="BY122" s="120"/>
      <c r="BZ122" s="120"/>
      <c r="CA122" s="120"/>
      <c r="CB122" s="120"/>
      <c r="CC122" s="120"/>
      <c r="CD122" s="120"/>
      <c r="CE122" s="120"/>
      <c r="CF122" s="100"/>
      <c r="CG122" s="100"/>
      <c r="CH122" s="100"/>
      <c r="CI122" s="100"/>
      <c r="CJ122" s="100"/>
      <c r="CK122" s="100"/>
      <c r="CL122" s="100"/>
      <c r="CM122" s="100"/>
      <c r="CN122" s="100"/>
      <c r="CO122" s="100"/>
      <c r="CP122" s="100"/>
      <c r="CQ122" s="100"/>
      <c r="CR122" s="100"/>
      <c r="CS122" s="100"/>
      <c r="CT122" s="100"/>
      <c r="CU122" s="100"/>
      <c r="CV122" s="100"/>
      <c r="CW122" s="100"/>
      <c r="CX122" s="100"/>
      <c r="CY122" s="100"/>
      <c r="CZ122" s="100"/>
      <c r="DA122" s="100"/>
      <c r="DB122" s="100"/>
      <c r="DC122" s="100"/>
      <c r="DD122" s="100"/>
      <c r="DE122" s="100"/>
      <c r="DF122" s="100"/>
      <c r="DG122" s="100"/>
      <c r="DH122" s="100"/>
      <c r="DI122" s="100"/>
      <c r="DJ122" s="100"/>
      <c r="DK122" s="100"/>
      <c r="DL122" s="100"/>
      <c r="DM122" s="100"/>
      <c r="DN122" s="100"/>
      <c r="DO122" s="100"/>
      <c r="DP122" s="100"/>
    </row>
    <row r="123" customFormat="false" ht="12.8" hidden="false" customHeight="false" outlineLevel="0" collapsed="false">
      <c r="A123" s="120"/>
      <c r="B123" s="120"/>
      <c r="C123" s="120"/>
      <c r="D123" s="120"/>
      <c r="E123" s="120"/>
      <c r="F123" s="120"/>
      <c r="G123" s="193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00"/>
      <c r="AA123" s="100"/>
      <c r="AB123" s="100"/>
      <c r="AC123" s="100"/>
      <c r="AD123" s="100"/>
      <c r="AE123" s="100"/>
      <c r="AF123" s="100"/>
      <c r="AG123" s="163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  <c r="AW123" s="100"/>
      <c r="AX123" s="100"/>
      <c r="AY123" s="100"/>
      <c r="AZ123" s="100"/>
      <c r="BA123" s="100"/>
      <c r="BB123" s="100"/>
      <c r="BC123" s="100"/>
      <c r="BD123" s="100"/>
      <c r="BE123" s="100"/>
      <c r="BF123" s="100"/>
      <c r="BG123" s="100"/>
      <c r="BH123" s="100"/>
      <c r="BI123" s="100"/>
      <c r="BJ123" s="100"/>
      <c r="BK123" s="100"/>
      <c r="BL123" s="100"/>
      <c r="BM123" s="100"/>
      <c r="BN123" s="100"/>
      <c r="BO123" s="100"/>
      <c r="BP123" s="100"/>
      <c r="BQ123" s="120"/>
      <c r="BR123" s="120"/>
      <c r="BS123" s="120"/>
      <c r="BT123" s="120"/>
      <c r="BU123" s="120"/>
      <c r="BV123" s="120"/>
      <c r="BW123" s="120"/>
      <c r="BX123" s="120"/>
      <c r="BY123" s="120"/>
      <c r="BZ123" s="120"/>
      <c r="CA123" s="120"/>
      <c r="CB123" s="120"/>
      <c r="CC123" s="120"/>
      <c r="CD123" s="120"/>
      <c r="CE123" s="120"/>
      <c r="CF123" s="100"/>
      <c r="CG123" s="100"/>
      <c r="CH123" s="100"/>
      <c r="CI123" s="100"/>
      <c r="CJ123" s="100"/>
      <c r="CK123" s="100"/>
      <c r="CL123" s="100"/>
      <c r="CM123" s="100"/>
      <c r="CN123" s="100"/>
      <c r="CO123" s="100"/>
      <c r="CP123" s="100"/>
      <c r="CQ123" s="100"/>
      <c r="CR123" s="100"/>
      <c r="CS123" s="100"/>
      <c r="CT123" s="100"/>
      <c r="CU123" s="100"/>
      <c r="CV123" s="100"/>
      <c r="CW123" s="100"/>
      <c r="CX123" s="100"/>
      <c r="CY123" s="100"/>
      <c r="CZ123" s="100"/>
      <c r="DA123" s="100"/>
      <c r="DB123" s="100"/>
      <c r="DC123" s="100"/>
      <c r="DD123" s="100"/>
      <c r="DE123" s="100"/>
      <c r="DF123" s="100"/>
      <c r="DG123" s="100"/>
      <c r="DH123" s="100"/>
      <c r="DI123" s="100"/>
      <c r="DJ123" s="100"/>
      <c r="DK123" s="100"/>
      <c r="DL123" s="100"/>
      <c r="DM123" s="100"/>
      <c r="DN123" s="100"/>
      <c r="DO123" s="100"/>
      <c r="DP123" s="100"/>
    </row>
    <row r="124" customFormat="false" ht="12.8" hidden="false" customHeight="false" outlineLevel="0" collapsed="false">
      <c r="A124" s="120"/>
      <c r="B124" s="120"/>
      <c r="C124" s="120"/>
      <c r="D124" s="120"/>
      <c r="E124" s="120"/>
      <c r="F124" s="120"/>
      <c r="G124" s="193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00"/>
      <c r="AA124" s="100"/>
      <c r="AB124" s="100"/>
      <c r="AC124" s="100"/>
      <c r="AD124" s="100"/>
      <c r="AE124" s="100"/>
      <c r="AF124" s="100"/>
      <c r="AG124" s="163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0"/>
      <c r="AV124" s="100"/>
      <c r="AW124" s="100"/>
      <c r="AX124" s="100"/>
      <c r="AY124" s="100"/>
      <c r="AZ124" s="100"/>
      <c r="BA124" s="100"/>
      <c r="BB124" s="100"/>
      <c r="BC124" s="100"/>
      <c r="BD124" s="100"/>
      <c r="BE124" s="100"/>
      <c r="BF124" s="100"/>
      <c r="BG124" s="100"/>
      <c r="BH124" s="100"/>
      <c r="BI124" s="100"/>
      <c r="BJ124" s="100"/>
      <c r="BK124" s="100"/>
      <c r="BL124" s="100"/>
      <c r="BM124" s="100"/>
      <c r="BN124" s="100"/>
      <c r="BO124" s="100"/>
      <c r="BP124" s="100"/>
      <c r="BQ124" s="120"/>
      <c r="BR124" s="120"/>
      <c r="BS124" s="120"/>
      <c r="BT124" s="120"/>
      <c r="BU124" s="120"/>
      <c r="BV124" s="120"/>
      <c r="BW124" s="120"/>
      <c r="BX124" s="120"/>
      <c r="BY124" s="120"/>
      <c r="BZ124" s="120"/>
      <c r="CA124" s="120"/>
      <c r="CB124" s="120"/>
      <c r="CC124" s="120"/>
      <c r="CD124" s="120"/>
      <c r="CE124" s="120"/>
      <c r="CF124" s="100"/>
      <c r="CG124" s="100"/>
      <c r="CH124" s="100"/>
      <c r="CI124" s="100"/>
      <c r="CJ124" s="100"/>
      <c r="CK124" s="100"/>
      <c r="CL124" s="100"/>
      <c r="CM124" s="100"/>
      <c r="CN124" s="100"/>
      <c r="CO124" s="100"/>
      <c r="CP124" s="100"/>
      <c r="CQ124" s="100"/>
      <c r="CR124" s="100"/>
      <c r="CS124" s="100"/>
      <c r="CT124" s="100"/>
      <c r="CU124" s="100"/>
      <c r="CV124" s="100"/>
      <c r="CW124" s="100"/>
      <c r="CX124" s="100"/>
      <c r="CY124" s="100"/>
      <c r="CZ124" s="100"/>
      <c r="DA124" s="100"/>
      <c r="DB124" s="100"/>
      <c r="DC124" s="100"/>
      <c r="DD124" s="100"/>
      <c r="DE124" s="100"/>
      <c r="DF124" s="100"/>
      <c r="DG124" s="100"/>
      <c r="DH124" s="100"/>
      <c r="DI124" s="100"/>
      <c r="DJ124" s="100"/>
      <c r="DK124" s="100"/>
      <c r="DL124" s="100"/>
      <c r="DM124" s="100"/>
      <c r="DN124" s="100"/>
      <c r="DO124" s="100"/>
      <c r="DP124" s="100"/>
    </row>
    <row r="125" customFormat="false" ht="12.8" hidden="false" customHeight="false" outlineLevel="0" collapsed="false">
      <c r="A125" s="120"/>
      <c r="B125" s="120"/>
      <c r="C125" s="120"/>
      <c r="D125" s="120"/>
      <c r="E125" s="120"/>
      <c r="F125" s="120"/>
      <c r="G125" s="193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00"/>
      <c r="AA125" s="100"/>
      <c r="AB125" s="100"/>
      <c r="AC125" s="100"/>
      <c r="AD125" s="100"/>
      <c r="AE125" s="100"/>
      <c r="AF125" s="100"/>
      <c r="AG125" s="163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  <c r="AT125" s="100"/>
      <c r="AU125" s="100"/>
      <c r="AV125" s="100"/>
      <c r="AW125" s="100"/>
      <c r="AX125" s="100"/>
      <c r="AY125" s="100"/>
      <c r="AZ125" s="100"/>
      <c r="BA125" s="100"/>
      <c r="BB125" s="100"/>
      <c r="BC125" s="100"/>
      <c r="BD125" s="100"/>
      <c r="BE125" s="100"/>
      <c r="BF125" s="100"/>
      <c r="BG125" s="100"/>
      <c r="BH125" s="100"/>
      <c r="BI125" s="100"/>
      <c r="BJ125" s="100"/>
      <c r="BK125" s="100"/>
      <c r="BL125" s="100"/>
      <c r="BM125" s="100"/>
      <c r="BN125" s="100"/>
      <c r="BO125" s="100"/>
      <c r="BP125" s="100"/>
      <c r="BQ125" s="120"/>
      <c r="BR125" s="120"/>
      <c r="BS125" s="120"/>
      <c r="BT125" s="120"/>
      <c r="BU125" s="120"/>
      <c r="BV125" s="120"/>
      <c r="BW125" s="120"/>
      <c r="BX125" s="120"/>
      <c r="BY125" s="120"/>
      <c r="BZ125" s="120"/>
      <c r="CA125" s="120"/>
      <c r="CB125" s="120"/>
      <c r="CC125" s="120"/>
      <c r="CD125" s="120"/>
      <c r="CE125" s="120"/>
      <c r="CF125" s="100"/>
      <c r="CG125" s="100"/>
      <c r="CH125" s="100"/>
      <c r="CI125" s="100"/>
      <c r="CJ125" s="100"/>
      <c r="CK125" s="100"/>
      <c r="CL125" s="100"/>
      <c r="CM125" s="100"/>
      <c r="CN125" s="100"/>
      <c r="CO125" s="100"/>
      <c r="CP125" s="100"/>
      <c r="CQ125" s="100"/>
      <c r="CR125" s="100"/>
      <c r="CS125" s="100"/>
      <c r="CT125" s="100"/>
      <c r="CU125" s="100"/>
      <c r="CV125" s="100"/>
      <c r="CW125" s="100"/>
      <c r="CX125" s="100"/>
      <c r="CY125" s="100"/>
      <c r="CZ125" s="100"/>
      <c r="DA125" s="100"/>
      <c r="DB125" s="100"/>
      <c r="DC125" s="100"/>
      <c r="DD125" s="100"/>
      <c r="DE125" s="100"/>
      <c r="DF125" s="100"/>
      <c r="DG125" s="100"/>
      <c r="DH125" s="100"/>
      <c r="DI125" s="100"/>
      <c r="DJ125" s="100"/>
      <c r="DK125" s="100"/>
      <c r="DL125" s="100"/>
      <c r="DM125" s="100"/>
      <c r="DN125" s="100"/>
      <c r="DO125" s="100"/>
      <c r="DP125" s="100"/>
    </row>
    <row r="126" customFormat="false" ht="12.8" hidden="false" customHeight="false" outlineLevel="0" collapsed="false">
      <c r="A126" s="120"/>
      <c r="B126" s="120"/>
      <c r="C126" s="120"/>
      <c r="D126" s="120"/>
      <c r="E126" s="120"/>
      <c r="F126" s="120"/>
      <c r="G126" s="193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00"/>
      <c r="AA126" s="100"/>
      <c r="AB126" s="100"/>
      <c r="AC126" s="100"/>
      <c r="AD126" s="100"/>
      <c r="AE126" s="100"/>
      <c r="AF126" s="100"/>
      <c r="AG126" s="163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0"/>
      <c r="AZ126" s="100"/>
      <c r="BA126" s="100"/>
      <c r="BB126" s="100"/>
      <c r="BC126" s="100"/>
      <c r="BD126" s="100"/>
      <c r="BE126" s="100"/>
      <c r="BF126" s="100"/>
      <c r="BG126" s="100"/>
      <c r="BH126" s="100"/>
      <c r="BI126" s="100"/>
      <c r="BJ126" s="100"/>
      <c r="BK126" s="100"/>
      <c r="BL126" s="100"/>
      <c r="BM126" s="100"/>
      <c r="BN126" s="100"/>
      <c r="BO126" s="100"/>
      <c r="BP126" s="100"/>
      <c r="BQ126" s="120"/>
      <c r="BR126" s="120"/>
      <c r="BS126" s="120"/>
      <c r="BT126" s="120"/>
      <c r="BU126" s="120"/>
      <c r="BV126" s="120"/>
      <c r="BW126" s="120"/>
      <c r="BX126" s="120"/>
      <c r="BY126" s="120"/>
      <c r="BZ126" s="120"/>
      <c r="CA126" s="120"/>
      <c r="CB126" s="120"/>
      <c r="CC126" s="120"/>
      <c r="CD126" s="120"/>
      <c r="CE126" s="120"/>
      <c r="CF126" s="100"/>
      <c r="CG126" s="100"/>
      <c r="CH126" s="100"/>
      <c r="CI126" s="100"/>
      <c r="CJ126" s="100"/>
      <c r="CK126" s="100"/>
      <c r="CL126" s="100"/>
      <c r="CM126" s="100"/>
      <c r="CN126" s="100"/>
      <c r="CO126" s="100"/>
      <c r="CP126" s="100"/>
      <c r="CQ126" s="100"/>
      <c r="CR126" s="100"/>
      <c r="CS126" s="100"/>
      <c r="CT126" s="100"/>
      <c r="CU126" s="100"/>
      <c r="CV126" s="100"/>
      <c r="CW126" s="100"/>
      <c r="CX126" s="100"/>
      <c r="CY126" s="100"/>
      <c r="CZ126" s="100"/>
      <c r="DA126" s="100"/>
      <c r="DB126" s="100"/>
      <c r="DC126" s="100"/>
      <c r="DD126" s="100"/>
      <c r="DE126" s="100"/>
      <c r="DF126" s="100"/>
      <c r="DG126" s="100"/>
      <c r="DH126" s="100"/>
      <c r="DI126" s="100"/>
      <c r="DJ126" s="100"/>
      <c r="DK126" s="100"/>
      <c r="DL126" s="100"/>
      <c r="DM126" s="100"/>
      <c r="DN126" s="100"/>
      <c r="DO126" s="100"/>
      <c r="DP126" s="100"/>
    </row>
    <row r="127" customFormat="false" ht="12.8" hidden="false" customHeight="false" outlineLevel="0" collapsed="false">
      <c r="A127" s="120"/>
      <c r="B127" s="120"/>
      <c r="C127" s="120"/>
      <c r="D127" s="120"/>
      <c r="E127" s="120"/>
      <c r="F127" s="120"/>
      <c r="G127" s="193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00"/>
      <c r="AA127" s="100"/>
      <c r="AB127" s="100"/>
      <c r="AC127" s="100"/>
      <c r="AD127" s="100"/>
      <c r="AE127" s="100"/>
      <c r="AF127" s="100"/>
      <c r="AG127" s="163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  <c r="AW127" s="100"/>
      <c r="AX127" s="100"/>
      <c r="AY127" s="100"/>
      <c r="AZ127" s="100"/>
      <c r="BA127" s="100"/>
      <c r="BB127" s="100"/>
      <c r="BC127" s="100"/>
      <c r="BD127" s="100"/>
      <c r="BE127" s="100"/>
      <c r="BF127" s="100"/>
      <c r="BG127" s="100"/>
      <c r="BH127" s="100"/>
      <c r="BI127" s="100"/>
      <c r="BJ127" s="100"/>
      <c r="BK127" s="100"/>
      <c r="BL127" s="100"/>
      <c r="BM127" s="100"/>
      <c r="BN127" s="100"/>
      <c r="BO127" s="100"/>
      <c r="BP127" s="100"/>
      <c r="BQ127" s="120"/>
      <c r="BR127" s="120"/>
      <c r="BS127" s="120"/>
      <c r="BT127" s="120"/>
      <c r="BU127" s="120"/>
      <c r="BV127" s="120"/>
      <c r="BW127" s="120"/>
      <c r="BX127" s="120"/>
      <c r="BY127" s="120"/>
      <c r="BZ127" s="120"/>
      <c r="CA127" s="120"/>
      <c r="CB127" s="120"/>
      <c r="CC127" s="120"/>
      <c r="CD127" s="120"/>
      <c r="CE127" s="120"/>
      <c r="CF127" s="100"/>
      <c r="CG127" s="100"/>
      <c r="CH127" s="100"/>
      <c r="CI127" s="100"/>
      <c r="CJ127" s="100"/>
      <c r="CK127" s="100"/>
      <c r="CL127" s="100"/>
      <c r="CM127" s="100"/>
      <c r="CN127" s="100"/>
      <c r="CO127" s="100"/>
      <c r="CP127" s="100"/>
      <c r="CQ127" s="100"/>
      <c r="CR127" s="100"/>
      <c r="CS127" s="100"/>
      <c r="CT127" s="100"/>
      <c r="CU127" s="100"/>
      <c r="CV127" s="100"/>
      <c r="CW127" s="100"/>
      <c r="CX127" s="100"/>
      <c r="CY127" s="100"/>
      <c r="CZ127" s="100"/>
      <c r="DA127" s="100"/>
      <c r="DB127" s="100"/>
      <c r="DC127" s="100"/>
      <c r="DD127" s="100"/>
      <c r="DE127" s="100"/>
      <c r="DF127" s="100"/>
      <c r="DG127" s="100"/>
      <c r="DH127" s="100"/>
      <c r="DI127" s="100"/>
      <c r="DJ127" s="100"/>
      <c r="DK127" s="100"/>
      <c r="DL127" s="100"/>
      <c r="DM127" s="100"/>
      <c r="DN127" s="100"/>
      <c r="DO127" s="100"/>
      <c r="DP127" s="100"/>
    </row>
    <row r="128" customFormat="false" ht="12.8" hidden="false" customHeight="false" outlineLevel="0" collapsed="false">
      <c r="A128" s="120"/>
      <c r="B128" s="120"/>
      <c r="C128" s="120"/>
      <c r="D128" s="120"/>
      <c r="E128" s="120"/>
      <c r="F128" s="120"/>
      <c r="G128" s="193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00"/>
      <c r="AA128" s="100"/>
      <c r="AB128" s="100"/>
      <c r="AC128" s="100"/>
      <c r="AD128" s="100"/>
      <c r="AE128" s="100"/>
      <c r="AF128" s="100"/>
      <c r="AG128" s="163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  <c r="AW128" s="100"/>
      <c r="AX128" s="100"/>
      <c r="AY128" s="100"/>
      <c r="AZ128" s="100"/>
      <c r="BA128" s="100"/>
      <c r="BB128" s="100"/>
      <c r="BC128" s="100"/>
      <c r="BD128" s="100"/>
      <c r="BE128" s="100"/>
      <c r="BF128" s="100"/>
      <c r="BG128" s="100"/>
      <c r="BH128" s="100"/>
      <c r="BI128" s="100"/>
      <c r="BJ128" s="100"/>
      <c r="BK128" s="100"/>
      <c r="BL128" s="100"/>
      <c r="BM128" s="100"/>
      <c r="BN128" s="100"/>
      <c r="BO128" s="100"/>
      <c r="BP128" s="100"/>
      <c r="BQ128" s="120"/>
      <c r="BR128" s="120"/>
      <c r="BS128" s="120"/>
      <c r="BT128" s="120"/>
      <c r="BU128" s="120"/>
      <c r="BV128" s="120"/>
      <c r="BW128" s="120"/>
      <c r="BX128" s="120"/>
      <c r="BY128" s="120"/>
      <c r="BZ128" s="120"/>
      <c r="CA128" s="120"/>
      <c r="CB128" s="120"/>
      <c r="CC128" s="120"/>
      <c r="CD128" s="120"/>
      <c r="CE128" s="120"/>
      <c r="CF128" s="100"/>
      <c r="CG128" s="100"/>
      <c r="CH128" s="100"/>
      <c r="CI128" s="100"/>
      <c r="CJ128" s="100"/>
      <c r="CK128" s="100"/>
      <c r="CL128" s="100"/>
      <c r="CM128" s="100"/>
      <c r="CN128" s="100"/>
      <c r="CO128" s="100"/>
      <c r="CP128" s="100"/>
      <c r="CQ128" s="100"/>
      <c r="CR128" s="100"/>
      <c r="CS128" s="100"/>
      <c r="CT128" s="100"/>
      <c r="CU128" s="100"/>
      <c r="CV128" s="100"/>
      <c r="CW128" s="100"/>
      <c r="CX128" s="100"/>
      <c r="CY128" s="100"/>
      <c r="CZ128" s="100"/>
      <c r="DA128" s="100"/>
      <c r="DB128" s="100"/>
      <c r="DC128" s="100"/>
      <c r="DD128" s="100"/>
      <c r="DE128" s="100"/>
      <c r="DF128" s="100"/>
      <c r="DG128" s="100"/>
      <c r="DH128" s="100"/>
      <c r="DI128" s="100"/>
      <c r="DJ128" s="100"/>
      <c r="DK128" s="100"/>
      <c r="DL128" s="100"/>
      <c r="DM128" s="100"/>
      <c r="DN128" s="100"/>
      <c r="DO128" s="100"/>
      <c r="DP128" s="100"/>
    </row>
    <row r="129" customFormat="false" ht="12.8" hidden="false" customHeight="false" outlineLevel="0" collapsed="false">
      <c r="A129" s="120"/>
      <c r="B129" s="120"/>
      <c r="C129" s="120"/>
      <c r="D129" s="120"/>
      <c r="E129" s="120"/>
      <c r="F129" s="120"/>
      <c r="G129" s="193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00"/>
      <c r="AA129" s="100"/>
      <c r="AB129" s="100"/>
      <c r="AC129" s="100"/>
      <c r="AD129" s="100"/>
      <c r="AE129" s="100"/>
      <c r="AF129" s="100"/>
      <c r="AG129" s="163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0"/>
      <c r="BA129" s="100"/>
      <c r="BB129" s="100"/>
      <c r="BC129" s="100"/>
      <c r="BD129" s="100"/>
      <c r="BE129" s="100"/>
      <c r="BF129" s="100"/>
      <c r="BG129" s="100"/>
      <c r="BH129" s="100"/>
      <c r="BI129" s="100"/>
      <c r="BJ129" s="100"/>
      <c r="BK129" s="100"/>
      <c r="BL129" s="100"/>
      <c r="BM129" s="100"/>
      <c r="BN129" s="100"/>
      <c r="BO129" s="100"/>
      <c r="BP129" s="100"/>
      <c r="BQ129" s="120"/>
      <c r="BR129" s="120"/>
      <c r="BS129" s="120"/>
      <c r="BT129" s="120"/>
      <c r="BU129" s="120"/>
      <c r="BV129" s="120"/>
      <c r="BW129" s="120"/>
      <c r="BX129" s="120"/>
      <c r="BY129" s="120"/>
      <c r="BZ129" s="120"/>
      <c r="CA129" s="120"/>
      <c r="CB129" s="120"/>
      <c r="CC129" s="120"/>
      <c r="CD129" s="120"/>
      <c r="CE129" s="120"/>
      <c r="CF129" s="100"/>
      <c r="CG129" s="100"/>
      <c r="CH129" s="100"/>
      <c r="CI129" s="100"/>
      <c r="CJ129" s="100"/>
      <c r="CK129" s="100"/>
      <c r="CL129" s="100"/>
      <c r="CM129" s="100"/>
      <c r="CN129" s="100"/>
      <c r="CO129" s="100"/>
      <c r="CP129" s="100"/>
      <c r="CQ129" s="100"/>
      <c r="CR129" s="100"/>
      <c r="CS129" s="100"/>
      <c r="CT129" s="100"/>
      <c r="CU129" s="100"/>
      <c r="CV129" s="100"/>
      <c r="CW129" s="100"/>
      <c r="CX129" s="100"/>
      <c r="CY129" s="100"/>
      <c r="CZ129" s="100"/>
      <c r="DA129" s="100"/>
      <c r="DB129" s="100"/>
      <c r="DC129" s="100"/>
      <c r="DD129" s="100"/>
      <c r="DE129" s="100"/>
      <c r="DF129" s="100"/>
      <c r="DG129" s="100"/>
      <c r="DH129" s="100"/>
      <c r="DI129" s="100"/>
      <c r="DJ129" s="100"/>
      <c r="DK129" s="100"/>
      <c r="DL129" s="100"/>
      <c r="DM129" s="100"/>
      <c r="DN129" s="100"/>
      <c r="DO129" s="100"/>
      <c r="DP129" s="100"/>
    </row>
    <row r="130" customFormat="false" ht="12.8" hidden="false" customHeight="false" outlineLevel="0" collapsed="false">
      <c r="A130" s="120"/>
      <c r="B130" s="120"/>
      <c r="C130" s="120"/>
      <c r="D130" s="120"/>
      <c r="E130" s="120"/>
      <c r="F130" s="120"/>
      <c r="G130" s="193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00"/>
      <c r="AA130" s="100"/>
      <c r="AB130" s="100"/>
      <c r="AC130" s="100"/>
      <c r="AD130" s="100"/>
      <c r="AE130" s="100"/>
      <c r="AF130" s="100"/>
      <c r="AG130" s="163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00"/>
      <c r="AZ130" s="100"/>
      <c r="BA130" s="100"/>
      <c r="BB130" s="100"/>
      <c r="BC130" s="100"/>
      <c r="BD130" s="100"/>
      <c r="BE130" s="100"/>
      <c r="BF130" s="100"/>
      <c r="BG130" s="100"/>
      <c r="BH130" s="100"/>
      <c r="BI130" s="100"/>
      <c r="BJ130" s="100"/>
      <c r="BK130" s="100"/>
      <c r="BL130" s="100"/>
      <c r="BM130" s="100"/>
      <c r="BN130" s="100"/>
      <c r="BO130" s="100"/>
      <c r="BP130" s="100"/>
      <c r="BQ130" s="120"/>
      <c r="BR130" s="120"/>
      <c r="BS130" s="120"/>
      <c r="BT130" s="120"/>
      <c r="BU130" s="120"/>
      <c r="BV130" s="120"/>
      <c r="BW130" s="120"/>
      <c r="BX130" s="120"/>
      <c r="BY130" s="120"/>
      <c r="BZ130" s="120"/>
      <c r="CA130" s="120"/>
      <c r="CB130" s="120"/>
      <c r="CC130" s="120"/>
      <c r="CD130" s="120"/>
      <c r="CE130" s="120"/>
      <c r="CF130" s="100"/>
      <c r="CG130" s="100"/>
      <c r="CH130" s="100"/>
      <c r="CI130" s="100"/>
      <c r="CJ130" s="100"/>
      <c r="CK130" s="100"/>
      <c r="CL130" s="100"/>
      <c r="CM130" s="100"/>
      <c r="CN130" s="100"/>
      <c r="CO130" s="100"/>
      <c r="CP130" s="100"/>
      <c r="CQ130" s="100"/>
      <c r="CR130" s="100"/>
      <c r="CS130" s="100"/>
      <c r="CT130" s="100"/>
      <c r="CU130" s="100"/>
      <c r="CV130" s="100"/>
      <c r="CW130" s="100"/>
      <c r="CX130" s="100"/>
      <c r="CY130" s="100"/>
      <c r="CZ130" s="100"/>
      <c r="DA130" s="100"/>
      <c r="DB130" s="100"/>
      <c r="DC130" s="100"/>
      <c r="DD130" s="100"/>
      <c r="DE130" s="100"/>
      <c r="DF130" s="100"/>
      <c r="DG130" s="100"/>
      <c r="DH130" s="100"/>
      <c r="DI130" s="100"/>
      <c r="DJ130" s="100"/>
      <c r="DK130" s="100"/>
      <c r="DL130" s="100"/>
      <c r="DM130" s="100"/>
      <c r="DN130" s="100"/>
      <c r="DO130" s="100"/>
      <c r="DP130" s="100"/>
    </row>
    <row r="131" customFormat="false" ht="12.8" hidden="false" customHeight="false" outlineLevel="0" collapsed="false">
      <c r="A131" s="120"/>
      <c r="B131" s="120"/>
      <c r="C131" s="120"/>
      <c r="D131" s="120"/>
      <c r="E131" s="120"/>
      <c r="F131" s="120"/>
      <c r="G131" s="193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00"/>
      <c r="AA131" s="100"/>
      <c r="AB131" s="100"/>
      <c r="AC131" s="100"/>
      <c r="AD131" s="100"/>
      <c r="AE131" s="100"/>
      <c r="AF131" s="100"/>
      <c r="AG131" s="163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  <c r="AW131" s="100"/>
      <c r="AX131" s="100"/>
      <c r="AY131" s="100"/>
      <c r="AZ131" s="100"/>
      <c r="BA131" s="100"/>
      <c r="BB131" s="100"/>
      <c r="BC131" s="100"/>
      <c r="BD131" s="100"/>
      <c r="BE131" s="100"/>
      <c r="BF131" s="100"/>
      <c r="BG131" s="100"/>
      <c r="BH131" s="100"/>
      <c r="BI131" s="100"/>
      <c r="BJ131" s="100"/>
      <c r="BK131" s="100"/>
      <c r="BL131" s="100"/>
      <c r="BM131" s="100"/>
      <c r="BN131" s="100"/>
      <c r="BO131" s="100"/>
      <c r="BP131" s="100"/>
      <c r="BQ131" s="120"/>
      <c r="BR131" s="120"/>
      <c r="BS131" s="120"/>
      <c r="BT131" s="120"/>
      <c r="BU131" s="120"/>
      <c r="BV131" s="120"/>
      <c r="BW131" s="120"/>
      <c r="BX131" s="120"/>
      <c r="BY131" s="120"/>
      <c r="BZ131" s="120"/>
      <c r="CA131" s="120"/>
      <c r="CB131" s="120"/>
      <c r="CC131" s="120"/>
      <c r="CD131" s="120"/>
      <c r="CE131" s="120"/>
      <c r="CF131" s="100"/>
      <c r="CG131" s="100"/>
      <c r="CH131" s="100"/>
      <c r="CI131" s="100"/>
      <c r="CJ131" s="100"/>
      <c r="CK131" s="100"/>
      <c r="CL131" s="100"/>
      <c r="CM131" s="100"/>
      <c r="CN131" s="100"/>
      <c r="CO131" s="100"/>
      <c r="CP131" s="100"/>
      <c r="CQ131" s="100"/>
      <c r="CR131" s="100"/>
      <c r="CS131" s="100"/>
      <c r="CT131" s="100"/>
      <c r="CU131" s="100"/>
      <c r="CV131" s="100"/>
      <c r="CW131" s="100"/>
      <c r="CX131" s="100"/>
      <c r="CY131" s="100"/>
      <c r="CZ131" s="100"/>
      <c r="DA131" s="100"/>
      <c r="DB131" s="100"/>
      <c r="DC131" s="100"/>
      <c r="DD131" s="100"/>
      <c r="DE131" s="100"/>
      <c r="DF131" s="100"/>
      <c r="DG131" s="100"/>
      <c r="DH131" s="100"/>
      <c r="DI131" s="100"/>
      <c r="DJ131" s="100"/>
      <c r="DK131" s="100"/>
      <c r="DL131" s="100"/>
      <c r="DM131" s="100"/>
      <c r="DN131" s="100"/>
      <c r="DO131" s="100"/>
      <c r="DP131" s="100"/>
    </row>
    <row r="132" customFormat="false" ht="12.8" hidden="false" customHeight="false" outlineLevel="0" collapsed="false">
      <c r="A132" s="120"/>
      <c r="B132" s="120"/>
      <c r="C132" s="120"/>
      <c r="D132" s="120"/>
      <c r="E132" s="120"/>
      <c r="F132" s="120"/>
      <c r="G132" s="193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00"/>
      <c r="AA132" s="100"/>
      <c r="AB132" s="100"/>
      <c r="AC132" s="100"/>
      <c r="AD132" s="100"/>
      <c r="AE132" s="100"/>
      <c r="AF132" s="100"/>
      <c r="AG132" s="163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  <c r="AW132" s="100"/>
      <c r="AX132" s="100"/>
      <c r="AY132" s="100"/>
      <c r="AZ132" s="100"/>
      <c r="BA132" s="100"/>
      <c r="BB132" s="100"/>
      <c r="BC132" s="100"/>
      <c r="BD132" s="100"/>
      <c r="BE132" s="100"/>
      <c r="BF132" s="100"/>
      <c r="BG132" s="100"/>
      <c r="BH132" s="100"/>
      <c r="BI132" s="100"/>
      <c r="BJ132" s="100"/>
      <c r="BK132" s="100"/>
      <c r="BL132" s="100"/>
      <c r="BM132" s="100"/>
      <c r="BN132" s="100"/>
      <c r="BO132" s="100"/>
      <c r="BP132" s="100"/>
      <c r="BQ132" s="120"/>
      <c r="BR132" s="120"/>
      <c r="BS132" s="120"/>
      <c r="BT132" s="120"/>
      <c r="BU132" s="120"/>
      <c r="BV132" s="120"/>
      <c r="BW132" s="120"/>
      <c r="BX132" s="120"/>
      <c r="BY132" s="120"/>
      <c r="BZ132" s="120"/>
      <c r="CA132" s="120"/>
      <c r="CB132" s="120"/>
      <c r="CC132" s="120"/>
      <c r="CD132" s="120"/>
      <c r="CE132" s="120"/>
      <c r="CF132" s="100"/>
      <c r="CG132" s="100"/>
      <c r="CH132" s="100"/>
      <c r="CI132" s="100"/>
      <c r="CJ132" s="100"/>
      <c r="CK132" s="100"/>
      <c r="CL132" s="100"/>
      <c r="CM132" s="100"/>
      <c r="CN132" s="100"/>
      <c r="CO132" s="100"/>
      <c r="CP132" s="100"/>
      <c r="CQ132" s="100"/>
      <c r="CR132" s="100"/>
      <c r="CS132" s="100"/>
      <c r="CT132" s="100"/>
      <c r="CU132" s="100"/>
      <c r="CV132" s="100"/>
      <c r="CW132" s="100"/>
      <c r="CX132" s="100"/>
      <c r="CY132" s="100"/>
      <c r="CZ132" s="100"/>
      <c r="DA132" s="100"/>
      <c r="DB132" s="100"/>
      <c r="DC132" s="100"/>
      <c r="DD132" s="100"/>
      <c r="DE132" s="100"/>
      <c r="DF132" s="100"/>
      <c r="DG132" s="100"/>
      <c r="DH132" s="100"/>
      <c r="DI132" s="100"/>
      <c r="DJ132" s="100"/>
      <c r="DK132" s="100"/>
      <c r="DL132" s="100"/>
      <c r="DM132" s="100"/>
      <c r="DN132" s="100"/>
      <c r="DO132" s="100"/>
      <c r="DP132" s="100"/>
    </row>
    <row r="133" customFormat="false" ht="12.8" hidden="false" customHeight="false" outlineLevel="0" collapsed="false">
      <c r="A133" s="120"/>
      <c r="B133" s="120"/>
      <c r="C133" s="120"/>
      <c r="D133" s="120"/>
      <c r="E133" s="120"/>
      <c r="F133" s="120"/>
      <c r="G133" s="193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00"/>
      <c r="AA133" s="100"/>
      <c r="AB133" s="100"/>
      <c r="AC133" s="100"/>
      <c r="AD133" s="100"/>
      <c r="AE133" s="100"/>
      <c r="AF133" s="100"/>
      <c r="AG133" s="163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0"/>
      <c r="AZ133" s="100"/>
      <c r="BA133" s="100"/>
      <c r="BB133" s="100"/>
      <c r="BC133" s="100"/>
      <c r="BD133" s="100"/>
      <c r="BE133" s="100"/>
      <c r="BF133" s="100"/>
      <c r="BG133" s="100"/>
      <c r="BH133" s="100"/>
      <c r="BI133" s="100"/>
      <c r="BJ133" s="100"/>
      <c r="BK133" s="100"/>
      <c r="BL133" s="100"/>
      <c r="BM133" s="100"/>
      <c r="BN133" s="100"/>
      <c r="BO133" s="100"/>
      <c r="BP133" s="100"/>
      <c r="BQ133" s="120"/>
      <c r="BR133" s="120"/>
      <c r="BS133" s="120"/>
      <c r="BT133" s="120"/>
      <c r="BU133" s="120"/>
      <c r="BV133" s="120"/>
      <c r="BW133" s="120"/>
      <c r="BX133" s="120"/>
      <c r="BY133" s="120"/>
      <c r="BZ133" s="120"/>
      <c r="CA133" s="120"/>
      <c r="CB133" s="120"/>
      <c r="CC133" s="120"/>
      <c r="CD133" s="120"/>
      <c r="CE133" s="120"/>
      <c r="CF133" s="100"/>
      <c r="CG133" s="100"/>
      <c r="CH133" s="100"/>
      <c r="CI133" s="100"/>
      <c r="CJ133" s="100"/>
      <c r="CK133" s="100"/>
      <c r="CL133" s="100"/>
      <c r="CM133" s="100"/>
      <c r="CN133" s="100"/>
      <c r="CO133" s="100"/>
      <c r="CP133" s="100"/>
      <c r="CQ133" s="100"/>
      <c r="CR133" s="100"/>
      <c r="CS133" s="100"/>
      <c r="CT133" s="100"/>
      <c r="CU133" s="100"/>
      <c r="CV133" s="100"/>
      <c r="CW133" s="100"/>
      <c r="CX133" s="100"/>
      <c r="CY133" s="100"/>
      <c r="CZ133" s="100"/>
      <c r="DA133" s="100"/>
      <c r="DB133" s="100"/>
      <c r="DC133" s="100"/>
      <c r="DD133" s="100"/>
      <c r="DE133" s="100"/>
      <c r="DF133" s="100"/>
      <c r="DG133" s="100"/>
      <c r="DH133" s="100"/>
      <c r="DI133" s="100"/>
      <c r="DJ133" s="100"/>
      <c r="DK133" s="100"/>
      <c r="DL133" s="100"/>
      <c r="DM133" s="100"/>
      <c r="DN133" s="100"/>
      <c r="DO133" s="100"/>
      <c r="DP133" s="100"/>
    </row>
    <row r="134" customFormat="false" ht="12.8" hidden="false" customHeight="false" outlineLevel="0" collapsed="false">
      <c r="A134" s="120"/>
      <c r="B134" s="120"/>
      <c r="C134" s="120"/>
      <c r="D134" s="120"/>
      <c r="E134" s="120"/>
      <c r="F134" s="120"/>
      <c r="G134" s="193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00"/>
      <c r="AA134" s="100"/>
      <c r="AB134" s="100"/>
      <c r="AC134" s="100"/>
      <c r="AD134" s="100"/>
      <c r="AE134" s="100"/>
      <c r="AF134" s="100"/>
      <c r="AG134" s="163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0"/>
      <c r="AZ134" s="100"/>
      <c r="BA134" s="100"/>
      <c r="BB134" s="100"/>
      <c r="BC134" s="100"/>
      <c r="BD134" s="100"/>
      <c r="BE134" s="100"/>
      <c r="BF134" s="100"/>
      <c r="BG134" s="100"/>
      <c r="BH134" s="100"/>
      <c r="BI134" s="100"/>
      <c r="BJ134" s="100"/>
      <c r="BK134" s="100"/>
      <c r="BL134" s="100"/>
      <c r="BM134" s="100"/>
      <c r="BN134" s="100"/>
      <c r="BO134" s="100"/>
      <c r="BP134" s="100"/>
      <c r="BQ134" s="120"/>
      <c r="BR134" s="120"/>
      <c r="BS134" s="120"/>
      <c r="BT134" s="120"/>
      <c r="BU134" s="120"/>
      <c r="BV134" s="120"/>
      <c r="BW134" s="120"/>
      <c r="BX134" s="120"/>
      <c r="BY134" s="120"/>
      <c r="BZ134" s="120"/>
      <c r="CA134" s="120"/>
      <c r="CB134" s="120"/>
      <c r="CC134" s="120"/>
      <c r="CD134" s="120"/>
      <c r="CE134" s="120"/>
      <c r="CF134" s="100"/>
      <c r="CG134" s="100"/>
      <c r="CH134" s="100"/>
      <c r="CI134" s="100"/>
      <c r="CJ134" s="100"/>
      <c r="CK134" s="100"/>
      <c r="CL134" s="100"/>
      <c r="CM134" s="100"/>
      <c r="CN134" s="100"/>
      <c r="CO134" s="100"/>
      <c r="CP134" s="100"/>
      <c r="CQ134" s="100"/>
      <c r="CR134" s="100"/>
      <c r="CS134" s="100"/>
      <c r="CT134" s="100"/>
      <c r="CU134" s="100"/>
      <c r="CV134" s="100"/>
      <c r="CW134" s="100"/>
      <c r="CX134" s="100"/>
      <c r="CY134" s="100"/>
      <c r="CZ134" s="100"/>
      <c r="DA134" s="100"/>
      <c r="DB134" s="100"/>
      <c r="DC134" s="100"/>
      <c r="DD134" s="100"/>
      <c r="DE134" s="100"/>
      <c r="DF134" s="100"/>
      <c r="DG134" s="100"/>
      <c r="DH134" s="100"/>
      <c r="DI134" s="100"/>
      <c r="DJ134" s="100"/>
      <c r="DK134" s="100"/>
      <c r="DL134" s="100"/>
      <c r="DM134" s="100"/>
      <c r="DN134" s="100"/>
      <c r="DO134" s="100"/>
      <c r="DP134" s="100"/>
    </row>
    <row r="135" customFormat="false" ht="12.8" hidden="false" customHeight="false" outlineLevel="0" collapsed="false">
      <c r="A135" s="120"/>
      <c r="B135" s="120"/>
      <c r="C135" s="120"/>
      <c r="D135" s="120"/>
      <c r="E135" s="120"/>
      <c r="F135" s="120"/>
      <c r="G135" s="193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00"/>
      <c r="AA135" s="100"/>
      <c r="AB135" s="100"/>
      <c r="AC135" s="100"/>
      <c r="AD135" s="100"/>
      <c r="AE135" s="100"/>
      <c r="AF135" s="100"/>
      <c r="AG135" s="163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0"/>
      <c r="AZ135" s="100"/>
      <c r="BA135" s="100"/>
      <c r="BB135" s="100"/>
      <c r="BC135" s="100"/>
      <c r="BD135" s="100"/>
      <c r="BE135" s="100"/>
      <c r="BF135" s="100"/>
      <c r="BG135" s="100"/>
      <c r="BH135" s="100"/>
      <c r="BI135" s="100"/>
      <c r="BJ135" s="100"/>
      <c r="BK135" s="100"/>
      <c r="BL135" s="100"/>
      <c r="BM135" s="100"/>
      <c r="BN135" s="100"/>
      <c r="BO135" s="100"/>
      <c r="BP135" s="100"/>
      <c r="BQ135" s="120"/>
      <c r="BR135" s="120"/>
      <c r="BS135" s="120"/>
      <c r="BT135" s="120"/>
      <c r="BU135" s="120"/>
      <c r="BV135" s="120"/>
      <c r="BW135" s="120"/>
      <c r="BX135" s="120"/>
      <c r="BY135" s="120"/>
      <c r="BZ135" s="120"/>
      <c r="CA135" s="120"/>
      <c r="CB135" s="120"/>
      <c r="CC135" s="120"/>
      <c r="CD135" s="120"/>
      <c r="CE135" s="120"/>
      <c r="CF135" s="100"/>
      <c r="CG135" s="100"/>
      <c r="CH135" s="100"/>
      <c r="CI135" s="100"/>
      <c r="CJ135" s="100"/>
      <c r="CK135" s="100"/>
      <c r="CL135" s="100"/>
      <c r="CM135" s="100"/>
      <c r="CN135" s="100"/>
      <c r="CO135" s="100"/>
      <c r="CP135" s="100"/>
      <c r="CQ135" s="100"/>
      <c r="CR135" s="100"/>
      <c r="CS135" s="100"/>
      <c r="CT135" s="100"/>
      <c r="CU135" s="100"/>
      <c r="CV135" s="100"/>
      <c r="CW135" s="100"/>
      <c r="CX135" s="100"/>
      <c r="CY135" s="100"/>
      <c r="CZ135" s="100"/>
      <c r="DA135" s="100"/>
      <c r="DB135" s="100"/>
      <c r="DC135" s="100"/>
      <c r="DD135" s="100"/>
      <c r="DE135" s="100"/>
      <c r="DF135" s="100"/>
      <c r="DG135" s="100"/>
      <c r="DH135" s="100"/>
      <c r="DI135" s="100"/>
      <c r="DJ135" s="100"/>
      <c r="DK135" s="100"/>
      <c r="DL135" s="100"/>
      <c r="DM135" s="100"/>
      <c r="DN135" s="100"/>
      <c r="DO135" s="100"/>
      <c r="DP135" s="100"/>
    </row>
    <row r="136" customFormat="false" ht="12.8" hidden="false" customHeight="false" outlineLevel="0" collapsed="false">
      <c r="A136" s="120"/>
      <c r="B136" s="120"/>
      <c r="C136" s="120"/>
      <c r="D136" s="120"/>
      <c r="E136" s="120"/>
      <c r="F136" s="120"/>
      <c r="G136" s="193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00"/>
      <c r="AA136" s="100"/>
      <c r="AB136" s="100"/>
      <c r="AC136" s="100"/>
      <c r="AD136" s="100"/>
      <c r="AE136" s="100"/>
      <c r="AF136" s="100"/>
      <c r="AG136" s="163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0"/>
      <c r="AV136" s="100"/>
      <c r="AW136" s="100"/>
      <c r="AX136" s="100"/>
      <c r="AY136" s="100"/>
      <c r="AZ136" s="100"/>
      <c r="BA136" s="100"/>
      <c r="BB136" s="100"/>
      <c r="BC136" s="100"/>
      <c r="BD136" s="100"/>
      <c r="BE136" s="100"/>
      <c r="BF136" s="100"/>
      <c r="BG136" s="100"/>
      <c r="BH136" s="100"/>
      <c r="BI136" s="100"/>
      <c r="BJ136" s="100"/>
      <c r="BK136" s="100"/>
      <c r="BL136" s="100"/>
      <c r="BM136" s="100"/>
      <c r="BN136" s="100"/>
      <c r="BO136" s="100"/>
      <c r="BP136" s="100"/>
      <c r="BQ136" s="120"/>
      <c r="BR136" s="120"/>
      <c r="BS136" s="120"/>
      <c r="BT136" s="120"/>
      <c r="BU136" s="120"/>
      <c r="BV136" s="120"/>
      <c r="BW136" s="120"/>
      <c r="BX136" s="120"/>
      <c r="BY136" s="120"/>
      <c r="BZ136" s="120"/>
      <c r="CA136" s="120"/>
      <c r="CB136" s="120"/>
      <c r="CC136" s="120"/>
      <c r="CD136" s="120"/>
      <c r="CE136" s="120"/>
      <c r="CF136" s="100"/>
      <c r="CG136" s="100"/>
      <c r="CH136" s="100"/>
      <c r="CI136" s="100"/>
      <c r="CJ136" s="100"/>
      <c r="CK136" s="100"/>
      <c r="CL136" s="100"/>
      <c r="CM136" s="100"/>
      <c r="CN136" s="100"/>
      <c r="CO136" s="100"/>
      <c r="CP136" s="100"/>
      <c r="CQ136" s="100"/>
      <c r="CR136" s="100"/>
      <c r="CS136" s="100"/>
      <c r="CT136" s="100"/>
      <c r="CU136" s="100"/>
      <c r="CV136" s="100"/>
      <c r="CW136" s="100"/>
      <c r="CX136" s="100"/>
      <c r="CY136" s="100"/>
      <c r="CZ136" s="100"/>
      <c r="DA136" s="100"/>
      <c r="DB136" s="100"/>
      <c r="DC136" s="100"/>
      <c r="DD136" s="100"/>
      <c r="DE136" s="100"/>
      <c r="DF136" s="100"/>
      <c r="DG136" s="100"/>
      <c r="DH136" s="100"/>
      <c r="DI136" s="100"/>
      <c r="DJ136" s="100"/>
      <c r="DK136" s="100"/>
      <c r="DL136" s="100"/>
      <c r="DM136" s="100"/>
      <c r="DN136" s="100"/>
      <c r="DO136" s="100"/>
      <c r="DP136" s="100"/>
    </row>
    <row r="137" customFormat="false" ht="12.8" hidden="false" customHeight="false" outlineLevel="0" collapsed="false">
      <c r="A137" s="120"/>
      <c r="B137" s="120"/>
      <c r="C137" s="120"/>
      <c r="D137" s="120"/>
      <c r="E137" s="120"/>
      <c r="F137" s="120"/>
      <c r="G137" s="193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00"/>
      <c r="AA137" s="100"/>
      <c r="AB137" s="100"/>
      <c r="AC137" s="100"/>
      <c r="AD137" s="100"/>
      <c r="AE137" s="100"/>
      <c r="AF137" s="100"/>
      <c r="AG137" s="163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0"/>
      <c r="BA137" s="100"/>
      <c r="BB137" s="100"/>
      <c r="BC137" s="100"/>
      <c r="BD137" s="100"/>
      <c r="BE137" s="100"/>
      <c r="BF137" s="100"/>
      <c r="BG137" s="100"/>
      <c r="BH137" s="100"/>
      <c r="BI137" s="100"/>
      <c r="BJ137" s="100"/>
      <c r="BK137" s="100"/>
      <c r="BL137" s="100"/>
      <c r="BM137" s="100"/>
      <c r="BN137" s="100"/>
      <c r="BO137" s="100"/>
      <c r="BP137" s="100"/>
      <c r="BQ137" s="120"/>
      <c r="BR137" s="120"/>
      <c r="BS137" s="120"/>
      <c r="BT137" s="120"/>
      <c r="BU137" s="120"/>
      <c r="BV137" s="120"/>
      <c r="BW137" s="120"/>
      <c r="BX137" s="120"/>
      <c r="BY137" s="120"/>
      <c r="BZ137" s="120"/>
      <c r="CA137" s="120"/>
      <c r="CB137" s="120"/>
      <c r="CC137" s="120"/>
      <c r="CD137" s="120"/>
      <c r="CE137" s="120"/>
      <c r="CF137" s="100"/>
      <c r="CG137" s="100"/>
      <c r="CH137" s="100"/>
      <c r="CI137" s="100"/>
      <c r="CJ137" s="100"/>
      <c r="CK137" s="100"/>
      <c r="CL137" s="100"/>
      <c r="CM137" s="100"/>
      <c r="CN137" s="100"/>
      <c r="CO137" s="100"/>
      <c r="CP137" s="100"/>
      <c r="CQ137" s="100"/>
      <c r="CR137" s="100"/>
      <c r="CS137" s="100"/>
      <c r="CT137" s="100"/>
      <c r="CU137" s="100"/>
      <c r="CV137" s="100"/>
      <c r="CW137" s="100"/>
      <c r="CX137" s="100"/>
      <c r="CY137" s="100"/>
      <c r="CZ137" s="100"/>
      <c r="DA137" s="100"/>
      <c r="DB137" s="100"/>
      <c r="DC137" s="100"/>
      <c r="DD137" s="100"/>
      <c r="DE137" s="100"/>
      <c r="DF137" s="100"/>
      <c r="DG137" s="100"/>
      <c r="DH137" s="100"/>
      <c r="DI137" s="100"/>
      <c r="DJ137" s="100"/>
      <c r="DK137" s="100"/>
      <c r="DL137" s="100"/>
      <c r="DM137" s="100"/>
      <c r="DN137" s="100"/>
      <c r="DO137" s="100"/>
      <c r="DP137" s="100"/>
    </row>
    <row r="138" customFormat="false" ht="12.8" hidden="false" customHeight="false" outlineLevel="0" collapsed="false">
      <c r="A138" s="120"/>
      <c r="B138" s="120"/>
      <c r="C138" s="120"/>
      <c r="D138" s="120"/>
      <c r="E138" s="120"/>
      <c r="F138" s="120"/>
      <c r="G138" s="193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00"/>
      <c r="AA138" s="100"/>
      <c r="AB138" s="100"/>
      <c r="AC138" s="100"/>
      <c r="AD138" s="100"/>
      <c r="AE138" s="100"/>
      <c r="AF138" s="100"/>
      <c r="AG138" s="163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100"/>
      <c r="AW138" s="100"/>
      <c r="AX138" s="100"/>
      <c r="AY138" s="100"/>
      <c r="AZ138" s="100"/>
      <c r="BA138" s="100"/>
      <c r="BB138" s="100"/>
      <c r="BC138" s="100"/>
      <c r="BD138" s="100"/>
      <c r="BE138" s="100"/>
      <c r="BF138" s="100"/>
      <c r="BG138" s="100"/>
      <c r="BH138" s="100"/>
      <c r="BI138" s="100"/>
      <c r="BJ138" s="100"/>
      <c r="BK138" s="100"/>
      <c r="BL138" s="100"/>
      <c r="BM138" s="100"/>
      <c r="BN138" s="100"/>
      <c r="BO138" s="100"/>
      <c r="BP138" s="100"/>
      <c r="BQ138" s="120"/>
      <c r="BR138" s="120"/>
      <c r="BS138" s="120"/>
      <c r="BT138" s="120"/>
      <c r="BU138" s="120"/>
      <c r="BV138" s="120"/>
      <c r="BW138" s="120"/>
      <c r="BX138" s="120"/>
      <c r="BY138" s="120"/>
      <c r="BZ138" s="120"/>
      <c r="CA138" s="120"/>
      <c r="CB138" s="120"/>
      <c r="CC138" s="120"/>
      <c r="CD138" s="120"/>
      <c r="CE138" s="120"/>
      <c r="CF138" s="100"/>
      <c r="CG138" s="100"/>
      <c r="CH138" s="100"/>
      <c r="CI138" s="100"/>
      <c r="CJ138" s="100"/>
      <c r="CK138" s="100"/>
      <c r="CL138" s="100"/>
      <c r="CM138" s="100"/>
      <c r="CN138" s="100"/>
      <c r="CO138" s="100"/>
      <c r="CP138" s="100"/>
      <c r="CQ138" s="100"/>
      <c r="CR138" s="100"/>
      <c r="CS138" s="100"/>
      <c r="CT138" s="100"/>
      <c r="CU138" s="100"/>
      <c r="CV138" s="100"/>
      <c r="CW138" s="100"/>
      <c r="CX138" s="100"/>
      <c r="CY138" s="100"/>
      <c r="CZ138" s="100"/>
      <c r="DA138" s="100"/>
      <c r="DB138" s="100"/>
      <c r="DC138" s="100"/>
      <c r="DD138" s="100"/>
      <c r="DE138" s="100"/>
      <c r="DF138" s="100"/>
      <c r="DG138" s="100"/>
      <c r="DH138" s="100"/>
      <c r="DI138" s="100"/>
      <c r="DJ138" s="100"/>
      <c r="DK138" s="100"/>
      <c r="DL138" s="100"/>
      <c r="DM138" s="100"/>
      <c r="DN138" s="100"/>
      <c r="DO138" s="100"/>
      <c r="DP138" s="100"/>
    </row>
    <row r="139" customFormat="false" ht="12.8" hidden="false" customHeight="false" outlineLevel="0" collapsed="false">
      <c r="A139" s="120"/>
      <c r="B139" s="120"/>
      <c r="C139" s="120"/>
      <c r="D139" s="120"/>
      <c r="E139" s="120"/>
      <c r="F139" s="120"/>
      <c r="G139" s="193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00"/>
      <c r="AA139" s="100"/>
      <c r="AB139" s="100"/>
      <c r="AC139" s="100"/>
      <c r="AD139" s="100"/>
      <c r="AE139" s="100"/>
      <c r="AF139" s="100"/>
      <c r="AG139" s="163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  <c r="AW139" s="100"/>
      <c r="AX139" s="100"/>
      <c r="AY139" s="100"/>
      <c r="AZ139" s="100"/>
      <c r="BA139" s="100"/>
      <c r="BB139" s="100"/>
      <c r="BC139" s="100"/>
      <c r="BD139" s="100"/>
      <c r="BE139" s="100"/>
      <c r="BF139" s="100"/>
      <c r="BG139" s="100"/>
      <c r="BH139" s="100"/>
      <c r="BI139" s="100"/>
      <c r="BJ139" s="100"/>
      <c r="BK139" s="100"/>
      <c r="BL139" s="100"/>
      <c r="BM139" s="100"/>
      <c r="BN139" s="100"/>
      <c r="BO139" s="100"/>
      <c r="BP139" s="100"/>
      <c r="BQ139" s="120"/>
      <c r="BR139" s="120"/>
      <c r="BS139" s="120"/>
      <c r="BT139" s="120"/>
      <c r="BU139" s="120"/>
      <c r="BV139" s="120"/>
      <c r="BW139" s="120"/>
      <c r="BX139" s="120"/>
      <c r="BY139" s="120"/>
      <c r="BZ139" s="120"/>
      <c r="CA139" s="120"/>
      <c r="CB139" s="120"/>
      <c r="CC139" s="120"/>
      <c r="CD139" s="120"/>
      <c r="CE139" s="120"/>
      <c r="CF139" s="100"/>
      <c r="CG139" s="100"/>
      <c r="CH139" s="100"/>
      <c r="CI139" s="100"/>
      <c r="CJ139" s="100"/>
      <c r="CK139" s="100"/>
      <c r="CL139" s="100"/>
      <c r="CM139" s="100"/>
      <c r="CN139" s="100"/>
      <c r="CO139" s="100"/>
      <c r="CP139" s="100"/>
      <c r="CQ139" s="100"/>
      <c r="CR139" s="100"/>
      <c r="CS139" s="100"/>
      <c r="CT139" s="100"/>
      <c r="CU139" s="100"/>
      <c r="CV139" s="100"/>
      <c r="CW139" s="100"/>
      <c r="CX139" s="100"/>
      <c r="CY139" s="100"/>
      <c r="CZ139" s="100"/>
      <c r="DA139" s="100"/>
      <c r="DB139" s="100"/>
      <c r="DC139" s="100"/>
      <c r="DD139" s="100"/>
      <c r="DE139" s="100"/>
      <c r="DF139" s="100"/>
      <c r="DG139" s="100"/>
      <c r="DH139" s="100"/>
      <c r="DI139" s="100"/>
      <c r="DJ139" s="100"/>
      <c r="DK139" s="100"/>
      <c r="DL139" s="100"/>
      <c r="DM139" s="100"/>
      <c r="DN139" s="100"/>
      <c r="DO139" s="100"/>
      <c r="DP139" s="100"/>
    </row>
    <row r="140" customFormat="false" ht="12.8" hidden="false" customHeight="false" outlineLevel="0" collapsed="false">
      <c r="A140" s="120"/>
      <c r="B140" s="120"/>
      <c r="C140" s="120"/>
      <c r="D140" s="120"/>
      <c r="E140" s="120"/>
      <c r="F140" s="120"/>
      <c r="G140" s="193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00"/>
      <c r="AA140" s="100"/>
      <c r="AB140" s="100"/>
      <c r="AC140" s="100"/>
      <c r="AD140" s="100"/>
      <c r="AE140" s="100"/>
      <c r="AF140" s="100"/>
      <c r="AG140" s="163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  <c r="AW140" s="100"/>
      <c r="AX140" s="100"/>
      <c r="AY140" s="100"/>
      <c r="AZ140" s="100"/>
      <c r="BA140" s="100"/>
      <c r="BB140" s="100"/>
      <c r="BC140" s="100"/>
      <c r="BD140" s="100"/>
      <c r="BE140" s="100"/>
      <c r="BF140" s="100"/>
      <c r="BG140" s="100"/>
      <c r="BH140" s="100"/>
      <c r="BI140" s="100"/>
      <c r="BJ140" s="100"/>
      <c r="BK140" s="100"/>
      <c r="BL140" s="100"/>
      <c r="BM140" s="100"/>
      <c r="BN140" s="100"/>
      <c r="BO140" s="100"/>
      <c r="BP140" s="100"/>
      <c r="BQ140" s="120"/>
      <c r="BR140" s="120"/>
      <c r="BS140" s="120"/>
      <c r="BT140" s="120"/>
      <c r="BU140" s="120"/>
      <c r="BV140" s="120"/>
      <c r="BW140" s="120"/>
      <c r="BX140" s="120"/>
      <c r="BY140" s="120"/>
      <c r="BZ140" s="120"/>
      <c r="CA140" s="120"/>
      <c r="CB140" s="120"/>
      <c r="CC140" s="120"/>
      <c r="CD140" s="120"/>
      <c r="CE140" s="120"/>
      <c r="CF140" s="100"/>
      <c r="CG140" s="100"/>
      <c r="CH140" s="100"/>
      <c r="CI140" s="100"/>
      <c r="CJ140" s="100"/>
      <c r="CK140" s="100"/>
      <c r="CL140" s="100"/>
      <c r="CM140" s="100"/>
      <c r="CN140" s="100"/>
      <c r="CO140" s="100"/>
      <c r="CP140" s="100"/>
      <c r="CQ140" s="100"/>
      <c r="CR140" s="100"/>
      <c r="CS140" s="100"/>
      <c r="CT140" s="100"/>
      <c r="CU140" s="100"/>
      <c r="CV140" s="100"/>
      <c r="CW140" s="100"/>
      <c r="CX140" s="100"/>
      <c r="CY140" s="100"/>
      <c r="CZ140" s="100"/>
      <c r="DA140" s="100"/>
      <c r="DB140" s="100"/>
      <c r="DC140" s="100"/>
      <c r="DD140" s="100"/>
      <c r="DE140" s="100"/>
      <c r="DF140" s="100"/>
      <c r="DG140" s="100"/>
      <c r="DH140" s="100"/>
      <c r="DI140" s="100"/>
      <c r="DJ140" s="100"/>
      <c r="DK140" s="100"/>
      <c r="DL140" s="100"/>
      <c r="DM140" s="100"/>
      <c r="DN140" s="100"/>
      <c r="DO140" s="100"/>
      <c r="DP140" s="100"/>
    </row>
    <row r="141" customFormat="false" ht="12.8" hidden="false" customHeight="false" outlineLevel="0" collapsed="false">
      <c r="A141" s="120"/>
      <c r="B141" s="120"/>
      <c r="C141" s="120"/>
      <c r="D141" s="120"/>
      <c r="E141" s="120"/>
      <c r="F141" s="120"/>
      <c r="G141" s="193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00"/>
      <c r="AA141" s="100"/>
      <c r="AB141" s="100"/>
      <c r="AC141" s="100"/>
      <c r="AD141" s="100"/>
      <c r="AE141" s="100"/>
      <c r="AF141" s="100"/>
      <c r="AG141" s="163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  <c r="BF141" s="100"/>
      <c r="BG141" s="100"/>
      <c r="BH141" s="100"/>
      <c r="BI141" s="100"/>
      <c r="BJ141" s="100"/>
      <c r="BK141" s="100"/>
      <c r="BL141" s="100"/>
      <c r="BM141" s="100"/>
      <c r="BN141" s="100"/>
      <c r="BO141" s="100"/>
      <c r="BP141" s="100"/>
      <c r="BQ141" s="120"/>
      <c r="BR141" s="120"/>
      <c r="BS141" s="120"/>
      <c r="BT141" s="120"/>
      <c r="BU141" s="120"/>
      <c r="BV141" s="120"/>
      <c r="BW141" s="120"/>
      <c r="BX141" s="120"/>
      <c r="BY141" s="120"/>
      <c r="BZ141" s="120"/>
      <c r="CA141" s="120"/>
      <c r="CB141" s="120"/>
      <c r="CC141" s="120"/>
      <c r="CD141" s="120"/>
      <c r="CE141" s="120"/>
      <c r="CF141" s="100"/>
      <c r="CG141" s="100"/>
      <c r="CH141" s="100"/>
      <c r="CI141" s="100"/>
      <c r="CJ141" s="100"/>
      <c r="CK141" s="100"/>
      <c r="CL141" s="100"/>
      <c r="CM141" s="100"/>
      <c r="CN141" s="100"/>
      <c r="CO141" s="100"/>
      <c r="CP141" s="100"/>
      <c r="CQ141" s="100"/>
      <c r="CR141" s="100"/>
      <c r="CS141" s="100"/>
      <c r="CT141" s="100"/>
      <c r="CU141" s="100"/>
      <c r="CV141" s="100"/>
      <c r="CW141" s="100"/>
      <c r="CX141" s="100"/>
      <c r="CY141" s="100"/>
      <c r="CZ141" s="100"/>
      <c r="DA141" s="100"/>
      <c r="DB141" s="100"/>
      <c r="DC141" s="100"/>
      <c r="DD141" s="100"/>
      <c r="DE141" s="100"/>
      <c r="DF141" s="100"/>
      <c r="DG141" s="100"/>
      <c r="DH141" s="100"/>
      <c r="DI141" s="100"/>
      <c r="DJ141" s="100"/>
      <c r="DK141" s="100"/>
      <c r="DL141" s="100"/>
      <c r="DM141" s="100"/>
      <c r="DN141" s="100"/>
      <c r="DO141" s="100"/>
      <c r="DP141" s="100"/>
    </row>
    <row r="142" customFormat="false" ht="12.8" hidden="false" customHeight="false" outlineLevel="0" collapsed="false">
      <c r="A142" s="120"/>
      <c r="B142" s="120"/>
      <c r="C142" s="120"/>
      <c r="D142" s="120"/>
      <c r="E142" s="120"/>
      <c r="F142" s="120"/>
      <c r="G142" s="193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00"/>
      <c r="AA142" s="100"/>
      <c r="AB142" s="100"/>
      <c r="AC142" s="100"/>
      <c r="AD142" s="100"/>
      <c r="AE142" s="100"/>
      <c r="AF142" s="100"/>
      <c r="AG142" s="163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  <c r="BD142" s="100"/>
      <c r="BE142" s="100"/>
      <c r="BF142" s="100"/>
      <c r="BG142" s="100"/>
      <c r="BH142" s="100"/>
      <c r="BI142" s="100"/>
      <c r="BJ142" s="100"/>
      <c r="BK142" s="100"/>
      <c r="BL142" s="100"/>
      <c r="BM142" s="100"/>
      <c r="BN142" s="100"/>
      <c r="BO142" s="100"/>
      <c r="BP142" s="100"/>
      <c r="BQ142" s="120"/>
      <c r="BR142" s="120"/>
      <c r="BS142" s="120"/>
      <c r="BT142" s="120"/>
      <c r="BU142" s="120"/>
      <c r="BV142" s="120"/>
      <c r="BW142" s="120"/>
      <c r="BX142" s="120"/>
      <c r="BY142" s="120"/>
      <c r="BZ142" s="120"/>
      <c r="CA142" s="120"/>
      <c r="CB142" s="120"/>
      <c r="CC142" s="120"/>
      <c r="CD142" s="120"/>
      <c r="CE142" s="120"/>
      <c r="CF142" s="100"/>
      <c r="CG142" s="100"/>
      <c r="CH142" s="100"/>
      <c r="CI142" s="100"/>
      <c r="CJ142" s="100"/>
      <c r="CK142" s="100"/>
      <c r="CL142" s="100"/>
      <c r="CM142" s="100"/>
      <c r="CN142" s="100"/>
      <c r="CO142" s="100"/>
      <c r="CP142" s="100"/>
      <c r="CQ142" s="100"/>
      <c r="CR142" s="100"/>
      <c r="CS142" s="100"/>
      <c r="CT142" s="100"/>
      <c r="CU142" s="100"/>
      <c r="CV142" s="100"/>
      <c r="CW142" s="100"/>
      <c r="CX142" s="100"/>
      <c r="CY142" s="100"/>
      <c r="CZ142" s="100"/>
      <c r="DA142" s="100"/>
      <c r="DB142" s="100"/>
      <c r="DC142" s="100"/>
      <c r="DD142" s="100"/>
      <c r="DE142" s="100"/>
      <c r="DF142" s="100"/>
      <c r="DG142" s="100"/>
      <c r="DH142" s="100"/>
      <c r="DI142" s="100"/>
      <c r="DJ142" s="100"/>
      <c r="DK142" s="100"/>
      <c r="DL142" s="100"/>
      <c r="DM142" s="100"/>
      <c r="DN142" s="100"/>
      <c r="DO142" s="100"/>
      <c r="DP142" s="100"/>
    </row>
    <row r="143" customFormat="false" ht="12.8" hidden="false" customHeight="false" outlineLevel="0" collapsed="false">
      <c r="A143" s="120"/>
      <c r="B143" s="120"/>
      <c r="C143" s="120"/>
      <c r="D143" s="120"/>
      <c r="E143" s="120"/>
      <c r="F143" s="120"/>
      <c r="G143" s="193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00"/>
      <c r="AA143" s="100"/>
      <c r="AB143" s="100"/>
      <c r="AC143" s="100"/>
      <c r="AD143" s="100"/>
      <c r="AE143" s="100"/>
      <c r="AF143" s="100"/>
      <c r="AG143" s="163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  <c r="AW143" s="100"/>
      <c r="AX143" s="100"/>
      <c r="AY143" s="100"/>
      <c r="AZ143" s="100"/>
      <c r="BA143" s="100"/>
      <c r="BB143" s="100"/>
      <c r="BC143" s="100"/>
      <c r="BD143" s="100"/>
      <c r="BE143" s="100"/>
      <c r="BF143" s="100"/>
      <c r="BG143" s="100"/>
      <c r="BH143" s="100"/>
      <c r="BI143" s="100"/>
      <c r="BJ143" s="100"/>
      <c r="BK143" s="100"/>
      <c r="BL143" s="100"/>
      <c r="BM143" s="100"/>
      <c r="BN143" s="100"/>
      <c r="BO143" s="100"/>
      <c r="BP143" s="100"/>
      <c r="BQ143" s="120"/>
      <c r="BR143" s="120"/>
      <c r="BS143" s="120"/>
      <c r="BT143" s="120"/>
      <c r="BU143" s="120"/>
      <c r="BV143" s="120"/>
      <c r="BW143" s="120"/>
      <c r="BX143" s="120"/>
      <c r="BY143" s="120"/>
      <c r="BZ143" s="120"/>
      <c r="CA143" s="120"/>
      <c r="CB143" s="120"/>
      <c r="CC143" s="120"/>
      <c r="CD143" s="120"/>
      <c r="CE143" s="120"/>
      <c r="CF143" s="100"/>
      <c r="CG143" s="100"/>
      <c r="CH143" s="100"/>
      <c r="CI143" s="100"/>
      <c r="CJ143" s="100"/>
      <c r="CK143" s="100"/>
      <c r="CL143" s="100"/>
      <c r="CM143" s="100"/>
      <c r="CN143" s="100"/>
      <c r="CO143" s="100"/>
      <c r="CP143" s="100"/>
      <c r="CQ143" s="100"/>
      <c r="CR143" s="100"/>
      <c r="CS143" s="100"/>
      <c r="CT143" s="100"/>
      <c r="CU143" s="100"/>
      <c r="CV143" s="100"/>
      <c r="CW143" s="100"/>
      <c r="CX143" s="100"/>
      <c r="CY143" s="100"/>
      <c r="CZ143" s="100"/>
      <c r="DA143" s="100"/>
      <c r="DB143" s="100"/>
      <c r="DC143" s="100"/>
      <c r="DD143" s="100"/>
      <c r="DE143" s="100"/>
      <c r="DF143" s="100"/>
      <c r="DG143" s="100"/>
      <c r="DH143" s="100"/>
      <c r="DI143" s="100"/>
      <c r="DJ143" s="100"/>
      <c r="DK143" s="100"/>
      <c r="DL143" s="100"/>
      <c r="DM143" s="100"/>
      <c r="DN143" s="100"/>
      <c r="DO143" s="100"/>
      <c r="DP143" s="100"/>
    </row>
    <row r="144" customFormat="false" ht="12.8" hidden="false" customHeight="false" outlineLevel="0" collapsed="false">
      <c r="A144" s="120"/>
      <c r="B144" s="120"/>
      <c r="C144" s="120"/>
      <c r="D144" s="120"/>
      <c r="E144" s="120"/>
      <c r="F144" s="120"/>
      <c r="G144" s="193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00"/>
      <c r="AA144" s="100"/>
      <c r="AB144" s="100"/>
      <c r="AC144" s="100"/>
      <c r="AD144" s="100"/>
      <c r="AE144" s="100"/>
      <c r="AF144" s="100"/>
      <c r="AG144" s="163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  <c r="AW144" s="100"/>
      <c r="AX144" s="100"/>
      <c r="AY144" s="100"/>
      <c r="AZ144" s="100"/>
      <c r="BA144" s="100"/>
      <c r="BB144" s="100"/>
      <c r="BC144" s="100"/>
      <c r="BD144" s="100"/>
      <c r="BE144" s="100"/>
      <c r="BF144" s="100"/>
      <c r="BG144" s="100"/>
      <c r="BH144" s="100"/>
      <c r="BI144" s="100"/>
      <c r="BJ144" s="100"/>
      <c r="BK144" s="100"/>
      <c r="BL144" s="100"/>
      <c r="BM144" s="100"/>
      <c r="BN144" s="100"/>
      <c r="BO144" s="100"/>
      <c r="BP144" s="100"/>
      <c r="BQ144" s="120"/>
      <c r="BR144" s="120"/>
      <c r="BS144" s="120"/>
      <c r="BT144" s="120"/>
      <c r="BU144" s="120"/>
      <c r="BV144" s="120"/>
      <c r="BW144" s="120"/>
      <c r="BX144" s="120"/>
      <c r="BY144" s="120"/>
      <c r="BZ144" s="120"/>
      <c r="CA144" s="120"/>
      <c r="CB144" s="120"/>
      <c r="CC144" s="120"/>
      <c r="CD144" s="120"/>
      <c r="CE144" s="120"/>
      <c r="CF144" s="100"/>
      <c r="CG144" s="100"/>
      <c r="CH144" s="100"/>
      <c r="CI144" s="100"/>
      <c r="CJ144" s="100"/>
      <c r="CK144" s="100"/>
      <c r="CL144" s="100"/>
      <c r="CM144" s="100"/>
      <c r="CN144" s="100"/>
      <c r="CO144" s="100"/>
      <c r="CP144" s="100"/>
      <c r="CQ144" s="100"/>
      <c r="CR144" s="100"/>
      <c r="CS144" s="100"/>
      <c r="CT144" s="100"/>
      <c r="CU144" s="100"/>
      <c r="CV144" s="100"/>
      <c r="CW144" s="100"/>
      <c r="CX144" s="100"/>
      <c r="CY144" s="100"/>
      <c r="CZ144" s="100"/>
      <c r="DA144" s="100"/>
      <c r="DB144" s="100"/>
      <c r="DC144" s="100"/>
      <c r="DD144" s="100"/>
      <c r="DE144" s="100"/>
      <c r="DF144" s="100"/>
      <c r="DG144" s="100"/>
      <c r="DH144" s="100"/>
      <c r="DI144" s="100"/>
      <c r="DJ144" s="100"/>
      <c r="DK144" s="100"/>
      <c r="DL144" s="100"/>
      <c r="DM144" s="100"/>
      <c r="DN144" s="100"/>
      <c r="DO144" s="100"/>
      <c r="DP144" s="100"/>
    </row>
    <row r="145" customFormat="false" ht="12.8" hidden="false" customHeight="false" outlineLevel="0" collapsed="false">
      <c r="A145" s="120"/>
      <c r="B145" s="120"/>
      <c r="C145" s="120"/>
      <c r="D145" s="120"/>
      <c r="E145" s="120"/>
      <c r="F145" s="120"/>
      <c r="G145" s="193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00"/>
      <c r="AA145" s="100"/>
      <c r="AB145" s="100"/>
      <c r="AC145" s="100"/>
      <c r="AD145" s="100"/>
      <c r="AE145" s="100"/>
      <c r="AF145" s="100"/>
      <c r="AG145" s="163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  <c r="AW145" s="100"/>
      <c r="AX145" s="100"/>
      <c r="AY145" s="100"/>
      <c r="AZ145" s="100"/>
      <c r="BA145" s="100"/>
      <c r="BB145" s="100"/>
      <c r="BC145" s="100"/>
      <c r="BD145" s="100"/>
      <c r="BE145" s="100"/>
      <c r="BF145" s="100"/>
      <c r="BG145" s="100"/>
      <c r="BH145" s="100"/>
      <c r="BI145" s="100"/>
      <c r="BJ145" s="100"/>
      <c r="BK145" s="100"/>
      <c r="BL145" s="100"/>
      <c r="BM145" s="100"/>
      <c r="BN145" s="100"/>
      <c r="BO145" s="100"/>
      <c r="BP145" s="100"/>
      <c r="BQ145" s="120"/>
      <c r="BR145" s="120"/>
      <c r="BS145" s="120"/>
      <c r="BT145" s="120"/>
      <c r="BU145" s="120"/>
      <c r="BV145" s="120"/>
      <c r="BW145" s="120"/>
      <c r="BX145" s="120"/>
      <c r="BY145" s="120"/>
      <c r="BZ145" s="120"/>
      <c r="CA145" s="120"/>
      <c r="CB145" s="120"/>
      <c r="CC145" s="120"/>
      <c r="CD145" s="120"/>
      <c r="CE145" s="120"/>
      <c r="CF145" s="100"/>
      <c r="CG145" s="100"/>
      <c r="CH145" s="100"/>
      <c r="CI145" s="100"/>
      <c r="CJ145" s="100"/>
      <c r="CK145" s="100"/>
      <c r="CL145" s="100"/>
      <c r="CM145" s="100"/>
      <c r="CN145" s="100"/>
      <c r="CO145" s="100"/>
      <c r="CP145" s="100"/>
      <c r="CQ145" s="100"/>
      <c r="CR145" s="100"/>
      <c r="CS145" s="100"/>
      <c r="CT145" s="100"/>
      <c r="CU145" s="100"/>
      <c r="CV145" s="100"/>
      <c r="CW145" s="100"/>
      <c r="CX145" s="100"/>
      <c r="CY145" s="100"/>
      <c r="CZ145" s="100"/>
      <c r="DA145" s="100"/>
      <c r="DB145" s="100"/>
      <c r="DC145" s="100"/>
      <c r="DD145" s="100"/>
      <c r="DE145" s="100"/>
      <c r="DF145" s="100"/>
      <c r="DG145" s="100"/>
      <c r="DH145" s="100"/>
      <c r="DI145" s="100"/>
      <c r="DJ145" s="100"/>
      <c r="DK145" s="100"/>
      <c r="DL145" s="100"/>
      <c r="DM145" s="100"/>
      <c r="DN145" s="100"/>
      <c r="DO145" s="100"/>
      <c r="DP145" s="100"/>
    </row>
    <row r="146" customFormat="false" ht="12.8" hidden="false" customHeight="false" outlineLevel="0" collapsed="false">
      <c r="A146" s="120"/>
      <c r="B146" s="120"/>
      <c r="C146" s="120"/>
      <c r="D146" s="120"/>
      <c r="E146" s="120"/>
      <c r="F146" s="120"/>
      <c r="G146" s="193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00"/>
      <c r="AA146" s="100"/>
      <c r="AB146" s="100"/>
      <c r="AC146" s="100"/>
      <c r="AD146" s="100"/>
      <c r="AE146" s="100"/>
      <c r="AF146" s="100"/>
      <c r="AG146" s="163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100"/>
      <c r="AW146" s="100"/>
      <c r="AX146" s="100"/>
      <c r="AY146" s="100"/>
      <c r="AZ146" s="100"/>
      <c r="BA146" s="100"/>
      <c r="BB146" s="100"/>
      <c r="BC146" s="100"/>
      <c r="BD146" s="100"/>
      <c r="BE146" s="100"/>
      <c r="BF146" s="100"/>
      <c r="BG146" s="100"/>
      <c r="BH146" s="100"/>
      <c r="BI146" s="100"/>
      <c r="BJ146" s="100"/>
      <c r="BK146" s="100"/>
      <c r="BL146" s="100"/>
      <c r="BM146" s="100"/>
      <c r="BN146" s="100"/>
      <c r="BO146" s="100"/>
      <c r="BP146" s="100"/>
      <c r="BQ146" s="120"/>
      <c r="BR146" s="120"/>
      <c r="BS146" s="120"/>
      <c r="BT146" s="120"/>
      <c r="BU146" s="120"/>
      <c r="BV146" s="120"/>
      <c r="BW146" s="120"/>
      <c r="BX146" s="120"/>
      <c r="BY146" s="120"/>
      <c r="BZ146" s="120"/>
      <c r="CA146" s="120"/>
      <c r="CB146" s="120"/>
      <c r="CC146" s="120"/>
      <c r="CD146" s="120"/>
      <c r="CE146" s="120"/>
      <c r="CF146" s="100"/>
      <c r="CG146" s="100"/>
      <c r="CH146" s="100"/>
      <c r="CI146" s="100"/>
      <c r="CJ146" s="100"/>
      <c r="CK146" s="100"/>
      <c r="CL146" s="100"/>
      <c r="CM146" s="100"/>
      <c r="CN146" s="100"/>
      <c r="CO146" s="100"/>
      <c r="CP146" s="100"/>
      <c r="CQ146" s="100"/>
      <c r="CR146" s="100"/>
      <c r="CS146" s="100"/>
      <c r="CT146" s="100"/>
      <c r="CU146" s="100"/>
      <c r="CV146" s="100"/>
      <c r="CW146" s="100"/>
      <c r="CX146" s="100"/>
      <c r="CY146" s="100"/>
      <c r="CZ146" s="100"/>
      <c r="DA146" s="100"/>
      <c r="DB146" s="100"/>
      <c r="DC146" s="100"/>
      <c r="DD146" s="100"/>
      <c r="DE146" s="100"/>
      <c r="DF146" s="100"/>
      <c r="DG146" s="100"/>
      <c r="DH146" s="100"/>
      <c r="DI146" s="100"/>
      <c r="DJ146" s="100"/>
      <c r="DK146" s="100"/>
      <c r="DL146" s="100"/>
      <c r="DM146" s="100"/>
      <c r="DN146" s="100"/>
      <c r="DO146" s="100"/>
      <c r="DP146" s="100"/>
    </row>
    <row r="147" customFormat="false" ht="12.8" hidden="false" customHeight="false" outlineLevel="0" collapsed="false">
      <c r="A147" s="120"/>
      <c r="B147" s="120"/>
      <c r="C147" s="120"/>
      <c r="D147" s="120"/>
      <c r="E147" s="120"/>
      <c r="F147" s="120"/>
      <c r="G147" s="193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00"/>
      <c r="AA147" s="100"/>
      <c r="AB147" s="100"/>
      <c r="AC147" s="100"/>
      <c r="AD147" s="100"/>
      <c r="AE147" s="100"/>
      <c r="AF147" s="100"/>
      <c r="AG147" s="163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  <c r="BB147" s="100"/>
      <c r="BC147" s="100"/>
      <c r="BD147" s="100"/>
      <c r="BE147" s="100"/>
      <c r="BF147" s="100"/>
      <c r="BG147" s="100"/>
      <c r="BH147" s="100"/>
      <c r="BI147" s="100"/>
      <c r="BJ147" s="100"/>
      <c r="BK147" s="100"/>
      <c r="BL147" s="100"/>
      <c r="BM147" s="100"/>
      <c r="BN147" s="100"/>
      <c r="BO147" s="100"/>
      <c r="BP147" s="100"/>
      <c r="BQ147" s="120"/>
      <c r="BR147" s="120"/>
      <c r="BS147" s="120"/>
      <c r="BT147" s="120"/>
      <c r="BU147" s="120"/>
      <c r="BV147" s="120"/>
      <c r="BW147" s="120"/>
      <c r="BX147" s="120"/>
      <c r="BY147" s="120"/>
      <c r="BZ147" s="120"/>
      <c r="CA147" s="120"/>
      <c r="CB147" s="120"/>
      <c r="CC147" s="120"/>
      <c r="CD147" s="120"/>
      <c r="CE147" s="120"/>
      <c r="CF147" s="100"/>
      <c r="CG147" s="100"/>
      <c r="CH147" s="100"/>
      <c r="CI147" s="100"/>
      <c r="CJ147" s="100"/>
      <c r="CK147" s="100"/>
      <c r="CL147" s="100"/>
      <c r="CM147" s="100"/>
      <c r="CN147" s="100"/>
      <c r="CO147" s="100"/>
      <c r="CP147" s="100"/>
      <c r="CQ147" s="100"/>
      <c r="CR147" s="100"/>
      <c r="CS147" s="100"/>
      <c r="CT147" s="100"/>
      <c r="CU147" s="100"/>
      <c r="CV147" s="100"/>
      <c r="CW147" s="100"/>
      <c r="CX147" s="100"/>
      <c r="CY147" s="100"/>
      <c r="CZ147" s="100"/>
      <c r="DA147" s="100"/>
      <c r="DB147" s="100"/>
      <c r="DC147" s="100"/>
      <c r="DD147" s="100"/>
      <c r="DE147" s="100"/>
      <c r="DF147" s="100"/>
      <c r="DG147" s="100"/>
      <c r="DH147" s="100"/>
      <c r="DI147" s="100"/>
      <c r="DJ147" s="100"/>
      <c r="DK147" s="100"/>
      <c r="DL147" s="100"/>
      <c r="DM147" s="100"/>
      <c r="DN147" s="100"/>
      <c r="DO147" s="100"/>
      <c r="DP147" s="100"/>
    </row>
    <row r="148" customFormat="false" ht="12.8" hidden="false" customHeight="false" outlineLevel="0" collapsed="false">
      <c r="A148" s="120"/>
      <c r="B148" s="120"/>
      <c r="C148" s="120"/>
      <c r="D148" s="120"/>
      <c r="E148" s="120"/>
      <c r="F148" s="120"/>
      <c r="G148" s="193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00"/>
      <c r="AA148" s="100"/>
      <c r="AB148" s="100"/>
      <c r="AC148" s="100"/>
      <c r="AD148" s="100"/>
      <c r="AE148" s="100"/>
      <c r="AF148" s="100"/>
      <c r="AG148" s="163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  <c r="AW148" s="100"/>
      <c r="AX148" s="100"/>
      <c r="AY148" s="100"/>
      <c r="AZ148" s="100"/>
      <c r="BA148" s="100"/>
      <c r="BB148" s="100"/>
      <c r="BC148" s="100"/>
      <c r="BD148" s="100"/>
      <c r="BE148" s="100"/>
      <c r="BF148" s="100"/>
      <c r="BG148" s="100"/>
      <c r="BH148" s="100"/>
      <c r="BI148" s="100"/>
      <c r="BJ148" s="100"/>
      <c r="BK148" s="100"/>
      <c r="BL148" s="100"/>
      <c r="BM148" s="100"/>
      <c r="BN148" s="100"/>
      <c r="BO148" s="100"/>
      <c r="BP148" s="100"/>
      <c r="BQ148" s="120"/>
      <c r="BR148" s="120"/>
      <c r="BS148" s="120"/>
      <c r="BT148" s="120"/>
      <c r="BU148" s="120"/>
      <c r="BV148" s="120"/>
      <c r="BW148" s="120"/>
      <c r="BX148" s="120"/>
      <c r="BY148" s="120"/>
      <c r="BZ148" s="120"/>
      <c r="CA148" s="120"/>
      <c r="CB148" s="120"/>
      <c r="CC148" s="120"/>
      <c r="CD148" s="120"/>
      <c r="CE148" s="120"/>
      <c r="CF148" s="100"/>
      <c r="CG148" s="100"/>
      <c r="CH148" s="100"/>
      <c r="CI148" s="100"/>
      <c r="CJ148" s="100"/>
      <c r="CK148" s="100"/>
      <c r="CL148" s="100"/>
      <c r="CM148" s="100"/>
      <c r="CN148" s="100"/>
      <c r="CO148" s="100"/>
      <c r="CP148" s="100"/>
      <c r="CQ148" s="100"/>
      <c r="CR148" s="100"/>
      <c r="CS148" s="100"/>
      <c r="CT148" s="100"/>
      <c r="CU148" s="100"/>
      <c r="CV148" s="100"/>
      <c r="CW148" s="100"/>
      <c r="CX148" s="100"/>
      <c r="CY148" s="100"/>
      <c r="CZ148" s="100"/>
      <c r="DA148" s="100"/>
      <c r="DB148" s="100"/>
      <c r="DC148" s="100"/>
      <c r="DD148" s="100"/>
      <c r="DE148" s="100"/>
      <c r="DF148" s="100"/>
      <c r="DG148" s="100"/>
      <c r="DH148" s="100"/>
      <c r="DI148" s="100"/>
      <c r="DJ148" s="100"/>
      <c r="DK148" s="100"/>
      <c r="DL148" s="100"/>
      <c r="DM148" s="100"/>
      <c r="DN148" s="100"/>
      <c r="DO148" s="100"/>
      <c r="DP148" s="100"/>
    </row>
    <row r="149" customFormat="false" ht="12.8" hidden="false" customHeight="false" outlineLevel="0" collapsed="false">
      <c r="A149" s="120"/>
      <c r="B149" s="120"/>
      <c r="C149" s="120"/>
      <c r="D149" s="120"/>
      <c r="E149" s="120"/>
      <c r="F149" s="120"/>
      <c r="G149" s="193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00"/>
      <c r="AA149" s="100"/>
      <c r="AB149" s="100"/>
      <c r="AC149" s="100"/>
      <c r="AD149" s="100"/>
      <c r="AE149" s="100"/>
      <c r="AF149" s="100"/>
      <c r="AG149" s="163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  <c r="AW149" s="100"/>
      <c r="AX149" s="100"/>
      <c r="AY149" s="100"/>
      <c r="AZ149" s="100"/>
      <c r="BA149" s="100"/>
      <c r="BB149" s="100"/>
      <c r="BC149" s="100"/>
      <c r="BD149" s="100"/>
      <c r="BE149" s="100"/>
      <c r="BF149" s="100"/>
      <c r="BG149" s="100"/>
      <c r="BH149" s="100"/>
      <c r="BI149" s="100"/>
      <c r="BJ149" s="100"/>
      <c r="BK149" s="100"/>
      <c r="BL149" s="100"/>
      <c r="BM149" s="100"/>
      <c r="BN149" s="100"/>
      <c r="BO149" s="100"/>
      <c r="BP149" s="100"/>
      <c r="BQ149" s="120"/>
      <c r="BR149" s="120"/>
      <c r="BS149" s="120"/>
      <c r="BT149" s="120"/>
      <c r="BU149" s="120"/>
      <c r="BV149" s="120"/>
      <c r="BW149" s="120"/>
      <c r="BX149" s="120"/>
      <c r="BY149" s="120"/>
      <c r="BZ149" s="120"/>
      <c r="CA149" s="120"/>
      <c r="CB149" s="120"/>
      <c r="CC149" s="120"/>
      <c r="CD149" s="120"/>
      <c r="CE149" s="120"/>
      <c r="CF149" s="100"/>
      <c r="CG149" s="100"/>
      <c r="CH149" s="100"/>
      <c r="CI149" s="100"/>
      <c r="CJ149" s="100"/>
      <c r="CK149" s="100"/>
      <c r="CL149" s="100"/>
      <c r="CM149" s="100"/>
      <c r="CN149" s="100"/>
      <c r="CO149" s="100"/>
      <c r="CP149" s="100"/>
      <c r="CQ149" s="100"/>
      <c r="CR149" s="100"/>
      <c r="CS149" s="100"/>
      <c r="CT149" s="100"/>
      <c r="CU149" s="100"/>
      <c r="CV149" s="100"/>
      <c r="CW149" s="100"/>
      <c r="CX149" s="100"/>
      <c r="CY149" s="100"/>
      <c r="CZ149" s="100"/>
      <c r="DA149" s="100"/>
      <c r="DB149" s="100"/>
      <c r="DC149" s="100"/>
      <c r="DD149" s="100"/>
      <c r="DE149" s="100"/>
      <c r="DF149" s="100"/>
      <c r="DG149" s="100"/>
      <c r="DH149" s="100"/>
      <c r="DI149" s="100"/>
      <c r="DJ149" s="100"/>
      <c r="DK149" s="100"/>
      <c r="DL149" s="100"/>
      <c r="DM149" s="100"/>
      <c r="DN149" s="100"/>
      <c r="DO149" s="100"/>
      <c r="DP149" s="100"/>
    </row>
    <row r="150" customFormat="false" ht="12.8" hidden="false" customHeight="false" outlineLevel="0" collapsed="false">
      <c r="A150" s="120"/>
      <c r="B150" s="120"/>
      <c r="C150" s="120"/>
      <c r="D150" s="120"/>
      <c r="E150" s="120"/>
      <c r="F150" s="120"/>
      <c r="G150" s="193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00"/>
      <c r="AA150" s="100"/>
      <c r="AB150" s="100"/>
      <c r="AC150" s="100"/>
      <c r="AD150" s="100"/>
      <c r="AE150" s="100"/>
      <c r="AF150" s="100"/>
      <c r="AG150" s="163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  <c r="AW150" s="100"/>
      <c r="AX150" s="100"/>
      <c r="AY150" s="100"/>
      <c r="AZ150" s="100"/>
      <c r="BA150" s="100"/>
      <c r="BB150" s="100"/>
      <c r="BC150" s="100"/>
      <c r="BD150" s="100"/>
      <c r="BE150" s="100"/>
      <c r="BF150" s="100"/>
      <c r="BG150" s="100"/>
      <c r="BH150" s="100"/>
      <c r="BI150" s="100"/>
      <c r="BJ150" s="100"/>
      <c r="BK150" s="100"/>
      <c r="BL150" s="100"/>
      <c r="BM150" s="100"/>
      <c r="BN150" s="100"/>
      <c r="BO150" s="100"/>
      <c r="BP150" s="100"/>
      <c r="BQ150" s="120"/>
      <c r="BR150" s="120"/>
      <c r="BS150" s="120"/>
      <c r="BT150" s="120"/>
      <c r="BU150" s="120"/>
      <c r="BV150" s="120"/>
      <c r="BW150" s="120"/>
      <c r="BX150" s="120"/>
      <c r="BY150" s="120"/>
      <c r="BZ150" s="120"/>
      <c r="CA150" s="120"/>
      <c r="CB150" s="120"/>
      <c r="CC150" s="120"/>
      <c r="CD150" s="120"/>
      <c r="CE150" s="120"/>
      <c r="CF150" s="100"/>
      <c r="CG150" s="100"/>
      <c r="CH150" s="100"/>
      <c r="CI150" s="100"/>
      <c r="CJ150" s="100"/>
      <c r="CK150" s="100"/>
      <c r="CL150" s="100"/>
      <c r="CM150" s="100"/>
      <c r="CN150" s="100"/>
      <c r="CO150" s="100"/>
      <c r="CP150" s="100"/>
      <c r="CQ150" s="100"/>
      <c r="CR150" s="100"/>
      <c r="CS150" s="100"/>
      <c r="CT150" s="100"/>
      <c r="CU150" s="100"/>
      <c r="CV150" s="100"/>
      <c r="CW150" s="100"/>
      <c r="CX150" s="100"/>
      <c r="CY150" s="100"/>
      <c r="CZ150" s="100"/>
      <c r="DA150" s="100"/>
      <c r="DB150" s="100"/>
      <c r="DC150" s="100"/>
      <c r="DD150" s="100"/>
      <c r="DE150" s="100"/>
      <c r="DF150" s="100"/>
      <c r="DG150" s="100"/>
      <c r="DH150" s="100"/>
      <c r="DI150" s="100"/>
      <c r="DJ150" s="100"/>
      <c r="DK150" s="100"/>
      <c r="DL150" s="100"/>
      <c r="DM150" s="100"/>
      <c r="DN150" s="100"/>
      <c r="DO150" s="100"/>
      <c r="DP150" s="100"/>
    </row>
    <row r="151" customFormat="false" ht="12.8" hidden="false" customHeight="false" outlineLevel="0" collapsed="false">
      <c r="A151" s="120"/>
      <c r="B151" s="120"/>
      <c r="C151" s="120"/>
      <c r="D151" s="120"/>
      <c r="E151" s="120"/>
      <c r="F151" s="120"/>
      <c r="G151" s="193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00"/>
      <c r="AA151" s="100"/>
      <c r="AB151" s="100"/>
      <c r="AC151" s="100"/>
      <c r="AD151" s="100"/>
      <c r="AE151" s="100"/>
      <c r="AF151" s="100"/>
      <c r="AG151" s="163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  <c r="AW151" s="100"/>
      <c r="AX151" s="100"/>
      <c r="AY151" s="100"/>
      <c r="AZ151" s="100"/>
      <c r="BA151" s="100"/>
      <c r="BB151" s="100"/>
      <c r="BC151" s="100"/>
      <c r="BD151" s="100"/>
      <c r="BE151" s="100"/>
      <c r="BF151" s="100"/>
      <c r="BG151" s="100"/>
      <c r="BH151" s="100"/>
      <c r="BI151" s="100"/>
      <c r="BJ151" s="100"/>
      <c r="BK151" s="100"/>
      <c r="BL151" s="100"/>
      <c r="BM151" s="100"/>
      <c r="BN151" s="100"/>
      <c r="BO151" s="100"/>
      <c r="BP151" s="100"/>
      <c r="BQ151" s="120"/>
      <c r="BR151" s="120"/>
      <c r="BS151" s="120"/>
      <c r="BT151" s="120"/>
      <c r="BU151" s="120"/>
      <c r="BV151" s="120"/>
      <c r="BW151" s="120"/>
      <c r="BX151" s="120"/>
      <c r="BY151" s="120"/>
      <c r="BZ151" s="120"/>
      <c r="CA151" s="120"/>
      <c r="CB151" s="120"/>
      <c r="CC151" s="120"/>
      <c r="CD151" s="120"/>
      <c r="CE151" s="120"/>
      <c r="CF151" s="100"/>
      <c r="CG151" s="100"/>
      <c r="CH151" s="100"/>
      <c r="CI151" s="100"/>
      <c r="CJ151" s="100"/>
      <c r="CK151" s="100"/>
      <c r="CL151" s="100"/>
      <c r="CM151" s="100"/>
      <c r="CN151" s="100"/>
      <c r="CO151" s="100"/>
      <c r="CP151" s="100"/>
      <c r="CQ151" s="100"/>
      <c r="CR151" s="100"/>
      <c r="CS151" s="100"/>
      <c r="CT151" s="100"/>
      <c r="CU151" s="100"/>
      <c r="CV151" s="100"/>
      <c r="CW151" s="100"/>
      <c r="CX151" s="100"/>
      <c r="CY151" s="100"/>
      <c r="CZ151" s="100"/>
      <c r="DA151" s="100"/>
      <c r="DB151" s="100"/>
      <c r="DC151" s="100"/>
      <c r="DD151" s="100"/>
      <c r="DE151" s="100"/>
      <c r="DF151" s="100"/>
      <c r="DG151" s="100"/>
      <c r="DH151" s="100"/>
      <c r="DI151" s="100"/>
      <c r="DJ151" s="100"/>
      <c r="DK151" s="100"/>
      <c r="DL151" s="100"/>
      <c r="DM151" s="100"/>
      <c r="DN151" s="100"/>
      <c r="DO151" s="100"/>
      <c r="DP151" s="100"/>
    </row>
    <row r="152" customFormat="false" ht="12.8" hidden="false" customHeight="false" outlineLevel="0" collapsed="false">
      <c r="A152" s="120"/>
      <c r="B152" s="120"/>
      <c r="C152" s="120"/>
      <c r="D152" s="120"/>
      <c r="E152" s="120"/>
      <c r="F152" s="120"/>
      <c r="G152" s="193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00"/>
      <c r="AA152" s="100"/>
      <c r="AB152" s="100"/>
      <c r="AC152" s="100"/>
      <c r="AD152" s="100"/>
      <c r="AE152" s="100"/>
      <c r="AF152" s="100"/>
      <c r="AG152" s="163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  <c r="AW152" s="100"/>
      <c r="AX152" s="100"/>
      <c r="AY152" s="100"/>
      <c r="AZ152" s="100"/>
      <c r="BA152" s="100"/>
      <c r="BB152" s="100"/>
      <c r="BC152" s="100"/>
      <c r="BD152" s="100"/>
      <c r="BE152" s="100"/>
      <c r="BF152" s="100"/>
      <c r="BG152" s="100"/>
      <c r="BH152" s="100"/>
      <c r="BI152" s="100"/>
      <c r="BJ152" s="100"/>
      <c r="BK152" s="100"/>
      <c r="BL152" s="100"/>
      <c r="BM152" s="100"/>
      <c r="BN152" s="100"/>
      <c r="BO152" s="100"/>
      <c r="BP152" s="100"/>
      <c r="BQ152" s="120"/>
      <c r="BR152" s="120"/>
      <c r="BS152" s="120"/>
      <c r="BT152" s="120"/>
      <c r="BU152" s="120"/>
      <c r="BV152" s="120"/>
      <c r="BW152" s="120"/>
      <c r="BX152" s="120"/>
      <c r="BY152" s="120"/>
      <c r="BZ152" s="120"/>
      <c r="CA152" s="120"/>
      <c r="CB152" s="120"/>
      <c r="CC152" s="120"/>
      <c r="CD152" s="120"/>
      <c r="CE152" s="120"/>
      <c r="CF152" s="100"/>
      <c r="CG152" s="100"/>
      <c r="CH152" s="100"/>
      <c r="CI152" s="100"/>
      <c r="CJ152" s="100"/>
      <c r="CK152" s="100"/>
      <c r="CL152" s="100"/>
      <c r="CM152" s="100"/>
      <c r="CN152" s="100"/>
      <c r="CO152" s="100"/>
      <c r="CP152" s="100"/>
      <c r="CQ152" s="100"/>
      <c r="CR152" s="100"/>
      <c r="CS152" s="100"/>
      <c r="CT152" s="100"/>
      <c r="CU152" s="100"/>
      <c r="CV152" s="100"/>
      <c r="CW152" s="100"/>
      <c r="CX152" s="100"/>
      <c r="CY152" s="100"/>
      <c r="CZ152" s="100"/>
      <c r="DA152" s="100"/>
      <c r="DB152" s="100"/>
      <c r="DC152" s="100"/>
      <c r="DD152" s="100"/>
      <c r="DE152" s="100"/>
      <c r="DF152" s="100"/>
      <c r="DG152" s="100"/>
      <c r="DH152" s="100"/>
      <c r="DI152" s="100"/>
      <c r="DJ152" s="100"/>
      <c r="DK152" s="100"/>
      <c r="DL152" s="100"/>
      <c r="DM152" s="100"/>
      <c r="DN152" s="100"/>
      <c r="DO152" s="100"/>
      <c r="DP152" s="100"/>
    </row>
    <row r="153" customFormat="false" ht="12.8" hidden="false" customHeight="false" outlineLevel="0" collapsed="false">
      <c r="A153" s="120"/>
      <c r="B153" s="120"/>
      <c r="C153" s="120"/>
      <c r="D153" s="120"/>
      <c r="E153" s="120"/>
      <c r="F153" s="120"/>
      <c r="G153" s="193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00"/>
      <c r="AA153" s="100"/>
      <c r="AB153" s="100"/>
      <c r="AC153" s="100"/>
      <c r="AD153" s="100"/>
      <c r="AE153" s="100"/>
      <c r="AF153" s="100"/>
      <c r="AG153" s="163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0"/>
      <c r="BA153" s="100"/>
      <c r="BB153" s="100"/>
      <c r="BC153" s="100"/>
      <c r="BD153" s="100"/>
      <c r="BE153" s="100"/>
      <c r="BF153" s="100"/>
      <c r="BG153" s="100"/>
      <c r="BH153" s="100"/>
      <c r="BI153" s="100"/>
      <c r="BJ153" s="100"/>
      <c r="BK153" s="100"/>
      <c r="BL153" s="100"/>
      <c r="BM153" s="100"/>
      <c r="BN153" s="100"/>
      <c r="BO153" s="100"/>
      <c r="BP153" s="100"/>
      <c r="BQ153" s="120"/>
      <c r="BR153" s="120"/>
      <c r="BS153" s="120"/>
      <c r="BT153" s="120"/>
      <c r="BU153" s="120"/>
      <c r="BV153" s="120"/>
      <c r="BW153" s="120"/>
      <c r="BX153" s="120"/>
      <c r="BY153" s="120"/>
      <c r="BZ153" s="120"/>
      <c r="CA153" s="120"/>
      <c r="CB153" s="120"/>
      <c r="CC153" s="120"/>
      <c r="CD153" s="120"/>
      <c r="CE153" s="120"/>
      <c r="CF153" s="100"/>
      <c r="CG153" s="100"/>
      <c r="CH153" s="100"/>
      <c r="CI153" s="100"/>
      <c r="CJ153" s="100"/>
      <c r="CK153" s="100"/>
      <c r="CL153" s="100"/>
      <c r="CM153" s="100"/>
      <c r="CN153" s="100"/>
      <c r="CO153" s="100"/>
      <c r="CP153" s="100"/>
      <c r="CQ153" s="100"/>
      <c r="CR153" s="100"/>
      <c r="CS153" s="100"/>
      <c r="CT153" s="100"/>
      <c r="CU153" s="100"/>
      <c r="CV153" s="100"/>
      <c r="CW153" s="100"/>
      <c r="CX153" s="100"/>
      <c r="CY153" s="100"/>
      <c r="CZ153" s="100"/>
      <c r="DA153" s="100"/>
      <c r="DB153" s="100"/>
      <c r="DC153" s="100"/>
      <c r="DD153" s="100"/>
      <c r="DE153" s="100"/>
      <c r="DF153" s="100"/>
      <c r="DG153" s="100"/>
      <c r="DH153" s="100"/>
      <c r="DI153" s="100"/>
      <c r="DJ153" s="100"/>
      <c r="DK153" s="100"/>
      <c r="DL153" s="100"/>
      <c r="DM153" s="100"/>
      <c r="DN153" s="100"/>
      <c r="DO153" s="100"/>
      <c r="DP153" s="100"/>
    </row>
    <row r="154" customFormat="false" ht="12.8" hidden="false" customHeight="false" outlineLevel="0" collapsed="false">
      <c r="A154" s="120"/>
      <c r="B154" s="120"/>
      <c r="C154" s="120"/>
      <c r="D154" s="120"/>
      <c r="E154" s="120"/>
      <c r="F154" s="120"/>
      <c r="G154" s="193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00"/>
      <c r="AA154" s="100"/>
      <c r="AB154" s="100"/>
      <c r="AC154" s="100"/>
      <c r="AD154" s="100"/>
      <c r="AE154" s="100"/>
      <c r="AF154" s="100"/>
      <c r="AG154" s="163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  <c r="AW154" s="100"/>
      <c r="AX154" s="100"/>
      <c r="AY154" s="100"/>
      <c r="AZ154" s="100"/>
      <c r="BA154" s="100"/>
      <c r="BB154" s="100"/>
      <c r="BC154" s="100"/>
      <c r="BD154" s="100"/>
      <c r="BE154" s="100"/>
      <c r="BF154" s="100"/>
      <c r="BG154" s="100"/>
      <c r="BH154" s="100"/>
      <c r="BI154" s="100"/>
      <c r="BJ154" s="100"/>
      <c r="BK154" s="100"/>
      <c r="BL154" s="100"/>
      <c r="BM154" s="100"/>
      <c r="BN154" s="100"/>
      <c r="BO154" s="100"/>
      <c r="BP154" s="100"/>
      <c r="BQ154" s="120"/>
      <c r="BR154" s="120"/>
      <c r="BS154" s="120"/>
      <c r="BT154" s="120"/>
      <c r="BU154" s="120"/>
      <c r="BV154" s="120"/>
      <c r="BW154" s="120"/>
      <c r="BX154" s="120"/>
      <c r="BY154" s="120"/>
      <c r="BZ154" s="120"/>
      <c r="CA154" s="120"/>
      <c r="CB154" s="120"/>
      <c r="CC154" s="120"/>
      <c r="CD154" s="120"/>
      <c r="CE154" s="120"/>
      <c r="CF154" s="100"/>
      <c r="CG154" s="100"/>
      <c r="CH154" s="100"/>
      <c r="CI154" s="100"/>
      <c r="CJ154" s="100"/>
      <c r="CK154" s="100"/>
      <c r="CL154" s="100"/>
      <c r="CM154" s="100"/>
      <c r="CN154" s="100"/>
      <c r="CO154" s="100"/>
      <c r="CP154" s="100"/>
      <c r="CQ154" s="100"/>
      <c r="CR154" s="100"/>
      <c r="CS154" s="100"/>
      <c r="CT154" s="100"/>
      <c r="CU154" s="100"/>
      <c r="CV154" s="100"/>
      <c r="CW154" s="100"/>
      <c r="CX154" s="100"/>
      <c r="CY154" s="100"/>
      <c r="CZ154" s="100"/>
      <c r="DA154" s="100"/>
      <c r="DB154" s="100"/>
      <c r="DC154" s="100"/>
      <c r="DD154" s="100"/>
      <c r="DE154" s="100"/>
      <c r="DF154" s="100"/>
      <c r="DG154" s="100"/>
      <c r="DH154" s="100"/>
      <c r="DI154" s="100"/>
      <c r="DJ154" s="100"/>
      <c r="DK154" s="100"/>
      <c r="DL154" s="100"/>
      <c r="DM154" s="100"/>
      <c r="DN154" s="100"/>
      <c r="DO154" s="100"/>
      <c r="DP154" s="100"/>
    </row>
    <row r="155" customFormat="false" ht="12.8" hidden="false" customHeight="false" outlineLevel="0" collapsed="false">
      <c r="A155" s="120"/>
      <c r="B155" s="120"/>
      <c r="C155" s="120"/>
      <c r="D155" s="120"/>
      <c r="E155" s="120"/>
      <c r="F155" s="120"/>
      <c r="G155" s="193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00"/>
      <c r="AA155" s="100"/>
      <c r="AB155" s="100"/>
      <c r="AC155" s="100"/>
      <c r="AD155" s="100"/>
      <c r="AE155" s="100"/>
      <c r="AF155" s="100"/>
      <c r="AG155" s="163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0"/>
      <c r="BK155" s="100"/>
      <c r="BL155" s="100"/>
      <c r="BM155" s="100"/>
      <c r="BN155" s="100"/>
      <c r="BO155" s="100"/>
      <c r="BP155" s="100"/>
      <c r="BQ155" s="120"/>
      <c r="BR155" s="120"/>
      <c r="BS155" s="120"/>
      <c r="BT155" s="120"/>
      <c r="BU155" s="120"/>
      <c r="BV155" s="120"/>
      <c r="BW155" s="120"/>
      <c r="BX155" s="120"/>
      <c r="BY155" s="120"/>
      <c r="BZ155" s="120"/>
      <c r="CA155" s="120"/>
      <c r="CB155" s="120"/>
      <c r="CC155" s="120"/>
      <c r="CD155" s="120"/>
      <c r="CE155" s="120"/>
      <c r="CF155" s="100"/>
      <c r="CG155" s="100"/>
      <c r="CH155" s="100"/>
      <c r="CI155" s="100"/>
      <c r="CJ155" s="100"/>
      <c r="CK155" s="100"/>
      <c r="CL155" s="100"/>
      <c r="CM155" s="100"/>
      <c r="CN155" s="100"/>
      <c r="CO155" s="100"/>
      <c r="CP155" s="100"/>
      <c r="CQ155" s="100"/>
      <c r="CR155" s="100"/>
      <c r="CS155" s="100"/>
      <c r="CT155" s="100"/>
      <c r="CU155" s="100"/>
      <c r="CV155" s="100"/>
      <c r="CW155" s="100"/>
      <c r="CX155" s="100"/>
      <c r="CY155" s="100"/>
      <c r="CZ155" s="100"/>
      <c r="DA155" s="100"/>
      <c r="DB155" s="100"/>
      <c r="DC155" s="100"/>
      <c r="DD155" s="100"/>
      <c r="DE155" s="100"/>
      <c r="DF155" s="100"/>
      <c r="DG155" s="100"/>
      <c r="DH155" s="100"/>
      <c r="DI155" s="100"/>
      <c r="DJ155" s="100"/>
      <c r="DK155" s="100"/>
      <c r="DL155" s="100"/>
      <c r="DM155" s="100"/>
      <c r="DN155" s="100"/>
      <c r="DO155" s="100"/>
      <c r="DP155" s="100"/>
    </row>
    <row r="156" customFormat="false" ht="12.8" hidden="false" customHeight="false" outlineLevel="0" collapsed="false">
      <c r="A156" s="120"/>
      <c r="B156" s="120"/>
      <c r="C156" s="120"/>
      <c r="D156" s="120"/>
      <c r="E156" s="120"/>
      <c r="F156" s="120"/>
      <c r="G156" s="193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00"/>
      <c r="AA156" s="100"/>
      <c r="AB156" s="100"/>
      <c r="AC156" s="100"/>
      <c r="AD156" s="100"/>
      <c r="AE156" s="100"/>
      <c r="AF156" s="100"/>
      <c r="AG156" s="163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  <c r="AW156" s="100"/>
      <c r="AX156" s="100"/>
      <c r="AY156" s="100"/>
      <c r="AZ156" s="100"/>
      <c r="BA156" s="100"/>
      <c r="BB156" s="100"/>
      <c r="BC156" s="100"/>
      <c r="BD156" s="100"/>
      <c r="BE156" s="100"/>
      <c r="BF156" s="100"/>
      <c r="BG156" s="100"/>
      <c r="BH156" s="100"/>
      <c r="BI156" s="100"/>
      <c r="BJ156" s="100"/>
      <c r="BK156" s="100"/>
      <c r="BL156" s="100"/>
      <c r="BM156" s="100"/>
      <c r="BN156" s="100"/>
      <c r="BO156" s="100"/>
      <c r="BP156" s="100"/>
      <c r="BQ156" s="120"/>
      <c r="BR156" s="120"/>
      <c r="BS156" s="120"/>
      <c r="BT156" s="120"/>
      <c r="BU156" s="120"/>
      <c r="BV156" s="120"/>
      <c r="BW156" s="120"/>
      <c r="BX156" s="120"/>
      <c r="BY156" s="120"/>
      <c r="BZ156" s="120"/>
      <c r="CA156" s="120"/>
      <c r="CB156" s="120"/>
      <c r="CC156" s="120"/>
      <c r="CD156" s="120"/>
      <c r="CE156" s="120"/>
      <c r="CF156" s="100"/>
      <c r="CG156" s="100"/>
      <c r="CH156" s="100"/>
      <c r="CI156" s="100"/>
      <c r="CJ156" s="100"/>
      <c r="CK156" s="100"/>
      <c r="CL156" s="100"/>
      <c r="CM156" s="100"/>
      <c r="CN156" s="100"/>
      <c r="CO156" s="100"/>
      <c r="CP156" s="100"/>
      <c r="CQ156" s="100"/>
      <c r="CR156" s="100"/>
      <c r="CS156" s="100"/>
      <c r="CT156" s="100"/>
      <c r="CU156" s="100"/>
      <c r="CV156" s="100"/>
      <c r="CW156" s="100"/>
      <c r="CX156" s="100"/>
      <c r="CY156" s="100"/>
      <c r="CZ156" s="100"/>
      <c r="DA156" s="100"/>
      <c r="DB156" s="100"/>
      <c r="DC156" s="100"/>
      <c r="DD156" s="100"/>
      <c r="DE156" s="100"/>
      <c r="DF156" s="100"/>
      <c r="DG156" s="100"/>
      <c r="DH156" s="100"/>
      <c r="DI156" s="100"/>
      <c r="DJ156" s="100"/>
      <c r="DK156" s="100"/>
      <c r="DL156" s="100"/>
      <c r="DM156" s="100"/>
      <c r="DN156" s="100"/>
      <c r="DO156" s="100"/>
      <c r="DP156" s="100"/>
    </row>
    <row r="157" customFormat="false" ht="12.8" hidden="false" customHeight="false" outlineLevel="0" collapsed="false">
      <c r="A157" s="120"/>
      <c r="B157" s="120"/>
      <c r="C157" s="120"/>
      <c r="D157" s="120"/>
      <c r="E157" s="120"/>
      <c r="F157" s="120"/>
      <c r="G157" s="193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00"/>
      <c r="AA157" s="100"/>
      <c r="AB157" s="100"/>
      <c r="AC157" s="100"/>
      <c r="AD157" s="100"/>
      <c r="AE157" s="100"/>
      <c r="AF157" s="100"/>
      <c r="AG157" s="163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0"/>
      <c r="AZ157" s="100"/>
      <c r="BA157" s="100"/>
      <c r="BB157" s="100"/>
      <c r="BC157" s="100"/>
      <c r="BD157" s="100"/>
      <c r="BE157" s="100"/>
      <c r="BF157" s="100"/>
      <c r="BG157" s="100"/>
      <c r="BH157" s="100"/>
      <c r="BI157" s="100"/>
      <c r="BJ157" s="100"/>
      <c r="BK157" s="100"/>
      <c r="BL157" s="100"/>
      <c r="BM157" s="100"/>
      <c r="BN157" s="100"/>
      <c r="BO157" s="100"/>
      <c r="BP157" s="100"/>
      <c r="BQ157" s="120"/>
      <c r="BR157" s="120"/>
      <c r="BS157" s="120"/>
      <c r="BT157" s="120"/>
      <c r="BU157" s="120"/>
      <c r="BV157" s="120"/>
      <c r="BW157" s="120"/>
      <c r="BX157" s="120"/>
      <c r="BY157" s="120"/>
      <c r="BZ157" s="120"/>
      <c r="CA157" s="120"/>
      <c r="CB157" s="120"/>
      <c r="CC157" s="120"/>
      <c r="CD157" s="120"/>
      <c r="CE157" s="12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100"/>
      <c r="CW157" s="100"/>
      <c r="CX157" s="100"/>
      <c r="CY157" s="100"/>
      <c r="CZ157" s="100"/>
      <c r="DA157" s="100"/>
      <c r="DB157" s="100"/>
      <c r="DC157" s="100"/>
      <c r="DD157" s="100"/>
      <c r="DE157" s="100"/>
      <c r="DF157" s="100"/>
      <c r="DG157" s="100"/>
      <c r="DH157" s="100"/>
      <c r="DI157" s="100"/>
      <c r="DJ157" s="100"/>
      <c r="DK157" s="100"/>
      <c r="DL157" s="100"/>
      <c r="DM157" s="100"/>
      <c r="DN157" s="100"/>
      <c r="DO157" s="100"/>
      <c r="DP157" s="100"/>
    </row>
    <row r="158" customFormat="false" ht="12.8" hidden="false" customHeight="false" outlineLevel="0" collapsed="false">
      <c r="A158" s="120"/>
      <c r="B158" s="120"/>
      <c r="C158" s="120"/>
      <c r="D158" s="120"/>
      <c r="E158" s="120"/>
      <c r="F158" s="120"/>
      <c r="G158" s="193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00"/>
      <c r="AA158" s="100"/>
      <c r="AB158" s="100"/>
      <c r="AC158" s="100"/>
      <c r="AD158" s="100"/>
      <c r="AE158" s="100"/>
      <c r="AF158" s="100"/>
      <c r="AG158" s="163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  <c r="AW158" s="100"/>
      <c r="AX158" s="100"/>
      <c r="AY158" s="100"/>
      <c r="AZ158" s="100"/>
      <c r="BA158" s="100"/>
      <c r="BB158" s="100"/>
      <c r="BC158" s="100"/>
      <c r="BD158" s="100"/>
      <c r="BE158" s="100"/>
      <c r="BF158" s="100"/>
      <c r="BG158" s="100"/>
      <c r="BH158" s="100"/>
      <c r="BI158" s="100"/>
      <c r="BJ158" s="100"/>
      <c r="BK158" s="100"/>
      <c r="BL158" s="100"/>
      <c r="BM158" s="100"/>
      <c r="BN158" s="100"/>
      <c r="BO158" s="100"/>
      <c r="BP158" s="100"/>
      <c r="BQ158" s="120"/>
      <c r="BR158" s="120"/>
      <c r="BS158" s="120"/>
      <c r="BT158" s="120"/>
      <c r="BU158" s="120"/>
      <c r="BV158" s="120"/>
      <c r="BW158" s="120"/>
      <c r="BX158" s="120"/>
      <c r="BY158" s="120"/>
      <c r="BZ158" s="120"/>
      <c r="CA158" s="120"/>
      <c r="CB158" s="120"/>
      <c r="CC158" s="120"/>
      <c r="CD158" s="120"/>
      <c r="CE158" s="12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100"/>
      <c r="CW158" s="100"/>
      <c r="CX158" s="100"/>
      <c r="CY158" s="100"/>
      <c r="CZ158" s="100"/>
      <c r="DA158" s="100"/>
      <c r="DB158" s="100"/>
      <c r="DC158" s="100"/>
      <c r="DD158" s="100"/>
      <c r="DE158" s="100"/>
      <c r="DF158" s="100"/>
      <c r="DG158" s="100"/>
      <c r="DH158" s="100"/>
      <c r="DI158" s="100"/>
      <c r="DJ158" s="100"/>
      <c r="DK158" s="100"/>
      <c r="DL158" s="100"/>
      <c r="DM158" s="100"/>
      <c r="DN158" s="100"/>
      <c r="DO158" s="100"/>
      <c r="DP158" s="100"/>
    </row>
    <row r="159" customFormat="false" ht="12.8" hidden="false" customHeight="false" outlineLevel="0" collapsed="false">
      <c r="A159" s="120"/>
      <c r="B159" s="120"/>
      <c r="C159" s="120"/>
      <c r="D159" s="120"/>
      <c r="E159" s="120"/>
      <c r="F159" s="120"/>
      <c r="G159" s="193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00"/>
      <c r="AA159" s="100"/>
      <c r="AB159" s="100"/>
      <c r="AC159" s="100"/>
      <c r="AD159" s="100"/>
      <c r="AE159" s="100"/>
      <c r="AF159" s="100"/>
      <c r="AG159" s="163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0"/>
      <c r="AZ159" s="100"/>
      <c r="BA159" s="100"/>
      <c r="BB159" s="100"/>
      <c r="BC159" s="100"/>
      <c r="BD159" s="100"/>
      <c r="BE159" s="100"/>
      <c r="BF159" s="100"/>
      <c r="BG159" s="100"/>
      <c r="BH159" s="100"/>
      <c r="BI159" s="100"/>
      <c r="BJ159" s="100"/>
      <c r="BK159" s="100"/>
      <c r="BL159" s="100"/>
      <c r="BM159" s="100"/>
      <c r="BN159" s="100"/>
      <c r="BO159" s="100"/>
      <c r="BP159" s="100"/>
      <c r="BQ159" s="120"/>
      <c r="BR159" s="120"/>
      <c r="BS159" s="120"/>
      <c r="BT159" s="120"/>
      <c r="BU159" s="120"/>
      <c r="BV159" s="120"/>
      <c r="BW159" s="120"/>
      <c r="BX159" s="120"/>
      <c r="BY159" s="120"/>
      <c r="BZ159" s="120"/>
      <c r="CA159" s="120"/>
      <c r="CB159" s="120"/>
      <c r="CC159" s="120"/>
      <c r="CD159" s="120"/>
      <c r="CE159" s="12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100"/>
      <c r="CW159" s="100"/>
      <c r="CX159" s="100"/>
      <c r="CY159" s="100"/>
      <c r="CZ159" s="100"/>
      <c r="DA159" s="100"/>
      <c r="DB159" s="100"/>
      <c r="DC159" s="100"/>
      <c r="DD159" s="100"/>
      <c r="DE159" s="100"/>
      <c r="DF159" s="100"/>
      <c r="DG159" s="100"/>
      <c r="DH159" s="100"/>
      <c r="DI159" s="100"/>
      <c r="DJ159" s="100"/>
      <c r="DK159" s="100"/>
      <c r="DL159" s="100"/>
      <c r="DM159" s="100"/>
      <c r="DN159" s="100"/>
      <c r="DO159" s="100"/>
      <c r="DP159" s="100"/>
    </row>
    <row r="160" customFormat="false" ht="12.8" hidden="false" customHeight="false" outlineLevel="0" collapsed="false">
      <c r="A160" s="120"/>
      <c r="B160" s="120"/>
      <c r="C160" s="120"/>
      <c r="D160" s="120"/>
      <c r="E160" s="120"/>
      <c r="F160" s="120"/>
      <c r="G160" s="193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00"/>
      <c r="AA160" s="100"/>
      <c r="AB160" s="100"/>
      <c r="AC160" s="100"/>
      <c r="AD160" s="100"/>
      <c r="AE160" s="100"/>
      <c r="AF160" s="100"/>
      <c r="AG160" s="163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  <c r="AW160" s="100"/>
      <c r="AX160" s="100"/>
      <c r="AY160" s="100"/>
      <c r="AZ160" s="100"/>
      <c r="BA160" s="100"/>
      <c r="BB160" s="100"/>
      <c r="BC160" s="100"/>
      <c r="BD160" s="100"/>
      <c r="BE160" s="100"/>
      <c r="BF160" s="100"/>
      <c r="BG160" s="100"/>
      <c r="BH160" s="100"/>
      <c r="BI160" s="100"/>
      <c r="BJ160" s="100"/>
      <c r="BK160" s="100"/>
      <c r="BL160" s="100"/>
      <c r="BM160" s="100"/>
      <c r="BN160" s="100"/>
      <c r="BO160" s="100"/>
      <c r="BP160" s="100"/>
      <c r="BQ160" s="120"/>
      <c r="BR160" s="120"/>
      <c r="BS160" s="120"/>
      <c r="BT160" s="120"/>
      <c r="BU160" s="120"/>
      <c r="BV160" s="120"/>
      <c r="BW160" s="120"/>
      <c r="BX160" s="120"/>
      <c r="BY160" s="120"/>
      <c r="BZ160" s="120"/>
      <c r="CA160" s="120"/>
      <c r="CB160" s="120"/>
      <c r="CC160" s="120"/>
      <c r="CD160" s="120"/>
      <c r="CE160" s="12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100"/>
      <c r="CW160" s="100"/>
      <c r="CX160" s="100"/>
      <c r="CY160" s="100"/>
      <c r="CZ160" s="100"/>
      <c r="DA160" s="100"/>
      <c r="DB160" s="100"/>
      <c r="DC160" s="100"/>
      <c r="DD160" s="100"/>
      <c r="DE160" s="100"/>
      <c r="DF160" s="100"/>
      <c r="DG160" s="100"/>
      <c r="DH160" s="100"/>
      <c r="DI160" s="100"/>
      <c r="DJ160" s="100"/>
      <c r="DK160" s="100"/>
      <c r="DL160" s="100"/>
      <c r="DM160" s="100"/>
      <c r="DN160" s="100"/>
      <c r="DO160" s="100"/>
      <c r="DP160" s="100"/>
    </row>
    <row r="161" customFormat="false" ht="12.8" hidden="false" customHeight="false" outlineLevel="0" collapsed="false">
      <c r="A161" s="120"/>
      <c r="B161" s="120"/>
      <c r="C161" s="120"/>
      <c r="D161" s="120"/>
      <c r="E161" s="120"/>
      <c r="F161" s="120"/>
      <c r="G161" s="193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00"/>
      <c r="AA161" s="100"/>
      <c r="AB161" s="100"/>
      <c r="AC161" s="100"/>
      <c r="AD161" s="100"/>
      <c r="AE161" s="100"/>
      <c r="AF161" s="100"/>
      <c r="AG161" s="163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0"/>
      <c r="BA161" s="100"/>
      <c r="BB161" s="100"/>
      <c r="BC161" s="100"/>
      <c r="BD161" s="100"/>
      <c r="BE161" s="100"/>
      <c r="BF161" s="100"/>
      <c r="BG161" s="100"/>
      <c r="BH161" s="100"/>
      <c r="BI161" s="100"/>
      <c r="BJ161" s="100"/>
      <c r="BK161" s="100"/>
      <c r="BL161" s="100"/>
      <c r="BM161" s="100"/>
      <c r="BN161" s="100"/>
      <c r="BO161" s="100"/>
      <c r="BP161" s="100"/>
      <c r="BQ161" s="120"/>
      <c r="BR161" s="120"/>
      <c r="BS161" s="120"/>
      <c r="BT161" s="120"/>
      <c r="BU161" s="120"/>
      <c r="BV161" s="120"/>
      <c r="BW161" s="120"/>
      <c r="BX161" s="120"/>
      <c r="BY161" s="120"/>
      <c r="BZ161" s="120"/>
      <c r="CA161" s="120"/>
      <c r="CB161" s="120"/>
      <c r="CC161" s="120"/>
      <c r="CD161" s="120"/>
      <c r="CE161" s="120"/>
      <c r="CF161" s="100"/>
      <c r="CG161" s="100"/>
      <c r="CH161" s="100"/>
      <c r="CI161" s="100"/>
      <c r="CJ161" s="100"/>
      <c r="CK161" s="100"/>
      <c r="CL161" s="100"/>
      <c r="CM161" s="100"/>
      <c r="CN161" s="100"/>
      <c r="CO161" s="100"/>
      <c r="CP161" s="100"/>
      <c r="CQ161" s="100"/>
      <c r="CR161" s="100"/>
      <c r="CS161" s="100"/>
      <c r="CT161" s="100"/>
      <c r="CU161" s="100"/>
      <c r="CV161" s="100"/>
      <c r="CW161" s="100"/>
      <c r="CX161" s="100"/>
      <c r="CY161" s="100"/>
      <c r="CZ161" s="100"/>
      <c r="DA161" s="100"/>
      <c r="DB161" s="100"/>
      <c r="DC161" s="100"/>
      <c r="DD161" s="100"/>
      <c r="DE161" s="100"/>
      <c r="DF161" s="100"/>
      <c r="DG161" s="100"/>
      <c r="DH161" s="100"/>
      <c r="DI161" s="100"/>
      <c r="DJ161" s="100"/>
      <c r="DK161" s="100"/>
      <c r="DL161" s="100"/>
      <c r="DM161" s="100"/>
      <c r="DN161" s="100"/>
      <c r="DO161" s="100"/>
      <c r="DP161" s="100"/>
    </row>
    <row r="162" customFormat="false" ht="12.8" hidden="false" customHeight="false" outlineLevel="0" collapsed="false">
      <c r="A162" s="120"/>
      <c r="B162" s="120"/>
      <c r="C162" s="120"/>
      <c r="D162" s="120"/>
      <c r="E162" s="120"/>
      <c r="F162" s="120"/>
      <c r="G162" s="193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00"/>
      <c r="AA162" s="100"/>
      <c r="AB162" s="100"/>
      <c r="AC162" s="100"/>
      <c r="AD162" s="100"/>
      <c r="AE162" s="100"/>
      <c r="AF162" s="100"/>
      <c r="AG162" s="163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  <c r="BB162" s="100"/>
      <c r="BC162" s="100"/>
      <c r="BD162" s="100"/>
      <c r="BE162" s="100"/>
      <c r="BF162" s="100"/>
      <c r="BG162" s="100"/>
      <c r="BH162" s="100"/>
      <c r="BI162" s="100"/>
      <c r="BJ162" s="100"/>
      <c r="BK162" s="100"/>
      <c r="BL162" s="100"/>
      <c r="BM162" s="100"/>
      <c r="BN162" s="100"/>
      <c r="BO162" s="100"/>
      <c r="BP162" s="100"/>
      <c r="BQ162" s="120"/>
      <c r="BR162" s="120"/>
      <c r="BS162" s="120"/>
      <c r="BT162" s="120"/>
      <c r="BU162" s="120"/>
      <c r="BV162" s="120"/>
      <c r="BW162" s="120"/>
      <c r="BX162" s="120"/>
      <c r="BY162" s="120"/>
      <c r="BZ162" s="120"/>
      <c r="CA162" s="120"/>
      <c r="CB162" s="120"/>
      <c r="CC162" s="120"/>
      <c r="CD162" s="120"/>
      <c r="CE162" s="120"/>
      <c r="CF162" s="100"/>
      <c r="CG162" s="100"/>
      <c r="CH162" s="100"/>
      <c r="CI162" s="100"/>
      <c r="CJ162" s="100"/>
      <c r="CK162" s="100"/>
      <c r="CL162" s="100"/>
      <c r="CM162" s="100"/>
      <c r="CN162" s="100"/>
      <c r="CO162" s="100"/>
      <c r="CP162" s="100"/>
      <c r="CQ162" s="100"/>
      <c r="CR162" s="100"/>
      <c r="CS162" s="100"/>
      <c r="CT162" s="100"/>
      <c r="CU162" s="100"/>
      <c r="CV162" s="100"/>
      <c r="CW162" s="100"/>
      <c r="CX162" s="100"/>
      <c r="CY162" s="100"/>
      <c r="CZ162" s="100"/>
      <c r="DA162" s="100"/>
      <c r="DB162" s="100"/>
      <c r="DC162" s="100"/>
      <c r="DD162" s="100"/>
      <c r="DE162" s="100"/>
      <c r="DF162" s="100"/>
      <c r="DG162" s="100"/>
      <c r="DH162" s="100"/>
      <c r="DI162" s="100"/>
      <c r="DJ162" s="100"/>
      <c r="DK162" s="100"/>
      <c r="DL162" s="100"/>
      <c r="DM162" s="100"/>
      <c r="DN162" s="100"/>
      <c r="DO162" s="100"/>
      <c r="DP162" s="100"/>
    </row>
    <row r="163" customFormat="false" ht="12.8" hidden="false" customHeight="false" outlineLevel="0" collapsed="false">
      <c r="A163" s="120"/>
      <c r="B163" s="120"/>
      <c r="C163" s="120"/>
      <c r="D163" s="120"/>
      <c r="E163" s="120"/>
      <c r="F163" s="120"/>
      <c r="G163" s="193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00"/>
      <c r="AA163" s="100"/>
      <c r="AB163" s="100"/>
      <c r="AC163" s="100"/>
      <c r="AD163" s="100"/>
      <c r="AE163" s="100"/>
      <c r="AF163" s="100"/>
      <c r="AG163" s="163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0"/>
      <c r="BA163" s="100"/>
      <c r="BB163" s="100"/>
      <c r="BC163" s="100"/>
      <c r="BD163" s="100"/>
      <c r="BE163" s="100"/>
      <c r="BF163" s="100"/>
      <c r="BG163" s="100"/>
      <c r="BH163" s="100"/>
      <c r="BI163" s="100"/>
      <c r="BJ163" s="100"/>
      <c r="BK163" s="100"/>
      <c r="BL163" s="100"/>
      <c r="BM163" s="100"/>
      <c r="BN163" s="100"/>
      <c r="BO163" s="100"/>
      <c r="BP163" s="100"/>
      <c r="BQ163" s="120"/>
      <c r="BR163" s="120"/>
      <c r="BS163" s="120"/>
      <c r="BT163" s="120"/>
      <c r="BU163" s="120"/>
      <c r="BV163" s="120"/>
      <c r="BW163" s="120"/>
      <c r="BX163" s="120"/>
      <c r="BY163" s="120"/>
      <c r="BZ163" s="120"/>
      <c r="CA163" s="120"/>
      <c r="CB163" s="120"/>
      <c r="CC163" s="120"/>
      <c r="CD163" s="120"/>
      <c r="CE163" s="120"/>
      <c r="CF163" s="100"/>
      <c r="CG163" s="100"/>
      <c r="CH163" s="100"/>
      <c r="CI163" s="100"/>
      <c r="CJ163" s="100"/>
      <c r="CK163" s="100"/>
      <c r="CL163" s="100"/>
      <c r="CM163" s="100"/>
      <c r="CN163" s="100"/>
      <c r="CO163" s="100"/>
      <c r="CP163" s="100"/>
      <c r="CQ163" s="100"/>
      <c r="CR163" s="100"/>
      <c r="CS163" s="100"/>
      <c r="CT163" s="100"/>
      <c r="CU163" s="100"/>
      <c r="CV163" s="100"/>
      <c r="CW163" s="100"/>
      <c r="CX163" s="100"/>
      <c r="CY163" s="100"/>
      <c r="CZ163" s="100"/>
      <c r="DA163" s="100"/>
      <c r="DB163" s="100"/>
      <c r="DC163" s="100"/>
      <c r="DD163" s="100"/>
      <c r="DE163" s="100"/>
      <c r="DF163" s="100"/>
      <c r="DG163" s="100"/>
      <c r="DH163" s="100"/>
      <c r="DI163" s="100"/>
      <c r="DJ163" s="100"/>
      <c r="DK163" s="100"/>
      <c r="DL163" s="100"/>
      <c r="DM163" s="100"/>
      <c r="DN163" s="100"/>
      <c r="DO163" s="100"/>
      <c r="DP163" s="100"/>
    </row>
    <row r="164" customFormat="false" ht="12.8" hidden="false" customHeight="false" outlineLevel="0" collapsed="false">
      <c r="A164" s="120"/>
      <c r="B164" s="120"/>
      <c r="C164" s="120"/>
      <c r="D164" s="120"/>
      <c r="E164" s="120"/>
      <c r="F164" s="120"/>
      <c r="G164" s="193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00"/>
      <c r="AA164" s="100"/>
      <c r="AB164" s="100"/>
      <c r="AC164" s="100"/>
      <c r="AD164" s="100"/>
      <c r="AE164" s="100"/>
      <c r="AF164" s="100"/>
      <c r="AG164" s="163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  <c r="BB164" s="100"/>
      <c r="BC164" s="100"/>
      <c r="BD164" s="100"/>
      <c r="BE164" s="100"/>
      <c r="BF164" s="100"/>
      <c r="BG164" s="100"/>
      <c r="BH164" s="100"/>
      <c r="BI164" s="100"/>
      <c r="BJ164" s="100"/>
      <c r="BK164" s="100"/>
      <c r="BL164" s="100"/>
      <c r="BM164" s="100"/>
      <c r="BN164" s="100"/>
      <c r="BO164" s="100"/>
      <c r="BP164" s="100"/>
      <c r="BQ164" s="120"/>
      <c r="BR164" s="120"/>
      <c r="BS164" s="120"/>
      <c r="BT164" s="120"/>
      <c r="BU164" s="120"/>
      <c r="BV164" s="120"/>
      <c r="BW164" s="120"/>
      <c r="BX164" s="120"/>
      <c r="BY164" s="120"/>
      <c r="BZ164" s="120"/>
      <c r="CA164" s="120"/>
      <c r="CB164" s="120"/>
      <c r="CC164" s="120"/>
      <c r="CD164" s="120"/>
      <c r="CE164" s="120"/>
      <c r="CF164" s="100"/>
      <c r="CG164" s="100"/>
      <c r="CH164" s="100"/>
      <c r="CI164" s="100"/>
      <c r="CJ164" s="100"/>
      <c r="CK164" s="100"/>
      <c r="CL164" s="100"/>
      <c r="CM164" s="100"/>
      <c r="CN164" s="100"/>
      <c r="CO164" s="100"/>
      <c r="CP164" s="100"/>
      <c r="CQ164" s="100"/>
      <c r="CR164" s="100"/>
      <c r="CS164" s="100"/>
      <c r="CT164" s="100"/>
      <c r="CU164" s="100"/>
      <c r="CV164" s="100"/>
      <c r="CW164" s="100"/>
      <c r="CX164" s="100"/>
      <c r="CY164" s="100"/>
      <c r="CZ164" s="100"/>
      <c r="DA164" s="100"/>
      <c r="DB164" s="100"/>
      <c r="DC164" s="100"/>
      <c r="DD164" s="100"/>
      <c r="DE164" s="100"/>
      <c r="DF164" s="100"/>
      <c r="DG164" s="100"/>
      <c r="DH164" s="100"/>
      <c r="DI164" s="100"/>
      <c r="DJ164" s="100"/>
      <c r="DK164" s="100"/>
      <c r="DL164" s="100"/>
      <c r="DM164" s="100"/>
      <c r="DN164" s="100"/>
      <c r="DO164" s="100"/>
      <c r="DP164" s="100"/>
    </row>
    <row r="165" customFormat="false" ht="12.8" hidden="false" customHeight="false" outlineLevel="0" collapsed="false">
      <c r="A165" s="120"/>
      <c r="B165" s="120"/>
      <c r="C165" s="120"/>
      <c r="D165" s="120"/>
      <c r="E165" s="120"/>
      <c r="F165" s="120"/>
      <c r="G165" s="193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00"/>
      <c r="AA165" s="100"/>
      <c r="AB165" s="100"/>
      <c r="AC165" s="100"/>
      <c r="AD165" s="100"/>
      <c r="AE165" s="100"/>
      <c r="AF165" s="100"/>
      <c r="AG165" s="163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0"/>
      <c r="BA165" s="100"/>
      <c r="BB165" s="100"/>
      <c r="BC165" s="100"/>
      <c r="BD165" s="100"/>
      <c r="BE165" s="100"/>
      <c r="BF165" s="100"/>
      <c r="BG165" s="100"/>
      <c r="BH165" s="100"/>
      <c r="BI165" s="100"/>
      <c r="BJ165" s="100"/>
      <c r="BK165" s="100"/>
      <c r="BL165" s="100"/>
      <c r="BM165" s="100"/>
      <c r="BN165" s="100"/>
      <c r="BO165" s="100"/>
      <c r="BP165" s="100"/>
      <c r="BQ165" s="120"/>
      <c r="BR165" s="120"/>
      <c r="BS165" s="120"/>
      <c r="BT165" s="120"/>
      <c r="BU165" s="120"/>
      <c r="BV165" s="120"/>
      <c r="BW165" s="120"/>
      <c r="BX165" s="120"/>
      <c r="BY165" s="120"/>
      <c r="BZ165" s="120"/>
      <c r="CA165" s="120"/>
      <c r="CB165" s="120"/>
      <c r="CC165" s="120"/>
      <c r="CD165" s="120"/>
      <c r="CE165" s="120"/>
      <c r="CF165" s="100"/>
      <c r="CG165" s="100"/>
      <c r="CH165" s="100"/>
      <c r="CI165" s="100"/>
      <c r="CJ165" s="100"/>
      <c r="CK165" s="100"/>
      <c r="CL165" s="100"/>
      <c r="CM165" s="100"/>
      <c r="CN165" s="100"/>
      <c r="CO165" s="100"/>
      <c r="CP165" s="100"/>
      <c r="CQ165" s="100"/>
      <c r="CR165" s="100"/>
      <c r="CS165" s="100"/>
      <c r="CT165" s="100"/>
      <c r="CU165" s="100"/>
      <c r="CV165" s="100"/>
      <c r="CW165" s="100"/>
      <c r="CX165" s="100"/>
      <c r="CY165" s="100"/>
      <c r="CZ165" s="100"/>
      <c r="DA165" s="100"/>
      <c r="DB165" s="100"/>
      <c r="DC165" s="100"/>
      <c r="DD165" s="100"/>
      <c r="DE165" s="100"/>
      <c r="DF165" s="100"/>
      <c r="DG165" s="100"/>
      <c r="DH165" s="100"/>
      <c r="DI165" s="100"/>
      <c r="DJ165" s="100"/>
      <c r="DK165" s="100"/>
      <c r="DL165" s="100"/>
      <c r="DM165" s="100"/>
      <c r="DN165" s="100"/>
      <c r="DO165" s="100"/>
      <c r="DP165" s="100"/>
    </row>
    <row r="166" customFormat="false" ht="12.8" hidden="false" customHeight="false" outlineLevel="0" collapsed="false">
      <c r="A166" s="120"/>
      <c r="B166" s="120"/>
      <c r="C166" s="120"/>
      <c r="D166" s="120"/>
      <c r="E166" s="120"/>
      <c r="F166" s="120"/>
      <c r="G166" s="193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00"/>
      <c r="AA166" s="100"/>
      <c r="AB166" s="100"/>
      <c r="AC166" s="100"/>
      <c r="AD166" s="100"/>
      <c r="AE166" s="100"/>
      <c r="AF166" s="100"/>
      <c r="AG166" s="163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0"/>
      <c r="AZ166" s="100"/>
      <c r="BA166" s="100"/>
      <c r="BB166" s="100"/>
      <c r="BC166" s="100"/>
      <c r="BD166" s="100"/>
      <c r="BE166" s="100"/>
      <c r="BF166" s="100"/>
      <c r="BG166" s="100"/>
      <c r="BH166" s="100"/>
      <c r="BI166" s="100"/>
      <c r="BJ166" s="100"/>
      <c r="BK166" s="100"/>
      <c r="BL166" s="100"/>
      <c r="BM166" s="100"/>
      <c r="BN166" s="100"/>
      <c r="BO166" s="100"/>
      <c r="BP166" s="100"/>
      <c r="BQ166" s="120"/>
      <c r="BR166" s="120"/>
      <c r="BS166" s="120"/>
      <c r="BT166" s="120"/>
      <c r="BU166" s="120"/>
      <c r="BV166" s="120"/>
      <c r="BW166" s="120"/>
      <c r="BX166" s="120"/>
      <c r="BY166" s="120"/>
      <c r="BZ166" s="120"/>
      <c r="CA166" s="120"/>
      <c r="CB166" s="120"/>
      <c r="CC166" s="120"/>
      <c r="CD166" s="120"/>
      <c r="CE166" s="120"/>
      <c r="CF166" s="100"/>
      <c r="CG166" s="100"/>
      <c r="CH166" s="100"/>
      <c r="CI166" s="100"/>
      <c r="CJ166" s="100"/>
      <c r="CK166" s="100"/>
      <c r="CL166" s="100"/>
      <c r="CM166" s="100"/>
      <c r="CN166" s="100"/>
      <c r="CO166" s="100"/>
      <c r="CP166" s="100"/>
      <c r="CQ166" s="100"/>
      <c r="CR166" s="100"/>
      <c r="CS166" s="100"/>
      <c r="CT166" s="100"/>
      <c r="CU166" s="100"/>
      <c r="CV166" s="100"/>
      <c r="CW166" s="100"/>
      <c r="CX166" s="100"/>
      <c r="CY166" s="100"/>
      <c r="CZ166" s="100"/>
      <c r="DA166" s="100"/>
      <c r="DB166" s="100"/>
      <c r="DC166" s="100"/>
      <c r="DD166" s="100"/>
      <c r="DE166" s="100"/>
      <c r="DF166" s="100"/>
      <c r="DG166" s="100"/>
      <c r="DH166" s="100"/>
      <c r="DI166" s="100"/>
      <c r="DJ166" s="100"/>
      <c r="DK166" s="100"/>
      <c r="DL166" s="100"/>
      <c r="DM166" s="100"/>
      <c r="DN166" s="100"/>
      <c r="DO166" s="100"/>
      <c r="DP166" s="100"/>
    </row>
    <row r="167" customFormat="false" ht="12.8" hidden="false" customHeight="false" outlineLevel="0" collapsed="false">
      <c r="A167" s="120"/>
      <c r="B167" s="120"/>
      <c r="C167" s="120"/>
      <c r="D167" s="120"/>
      <c r="E167" s="120"/>
      <c r="F167" s="120"/>
      <c r="G167" s="193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00"/>
      <c r="AA167" s="100"/>
      <c r="AB167" s="100"/>
      <c r="AC167" s="100"/>
      <c r="AD167" s="100"/>
      <c r="AE167" s="100"/>
      <c r="AF167" s="100"/>
      <c r="AG167" s="163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0"/>
      <c r="BA167" s="100"/>
      <c r="BB167" s="100"/>
      <c r="BC167" s="100"/>
      <c r="BD167" s="100"/>
      <c r="BE167" s="100"/>
      <c r="BF167" s="100"/>
      <c r="BG167" s="100"/>
      <c r="BH167" s="100"/>
      <c r="BI167" s="100"/>
      <c r="BJ167" s="100"/>
      <c r="BK167" s="100"/>
      <c r="BL167" s="100"/>
      <c r="BM167" s="100"/>
      <c r="BN167" s="100"/>
      <c r="BO167" s="100"/>
      <c r="BP167" s="100"/>
      <c r="BQ167" s="120"/>
      <c r="BR167" s="120"/>
      <c r="BS167" s="120"/>
      <c r="BT167" s="120"/>
      <c r="BU167" s="120"/>
      <c r="BV167" s="120"/>
      <c r="BW167" s="120"/>
      <c r="BX167" s="120"/>
      <c r="BY167" s="120"/>
      <c r="BZ167" s="120"/>
      <c r="CA167" s="120"/>
      <c r="CB167" s="120"/>
      <c r="CC167" s="120"/>
      <c r="CD167" s="120"/>
      <c r="CE167" s="120"/>
      <c r="CF167" s="100"/>
      <c r="CG167" s="100"/>
      <c r="CH167" s="100"/>
      <c r="CI167" s="100"/>
      <c r="CJ167" s="100"/>
      <c r="CK167" s="100"/>
      <c r="CL167" s="100"/>
      <c r="CM167" s="100"/>
      <c r="CN167" s="100"/>
      <c r="CO167" s="100"/>
      <c r="CP167" s="100"/>
      <c r="CQ167" s="100"/>
      <c r="CR167" s="100"/>
      <c r="CS167" s="100"/>
      <c r="CT167" s="100"/>
      <c r="CU167" s="100"/>
      <c r="CV167" s="100"/>
      <c r="CW167" s="100"/>
      <c r="CX167" s="100"/>
      <c r="CY167" s="100"/>
      <c r="CZ167" s="100"/>
      <c r="DA167" s="100"/>
      <c r="DB167" s="100"/>
      <c r="DC167" s="100"/>
      <c r="DD167" s="100"/>
      <c r="DE167" s="100"/>
      <c r="DF167" s="100"/>
      <c r="DG167" s="100"/>
      <c r="DH167" s="100"/>
      <c r="DI167" s="100"/>
      <c r="DJ167" s="100"/>
      <c r="DK167" s="100"/>
      <c r="DL167" s="100"/>
      <c r="DM167" s="100"/>
      <c r="DN167" s="100"/>
      <c r="DO167" s="100"/>
      <c r="DP167" s="100"/>
    </row>
    <row r="168" customFormat="false" ht="12.8" hidden="false" customHeight="false" outlineLevel="0" collapsed="false">
      <c r="A168" s="120"/>
      <c r="B168" s="120"/>
      <c r="C168" s="120"/>
      <c r="D168" s="120"/>
      <c r="E168" s="120"/>
      <c r="F168" s="120"/>
      <c r="G168" s="193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00"/>
      <c r="AA168" s="100"/>
      <c r="AB168" s="100"/>
      <c r="AC168" s="100"/>
      <c r="AD168" s="100"/>
      <c r="AE168" s="100"/>
      <c r="AF168" s="100"/>
      <c r="AG168" s="163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  <c r="AW168" s="100"/>
      <c r="AX168" s="100"/>
      <c r="AY168" s="100"/>
      <c r="AZ168" s="100"/>
      <c r="BA168" s="100"/>
      <c r="BB168" s="100"/>
      <c r="BC168" s="100"/>
      <c r="BD168" s="100"/>
      <c r="BE168" s="100"/>
      <c r="BF168" s="100"/>
      <c r="BG168" s="100"/>
      <c r="BH168" s="100"/>
      <c r="BI168" s="100"/>
      <c r="BJ168" s="100"/>
      <c r="BK168" s="100"/>
      <c r="BL168" s="100"/>
      <c r="BM168" s="100"/>
      <c r="BN168" s="100"/>
      <c r="BO168" s="100"/>
      <c r="BP168" s="100"/>
      <c r="BQ168" s="120"/>
      <c r="BR168" s="120"/>
      <c r="BS168" s="120"/>
      <c r="BT168" s="120"/>
      <c r="BU168" s="120"/>
      <c r="BV168" s="120"/>
      <c r="BW168" s="120"/>
      <c r="BX168" s="120"/>
      <c r="BY168" s="120"/>
      <c r="BZ168" s="120"/>
      <c r="CA168" s="120"/>
      <c r="CB168" s="120"/>
      <c r="CC168" s="120"/>
      <c r="CD168" s="120"/>
      <c r="CE168" s="120"/>
      <c r="CF168" s="100"/>
      <c r="CG168" s="100"/>
      <c r="CH168" s="100"/>
      <c r="CI168" s="100"/>
      <c r="CJ168" s="100"/>
      <c r="CK168" s="100"/>
      <c r="CL168" s="100"/>
      <c r="CM168" s="100"/>
      <c r="CN168" s="100"/>
      <c r="CO168" s="100"/>
      <c r="CP168" s="100"/>
      <c r="CQ168" s="100"/>
      <c r="CR168" s="100"/>
      <c r="CS168" s="100"/>
      <c r="CT168" s="100"/>
      <c r="CU168" s="100"/>
      <c r="CV168" s="100"/>
      <c r="CW168" s="100"/>
      <c r="CX168" s="100"/>
      <c r="CY168" s="100"/>
      <c r="CZ168" s="100"/>
      <c r="DA168" s="100"/>
      <c r="DB168" s="100"/>
      <c r="DC168" s="100"/>
      <c r="DD168" s="100"/>
      <c r="DE168" s="100"/>
      <c r="DF168" s="100"/>
      <c r="DG168" s="100"/>
      <c r="DH168" s="100"/>
      <c r="DI168" s="100"/>
      <c r="DJ168" s="100"/>
      <c r="DK168" s="100"/>
      <c r="DL168" s="100"/>
      <c r="DM168" s="100"/>
      <c r="DN168" s="100"/>
      <c r="DO168" s="100"/>
      <c r="DP168" s="100"/>
    </row>
    <row r="169" customFormat="false" ht="12.8" hidden="false" customHeight="false" outlineLevel="0" collapsed="false">
      <c r="A169" s="120"/>
      <c r="B169" s="120"/>
      <c r="C169" s="120"/>
      <c r="D169" s="120"/>
      <c r="E169" s="120"/>
      <c r="F169" s="120"/>
      <c r="G169" s="193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00"/>
      <c r="AA169" s="100"/>
      <c r="AB169" s="100"/>
      <c r="AC169" s="100"/>
      <c r="AD169" s="100"/>
      <c r="AE169" s="100"/>
      <c r="AF169" s="100"/>
      <c r="AG169" s="163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0"/>
      <c r="AZ169" s="100"/>
      <c r="BA169" s="100"/>
      <c r="BB169" s="100"/>
      <c r="BC169" s="100"/>
      <c r="BD169" s="100"/>
      <c r="BE169" s="100"/>
      <c r="BF169" s="100"/>
      <c r="BG169" s="100"/>
      <c r="BH169" s="100"/>
      <c r="BI169" s="100"/>
      <c r="BJ169" s="100"/>
      <c r="BK169" s="100"/>
      <c r="BL169" s="100"/>
      <c r="BM169" s="100"/>
      <c r="BN169" s="100"/>
      <c r="BO169" s="100"/>
      <c r="BP169" s="100"/>
      <c r="BQ169" s="120"/>
      <c r="BR169" s="120"/>
      <c r="BS169" s="120"/>
      <c r="BT169" s="120"/>
      <c r="BU169" s="120"/>
      <c r="BV169" s="120"/>
      <c r="BW169" s="120"/>
      <c r="BX169" s="120"/>
      <c r="BY169" s="120"/>
      <c r="BZ169" s="120"/>
      <c r="CA169" s="120"/>
      <c r="CB169" s="120"/>
      <c r="CC169" s="120"/>
      <c r="CD169" s="120"/>
      <c r="CE169" s="120"/>
      <c r="CF169" s="100"/>
      <c r="CG169" s="100"/>
      <c r="CH169" s="100"/>
      <c r="CI169" s="100"/>
      <c r="CJ169" s="100"/>
      <c r="CK169" s="100"/>
      <c r="CL169" s="100"/>
      <c r="CM169" s="100"/>
      <c r="CN169" s="100"/>
      <c r="CO169" s="100"/>
      <c r="CP169" s="100"/>
      <c r="CQ169" s="100"/>
      <c r="CR169" s="100"/>
      <c r="CS169" s="100"/>
      <c r="CT169" s="100"/>
      <c r="CU169" s="100"/>
      <c r="CV169" s="100"/>
      <c r="CW169" s="100"/>
      <c r="CX169" s="100"/>
      <c r="CY169" s="100"/>
      <c r="CZ169" s="100"/>
      <c r="DA169" s="100"/>
      <c r="DB169" s="100"/>
      <c r="DC169" s="100"/>
      <c r="DD169" s="100"/>
      <c r="DE169" s="100"/>
      <c r="DF169" s="100"/>
      <c r="DG169" s="100"/>
      <c r="DH169" s="100"/>
      <c r="DI169" s="100"/>
      <c r="DJ169" s="100"/>
      <c r="DK169" s="100"/>
      <c r="DL169" s="100"/>
      <c r="DM169" s="100"/>
      <c r="DN169" s="100"/>
      <c r="DO169" s="100"/>
      <c r="DP169" s="100"/>
    </row>
    <row r="170" customFormat="false" ht="12.8" hidden="false" customHeight="false" outlineLevel="0" collapsed="false">
      <c r="A170" s="120"/>
      <c r="B170" s="120"/>
      <c r="C170" s="120"/>
      <c r="D170" s="120"/>
      <c r="E170" s="120"/>
      <c r="F170" s="120"/>
      <c r="G170" s="193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00"/>
      <c r="AA170" s="100"/>
      <c r="AB170" s="100"/>
      <c r="AC170" s="100"/>
      <c r="AD170" s="100"/>
      <c r="AE170" s="100"/>
      <c r="AF170" s="100"/>
      <c r="AG170" s="163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  <c r="AW170" s="100"/>
      <c r="AX170" s="100"/>
      <c r="AY170" s="100"/>
      <c r="AZ170" s="100"/>
      <c r="BA170" s="100"/>
      <c r="BB170" s="100"/>
      <c r="BC170" s="100"/>
      <c r="BD170" s="100"/>
      <c r="BE170" s="100"/>
      <c r="BF170" s="100"/>
      <c r="BG170" s="100"/>
      <c r="BH170" s="100"/>
      <c r="BI170" s="100"/>
      <c r="BJ170" s="100"/>
      <c r="BK170" s="100"/>
      <c r="BL170" s="100"/>
      <c r="BM170" s="100"/>
      <c r="BN170" s="100"/>
      <c r="BO170" s="100"/>
      <c r="BP170" s="100"/>
      <c r="BQ170" s="120"/>
      <c r="BR170" s="120"/>
      <c r="BS170" s="120"/>
      <c r="BT170" s="120"/>
      <c r="BU170" s="120"/>
      <c r="BV170" s="120"/>
      <c r="BW170" s="120"/>
      <c r="BX170" s="120"/>
      <c r="BY170" s="120"/>
      <c r="BZ170" s="120"/>
      <c r="CA170" s="120"/>
      <c r="CB170" s="120"/>
      <c r="CC170" s="120"/>
      <c r="CD170" s="120"/>
      <c r="CE170" s="120"/>
      <c r="CF170" s="100"/>
      <c r="CG170" s="100"/>
      <c r="CH170" s="100"/>
      <c r="CI170" s="100"/>
      <c r="CJ170" s="100"/>
      <c r="CK170" s="100"/>
      <c r="CL170" s="100"/>
      <c r="CM170" s="100"/>
      <c r="CN170" s="100"/>
      <c r="CO170" s="100"/>
      <c r="CP170" s="100"/>
      <c r="CQ170" s="100"/>
      <c r="CR170" s="100"/>
      <c r="CS170" s="100"/>
      <c r="CT170" s="100"/>
      <c r="CU170" s="100"/>
      <c r="CV170" s="100"/>
      <c r="CW170" s="100"/>
      <c r="CX170" s="100"/>
      <c r="CY170" s="100"/>
      <c r="CZ170" s="100"/>
      <c r="DA170" s="100"/>
      <c r="DB170" s="100"/>
      <c r="DC170" s="100"/>
      <c r="DD170" s="100"/>
      <c r="DE170" s="100"/>
      <c r="DF170" s="100"/>
      <c r="DG170" s="100"/>
      <c r="DH170" s="100"/>
      <c r="DI170" s="100"/>
      <c r="DJ170" s="100"/>
      <c r="DK170" s="100"/>
      <c r="DL170" s="100"/>
      <c r="DM170" s="100"/>
      <c r="DN170" s="100"/>
      <c r="DO170" s="100"/>
      <c r="DP170" s="100"/>
    </row>
    <row r="171" customFormat="false" ht="12.8" hidden="false" customHeight="false" outlineLevel="0" collapsed="false">
      <c r="A171" s="120"/>
      <c r="B171" s="120"/>
      <c r="C171" s="120"/>
      <c r="D171" s="120"/>
      <c r="E171" s="120"/>
      <c r="F171" s="120"/>
      <c r="G171" s="193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00"/>
      <c r="AA171" s="100"/>
      <c r="AB171" s="100"/>
      <c r="AC171" s="100"/>
      <c r="AD171" s="100"/>
      <c r="AE171" s="100"/>
      <c r="AF171" s="100"/>
      <c r="AG171" s="163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0"/>
      <c r="AZ171" s="100"/>
      <c r="BA171" s="100"/>
      <c r="BB171" s="100"/>
      <c r="BC171" s="100"/>
      <c r="BD171" s="100"/>
      <c r="BE171" s="100"/>
      <c r="BF171" s="100"/>
      <c r="BG171" s="100"/>
      <c r="BH171" s="100"/>
      <c r="BI171" s="100"/>
      <c r="BJ171" s="100"/>
      <c r="BK171" s="100"/>
      <c r="BL171" s="100"/>
      <c r="BM171" s="100"/>
      <c r="BN171" s="100"/>
      <c r="BO171" s="100"/>
      <c r="BP171" s="100"/>
      <c r="BQ171" s="120"/>
      <c r="BR171" s="120"/>
      <c r="BS171" s="120"/>
      <c r="BT171" s="120"/>
      <c r="BU171" s="120"/>
      <c r="BV171" s="120"/>
      <c r="BW171" s="120"/>
      <c r="BX171" s="120"/>
      <c r="BY171" s="120"/>
      <c r="BZ171" s="120"/>
      <c r="CA171" s="120"/>
      <c r="CB171" s="120"/>
      <c r="CC171" s="120"/>
      <c r="CD171" s="120"/>
      <c r="CE171" s="120"/>
      <c r="CF171" s="100"/>
      <c r="CG171" s="100"/>
      <c r="CH171" s="100"/>
      <c r="CI171" s="100"/>
      <c r="CJ171" s="100"/>
      <c r="CK171" s="100"/>
      <c r="CL171" s="100"/>
      <c r="CM171" s="100"/>
      <c r="CN171" s="100"/>
      <c r="CO171" s="100"/>
      <c r="CP171" s="100"/>
      <c r="CQ171" s="100"/>
      <c r="CR171" s="100"/>
      <c r="CS171" s="100"/>
      <c r="CT171" s="100"/>
      <c r="CU171" s="100"/>
      <c r="CV171" s="100"/>
      <c r="CW171" s="100"/>
      <c r="CX171" s="100"/>
      <c r="CY171" s="100"/>
      <c r="CZ171" s="100"/>
      <c r="DA171" s="100"/>
      <c r="DB171" s="100"/>
      <c r="DC171" s="100"/>
      <c r="DD171" s="100"/>
      <c r="DE171" s="100"/>
      <c r="DF171" s="100"/>
      <c r="DG171" s="100"/>
      <c r="DH171" s="100"/>
      <c r="DI171" s="100"/>
      <c r="DJ171" s="100"/>
      <c r="DK171" s="100"/>
      <c r="DL171" s="100"/>
      <c r="DM171" s="100"/>
      <c r="DN171" s="100"/>
      <c r="DO171" s="100"/>
      <c r="DP171" s="100"/>
    </row>
    <row r="172" customFormat="false" ht="12.8" hidden="false" customHeight="false" outlineLevel="0" collapsed="false">
      <c r="A172" s="120"/>
      <c r="B172" s="120"/>
      <c r="C172" s="120"/>
      <c r="D172" s="120"/>
      <c r="E172" s="120"/>
      <c r="F172" s="120"/>
      <c r="G172" s="193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00"/>
      <c r="AA172" s="100"/>
      <c r="AB172" s="100"/>
      <c r="AC172" s="100"/>
      <c r="AD172" s="100"/>
      <c r="AE172" s="100"/>
      <c r="AF172" s="100"/>
      <c r="AG172" s="163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0"/>
      <c r="BK172" s="100"/>
      <c r="BL172" s="100"/>
      <c r="BM172" s="100"/>
      <c r="BN172" s="100"/>
      <c r="BO172" s="100"/>
      <c r="BP172" s="100"/>
      <c r="BQ172" s="120"/>
      <c r="BR172" s="120"/>
      <c r="BS172" s="120"/>
      <c r="BT172" s="120"/>
      <c r="BU172" s="120"/>
      <c r="BV172" s="120"/>
      <c r="BW172" s="120"/>
      <c r="BX172" s="120"/>
      <c r="BY172" s="120"/>
      <c r="BZ172" s="120"/>
      <c r="CA172" s="120"/>
      <c r="CB172" s="120"/>
      <c r="CC172" s="120"/>
      <c r="CD172" s="120"/>
      <c r="CE172" s="120"/>
      <c r="CF172" s="100"/>
      <c r="CG172" s="100"/>
      <c r="CH172" s="100"/>
      <c r="CI172" s="100"/>
      <c r="CJ172" s="100"/>
      <c r="CK172" s="100"/>
      <c r="CL172" s="100"/>
      <c r="CM172" s="100"/>
      <c r="CN172" s="100"/>
      <c r="CO172" s="100"/>
      <c r="CP172" s="100"/>
      <c r="CQ172" s="100"/>
      <c r="CR172" s="100"/>
      <c r="CS172" s="100"/>
      <c r="CT172" s="100"/>
      <c r="CU172" s="100"/>
      <c r="CV172" s="100"/>
      <c r="CW172" s="100"/>
      <c r="CX172" s="100"/>
      <c r="CY172" s="100"/>
      <c r="CZ172" s="100"/>
      <c r="DA172" s="100"/>
      <c r="DB172" s="100"/>
      <c r="DC172" s="100"/>
      <c r="DD172" s="100"/>
      <c r="DE172" s="100"/>
      <c r="DF172" s="100"/>
      <c r="DG172" s="100"/>
      <c r="DH172" s="100"/>
      <c r="DI172" s="100"/>
      <c r="DJ172" s="100"/>
      <c r="DK172" s="100"/>
      <c r="DL172" s="100"/>
      <c r="DM172" s="100"/>
      <c r="DN172" s="100"/>
      <c r="DO172" s="100"/>
      <c r="DP172" s="100"/>
    </row>
    <row r="173" customFormat="false" ht="12.8" hidden="false" customHeight="false" outlineLevel="0" collapsed="false">
      <c r="A173" s="120"/>
      <c r="B173" s="120"/>
      <c r="C173" s="120"/>
      <c r="D173" s="120"/>
      <c r="E173" s="120"/>
      <c r="F173" s="120"/>
      <c r="G173" s="193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00"/>
      <c r="AA173" s="100"/>
      <c r="AB173" s="100"/>
      <c r="AC173" s="100"/>
      <c r="AD173" s="100"/>
      <c r="AE173" s="100"/>
      <c r="AF173" s="100"/>
      <c r="AG173" s="163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0"/>
      <c r="BA173" s="100"/>
      <c r="BB173" s="100"/>
      <c r="BC173" s="100"/>
      <c r="BD173" s="100"/>
      <c r="BE173" s="100"/>
      <c r="BF173" s="100"/>
      <c r="BG173" s="100"/>
      <c r="BH173" s="100"/>
      <c r="BI173" s="100"/>
      <c r="BJ173" s="100"/>
      <c r="BK173" s="100"/>
      <c r="BL173" s="100"/>
      <c r="BM173" s="100"/>
      <c r="BN173" s="100"/>
      <c r="BO173" s="100"/>
      <c r="BP173" s="100"/>
      <c r="BQ173" s="120"/>
      <c r="BR173" s="120"/>
      <c r="BS173" s="120"/>
      <c r="BT173" s="120"/>
      <c r="BU173" s="120"/>
      <c r="BV173" s="120"/>
      <c r="BW173" s="120"/>
      <c r="BX173" s="120"/>
      <c r="BY173" s="120"/>
      <c r="BZ173" s="120"/>
      <c r="CA173" s="120"/>
      <c r="CB173" s="120"/>
      <c r="CC173" s="120"/>
      <c r="CD173" s="120"/>
      <c r="CE173" s="120"/>
      <c r="CF173" s="100"/>
      <c r="CG173" s="100"/>
      <c r="CH173" s="100"/>
      <c r="CI173" s="100"/>
      <c r="CJ173" s="100"/>
      <c r="CK173" s="100"/>
      <c r="CL173" s="100"/>
      <c r="CM173" s="100"/>
      <c r="CN173" s="100"/>
      <c r="CO173" s="100"/>
      <c r="CP173" s="100"/>
      <c r="CQ173" s="100"/>
      <c r="CR173" s="100"/>
      <c r="CS173" s="100"/>
      <c r="CT173" s="100"/>
      <c r="CU173" s="100"/>
      <c r="CV173" s="100"/>
      <c r="CW173" s="100"/>
      <c r="CX173" s="100"/>
      <c r="CY173" s="100"/>
      <c r="CZ173" s="100"/>
      <c r="DA173" s="100"/>
      <c r="DB173" s="100"/>
      <c r="DC173" s="100"/>
      <c r="DD173" s="100"/>
      <c r="DE173" s="100"/>
      <c r="DF173" s="100"/>
      <c r="DG173" s="100"/>
      <c r="DH173" s="100"/>
      <c r="DI173" s="100"/>
      <c r="DJ173" s="100"/>
      <c r="DK173" s="100"/>
      <c r="DL173" s="100"/>
      <c r="DM173" s="100"/>
      <c r="DN173" s="100"/>
      <c r="DO173" s="100"/>
      <c r="DP173" s="100"/>
    </row>
    <row r="174" customFormat="false" ht="12.8" hidden="false" customHeight="false" outlineLevel="0" collapsed="false">
      <c r="A174" s="120"/>
      <c r="B174" s="120"/>
      <c r="C174" s="120"/>
      <c r="D174" s="120"/>
      <c r="E174" s="120"/>
      <c r="F174" s="120"/>
      <c r="G174" s="193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00"/>
      <c r="AA174" s="100"/>
      <c r="AB174" s="100"/>
      <c r="AC174" s="100"/>
      <c r="AD174" s="100"/>
      <c r="AE174" s="100"/>
      <c r="AF174" s="100"/>
      <c r="AG174" s="163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0"/>
      <c r="BK174" s="100"/>
      <c r="BL174" s="100"/>
      <c r="BM174" s="100"/>
      <c r="BN174" s="100"/>
      <c r="BO174" s="100"/>
      <c r="BP174" s="100"/>
      <c r="BQ174" s="120"/>
      <c r="BR174" s="120"/>
      <c r="BS174" s="120"/>
      <c r="BT174" s="120"/>
      <c r="BU174" s="120"/>
      <c r="BV174" s="120"/>
      <c r="BW174" s="120"/>
      <c r="BX174" s="120"/>
      <c r="BY174" s="120"/>
      <c r="BZ174" s="120"/>
      <c r="CA174" s="120"/>
      <c r="CB174" s="120"/>
      <c r="CC174" s="120"/>
      <c r="CD174" s="120"/>
      <c r="CE174" s="120"/>
      <c r="CF174" s="100"/>
      <c r="CG174" s="100"/>
      <c r="CH174" s="100"/>
      <c r="CI174" s="100"/>
      <c r="CJ174" s="100"/>
      <c r="CK174" s="100"/>
      <c r="CL174" s="100"/>
      <c r="CM174" s="100"/>
      <c r="CN174" s="100"/>
      <c r="CO174" s="100"/>
      <c r="CP174" s="100"/>
      <c r="CQ174" s="100"/>
      <c r="CR174" s="100"/>
      <c r="CS174" s="100"/>
      <c r="CT174" s="100"/>
      <c r="CU174" s="100"/>
      <c r="CV174" s="100"/>
      <c r="CW174" s="100"/>
      <c r="CX174" s="100"/>
      <c r="CY174" s="100"/>
      <c r="CZ174" s="100"/>
      <c r="DA174" s="100"/>
      <c r="DB174" s="100"/>
      <c r="DC174" s="100"/>
      <c r="DD174" s="100"/>
      <c r="DE174" s="100"/>
      <c r="DF174" s="100"/>
      <c r="DG174" s="100"/>
      <c r="DH174" s="100"/>
      <c r="DI174" s="100"/>
      <c r="DJ174" s="100"/>
      <c r="DK174" s="100"/>
      <c r="DL174" s="100"/>
      <c r="DM174" s="100"/>
      <c r="DN174" s="100"/>
      <c r="DO174" s="100"/>
      <c r="DP174" s="100"/>
    </row>
    <row r="175" customFormat="false" ht="12.8" hidden="false" customHeight="false" outlineLevel="0" collapsed="false">
      <c r="A175" s="120"/>
      <c r="B175" s="120"/>
      <c r="C175" s="120"/>
      <c r="D175" s="120"/>
      <c r="E175" s="120"/>
      <c r="F175" s="120"/>
      <c r="G175" s="193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00"/>
      <c r="AA175" s="100"/>
      <c r="AB175" s="100"/>
      <c r="AC175" s="100"/>
      <c r="AD175" s="100"/>
      <c r="AE175" s="100"/>
      <c r="AF175" s="100"/>
      <c r="AG175" s="163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  <c r="AW175" s="100"/>
      <c r="AX175" s="100"/>
      <c r="AY175" s="100"/>
      <c r="AZ175" s="100"/>
      <c r="BA175" s="100"/>
      <c r="BB175" s="100"/>
      <c r="BC175" s="100"/>
      <c r="BD175" s="100"/>
      <c r="BE175" s="100"/>
      <c r="BF175" s="100"/>
      <c r="BG175" s="100"/>
      <c r="BH175" s="100"/>
      <c r="BI175" s="100"/>
      <c r="BJ175" s="100"/>
      <c r="BK175" s="100"/>
      <c r="BL175" s="100"/>
      <c r="BM175" s="100"/>
      <c r="BN175" s="100"/>
      <c r="BO175" s="100"/>
      <c r="BP175" s="100"/>
      <c r="BQ175" s="120"/>
      <c r="BR175" s="120"/>
      <c r="BS175" s="120"/>
      <c r="BT175" s="120"/>
      <c r="BU175" s="120"/>
      <c r="BV175" s="120"/>
      <c r="BW175" s="120"/>
      <c r="BX175" s="120"/>
      <c r="BY175" s="120"/>
      <c r="BZ175" s="120"/>
      <c r="CA175" s="120"/>
      <c r="CB175" s="120"/>
      <c r="CC175" s="120"/>
      <c r="CD175" s="120"/>
      <c r="CE175" s="120"/>
      <c r="CF175" s="100"/>
      <c r="CG175" s="100"/>
      <c r="CH175" s="100"/>
      <c r="CI175" s="100"/>
      <c r="CJ175" s="100"/>
      <c r="CK175" s="100"/>
      <c r="CL175" s="100"/>
      <c r="CM175" s="100"/>
      <c r="CN175" s="100"/>
      <c r="CO175" s="100"/>
      <c r="CP175" s="100"/>
      <c r="CQ175" s="100"/>
      <c r="CR175" s="100"/>
      <c r="CS175" s="100"/>
      <c r="CT175" s="100"/>
      <c r="CU175" s="100"/>
      <c r="CV175" s="100"/>
      <c r="CW175" s="100"/>
      <c r="CX175" s="100"/>
      <c r="CY175" s="100"/>
      <c r="CZ175" s="100"/>
      <c r="DA175" s="100"/>
      <c r="DB175" s="100"/>
      <c r="DC175" s="100"/>
      <c r="DD175" s="100"/>
      <c r="DE175" s="100"/>
      <c r="DF175" s="100"/>
      <c r="DG175" s="100"/>
      <c r="DH175" s="100"/>
      <c r="DI175" s="100"/>
      <c r="DJ175" s="100"/>
      <c r="DK175" s="100"/>
      <c r="DL175" s="100"/>
      <c r="DM175" s="100"/>
      <c r="DN175" s="100"/>
      <c r="DO175" s="100"/>
      <c r="DP175" s="100"/>
    </row>
    <row r="176" customFormat="false" ht="12.8" hidden="false" customHeight="false" outlineLevel="0" collapsed="false">
      <c r="A176" s="120"/>
      <c r="B176" s="120"/>
      <c r="C176" s="120"/>
      <c r="D176" s="120"/>
      <c r="E176" s="120"/>
      <c r="F176" s="120"/>
      <c r="G176" s="193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00"/>
      <c r="AA176" s="100"/>
      <c r="AB176" s="100"/>
      <c r="AC176" s="100"/>
      <c r="AD176" s="100"/>
      <c r="AE176" s="100"/>
      <c r="AF176" s="100"/>
      <c r="AG176" s="163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  <c r="AW176" s="100"/>
      <c r="AX176" s="100"/>
      <c r="AY176" s="100"/>
      <c r="AZ176" s="100"/>
      <c r="BA176" s="100"/>
      <c r="BB176" s="100"/>
      <c r="BC176" s="100"/>
      <c r="BD176" s="100"/>
      <c r="BE176" s="100"/>
      <c r="BF176" s="100"/>
      <c r="BG176" s="100"/>
      <c r="BH176" s="100"/>
      <c r="BI176" s="100"/>
      <c r="BJ176" s="100"/>
      <c r="BK176" s="100"/>
      <c r="BL176" s="100"/>
      <c r="BM176" s="100"/>
      <c r="BN176" s="100"/>
      <c r="BO176" s="100"/>
      <c r="BP176" s="100"/>
      <c r="BQ176" s="120"/>
      <c r="BR176" s="120"/>
      <c r="BS176" s="120"/>
      <c r="BT176" s="120"/>
      <c r="BU176" s="120"/>
      <c r="BV176" s="120"/>
      <c r="BW176" s="120"/>
      <c r="BX176" s="120"/>
      <c r="BY176" s="120"/>
      <c r="BZ176" s="120"/>
      <c r="CA176" s="120"/>
      <c r="CB176" s="120"/>
      <c r="CC176" s="120"/>
      <c r="CD176" s="120"/>
      <c r="CE176" s="120"/>
      <c r="CF176" s="100"/>
      <c r="CG176" s="100"/>
      <c r="CH176" s="100"/>
      <c r="CI176" s="100"/>
      <c r="CJ176" s="100"/>
      <c r="CK176" s="100"/>
      <c r="CL176" s="100"/>
      <c r="CM176" s="100"/>
      <c r="CN176" s="100"/>
      <c r="CO176" s="100"/>
      <c r="CP176" s="100"/>
      <c r="CQ176" s="100"/>
      <c r="CR176" s="100"/>
      <c r="CS176" s="100"/>
      <c r="CT176" s="100"/>
      <c r="CU176" s="100"/>
      <c r="CV176" s="100"/>
      <c r="CW176" s="100"/>
      <c r="CX176" s="100"/>
      <c r="CY176" s="100"/>
      <c r="CZ176" s="100"/>
      <c r="DA176" s="100"/>
      <c r="DB176" s="100"/>
      <c r="DC176" s="100"/>
      <c r="DD176" s="100"/>
      <c r="DE176" s="100"/>
      <c r="DF176" s="100"/>
      <c r="DG176" s="100"/>
      <c r="DH176" s="100"/>
      <c r="DI176" s="100"/>
      <c r="DJ176" s="100"/>
      <c r="DK176" s="100"/>
      <c r="DL176" s="100"/>
      <c r="DM176" s="100"/>
      <c r="DN176" s="100"/>
      <c r="DO176" s="100"/>
      <c r="DP176" s="100"/>
    </row>
    <row r="177" customFormat="false" ht="12.8" hidden="false" customHeight="false" outlineLevel="0" collapsed="false">
      <c r="A177" s="120"/>
      <c r="B177" s="120"/>
      <c r="C177" s="120"/>
      <c r="D177" s="120"/>
      <c r="E177" s="120"/>
      <c r="F177" s="120"/>
      <c r="G177" s="193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00"/>
      <c r="AA177" s="100"/>
      <c r="AB177" s="100"/>
      <c r="AC177" s="100"/>
      <c r="AD177" s="100"/>
      <c r="AE177" s="100"/>
      <c r="AF177" s="100"/>
      <c r="AG177" s="163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  <c r="AW177" s="100"/>
      <c r="AX177" s="100"/>
      <c r="AY177" s="100"/>
      <c r="AZ177" s="100"/>
      <c r="BA177" s="100"/>
      <c r="BB177" s="100"/>
      <c r="BC177" s="100"/>
      <c r="BD177" s="100"/>
      <c r="BE177" s="100"/>
      <c r="BF177" s="100"/>
      <c r="BG177" s="100"/>
      <c r="BH177" s="100"/>
      <c r="BI177" s="100"/>
      <c r="BJ177" s="100"/>
      <c r="BK177" s="100"/>
      <c r="BL177" s="100"/>
      <c r="BM177" s="100"/>
      <c r="BN177" s="100"/>
      <c r="BO177" s="100"/>
      <c r="BP177" s="100"/>
      <c r="BQ177" s="120"/>
      <c r="BR177" s="120"/>
      <c r="BS177" s="120"/>
      <c r="BT177" s="120"/>
      <c r="BU177" s="120"/>
      <c r="BV177" s="120"/>
      <c r="BW177" s="120"/>
      <c r="BX177" s="120"/>
      <c r="BY177" s="120"/>
      <c r="BZ177" s="120"/>
      <c r="CA177" s="120"/>
      <c r="CB177" s="120"/>
      <c r="CC177" s="120"/>
      <c r="CD177" s="120"/>
      <c r="CE177" s="120"/>
      <c r="CF177" s="100"/>
      <c r="CG177" s="100"/>
      <c r="CH177" s="100"/>
      <c r="CI177" s="100"/>
      <c r="CJ177" s="100"/>
      <c r="CK177" s="100"/>
      <c r="CL177" s="100"/>
      <c r="CM177" s="100"/>
      <c r="CN177" s="100"/>
      <c r="CO177" s="100"/>
      <c r="CP177" s="100"/>
      <c r="CQ177" s="100"/>
      <c r="CR177" s="100"/>
      <c r="CS177" s="100"/>
      <c r="CT177" s="100"/>
      <c r="CU177" s="100"/>
      <c r="CV177" s="100"/>
      <c r="CW177" s="100"/>
      <c r="CX177" s="100"/>
      <c r="CY177" s="100"/>
      <c r="CZ177" s="100"/>
      <c r="DA177" s="100"/>
      <c r="DB177" s="100"/>
      <c r="DC177" s="100"/>
      <c r="DD177" s="100"/>
      <c r="DE177" s="100"/>
      <c r="DF177" s="100"/>
      <c r="DG177" s="100"/>
      <c r="DH177" s="100"/>
      <c r="DI177" s="100"/>
      <c r="DJ177" s="100"/>
      <c r="DK177" s="100"/>
      <c r="DL177" s="100"/>
      <c r="DM177" s="100"/>
      <c r="DN177" s="100"/>
      <c r="DO177" s="100"/>
      <c r="DP177" s="100"/>
    </row>
    <row r="178" customFormat="false" ht="12.8" hidden="false" customHeight="false" outlineLevel="0" collapsed="false">
      <c r="A178" s="120"/>
      <c r="B178" s="120"/>
      <c r="C178" s="120"/>
      <c r="D178" s="120"/>
      <c r="E178" s="120"/>
      <c r="F178" s="120"/>
      <c r="G178" s="193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00"/>
      <c r="AA178" s="100"/>
      <c r="AB178" s="100"/>
      <c r="AC178" s="100"/>
      <c r="AD178" s="100"/>
      <c r="AE178" s="100"/>
      <c r="AF178" s="100"/>
      <c r="AG178" s="163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  <c r="AW178" s="100"/>
      <c r="AX178" s="100"/>
      <c r="AY178" s="100"/>
      <c r="AZ178" s="100"/>
      <c r="BA178" s="100"/>
      <c r="BB178" s="100"/>
      <c r="BC178" s="100"/>
      <c r="BD178" s="100"/>
      <c r="BE178" s="100"/>
      <c r="BF178" s="100"/>
      <c r="BG178" s="100"/>
      <c r="BH178" s="100"/>
      <c r="BI178" s="100"/>
      <c r="BJ178" s="100"/>
      <c r="BK178" s="100"/>
      <c r="BL178" s="100"/>
      <c r="BM178" s="100"/>
      <c r="BN178" s="100"/>
      <c r="BO178" s="100"/>
      <c r="BP178" s="100"/>
      <c r="BQ178" s="120"/>
      <c r="BR178" s="120"/>
      <c r="BS178" s="120"/>
      <c r="BT178" s="120"/>
      <c r="BU178" s="120"/>
      <c r="BV178" s="120"/>
      <c r="BW178" s="120"/>
      <c r="BX178" s="120"/>
      <c r="BY178" s="120"/>
      <c r="BZ178" s="120"/>
      <c r="CA178" s="120"/>
      <c r="CB178" s="120"/>
      <c r="CC178" s="120"/>
      <c r="CD178" s="120"/>
      <c r="CE178" s="120"/>
      <c r="CF178" s="100"/>
      <c r="CG178" s="100"/>
      <c r="CH178" s="100"/>
      <c r="CI178" s="100"/>
      <c r="CJ178" s="100"/>
      <c r="CK178" s="100"/>
      <c r="CL178" s="100"/>
      <c r="CM178" s="100"/>
      <c r="CN178" s="100"/>
      <c r="CO178" s="100"/>
      <c r="CP178" s="100"/>
      <c r="CQ178" s="100"/>
      <c r="CR178" s="100"/>
      <c r="CS178" s="100"/>
      <c r="CT178" s="100"/>
      <c r="CU178" s="100"/>
      <c r="CV178" s="100"/>
      <c r="CW178" s="100"/>
      <c r="CX178" s="100"/>
      <c r="CY178" s="100"/>
      <c r="CZ178" s="100"/>
      <c r="DA178" s="100"/>
      <c r="DB178" s="100"/>
      <c r="DC178" s="100"/>
      <c r="DD178" s="100"/>
      <c r="DE178" s="100"/>
      <c r="DF178" s="100"/>
      <c r="DG178" s="100"/>
      <c r="DH178" s="100"/>
      <c r="DI178" s="100"/>
      <c r="DJ178" s="100"/>
      <c r="DK178" s="100"/>
      <c r="DL178" s="100"/>
      <c r="DM178" s="100"/>
      <c r="DN178" s="100"/>
      <c r="DO178" s="100"/>
      <c r="DP178" s="100"/>
    </row>
    <row r="179" customFormat="false" ht="12.8" hidden="false" customHeight="false" outlineLevel="0" collapsed="false">
      <c r="A179" s="120"/>
      <c r="B179" s="120"/>
      <c r="C179" s="120"/>
      <c r="D179" s="120"/>
      <c r="E179" s="120"/>
      <c r="F179" s="120"/>
      <c r="G179" s="193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00"/>
      <c r="AA179" s="100"/>
      <c r="AB179" s="100"/>
      <c r="AC179" s="100"/>
      <c r="AD179" s="100"/>
      <c r="AE179" s="100"/>
      <c r="AF179" s="100"/>
      <c r="AG179" s="163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  <c r="AW179" s="100"/>
      <c r="AX179" s="100"/>
      <c r="AY179" s="100"/>
      <c r="AZ179" s="100"/>
      <c r="BA179" s="100"/>
      <c r="BB179" s="100"/>
      <c r="BC179" s="100"/>
      <c r="BD179" s="100"/>
      <c r="BE179" s="100"/>
      <c r="BF179" s="100"/>
      <c r="BG179" s="100"/>
      <c r="BH179" s="100"/>
      <c r="BI179" s="100"/>
      <c r="BJ179" s="100"/>
      <c r="BK179" s="100"/>
      <c r="BL179" s="100"/>
      <c r="BM179" s="100"/>
      <c r="BN179" s="100"/>
      <c r="BO179" s="100"/>
      <c r="BP179" s="100"/>
      <c r="BQ179" s="120"/>
      <c r="BR179" s="120"/>
      <c r="BS179" s="120"/>
      <c r="BT179" s="120"/>
      <c r="BU179" s="120"/>
      <c r="BV179" s="120"/>
      <c r="BW179" s="120"/>
      <c r="BX179" s="120"/>
      <c r="BY179" s="120"/>
      <c r="BZ179" s="120"/>
      <c r="CA179" s="120"/>
      <c r="CB179" s="120"/>
      <c r="CC179" s="120"/>
      <c r="CD179" s="120"/>
      <c r="CE179" s="120"/>
      <c r="CF179" s="100"/>
      <c r="CG179" s="100"/>
      <c r="CH179" s="100"/>
      <c r="CI179" s="100"/>
      <c r="CJ179" s="100"/>
      <c r="CK179" s="100"/>
      <c r="CL179" s="100"/>
      <c r="CM179" s="100"/>
      <c r="CN179" s="100"/>
      <c r="CO179" s="100"/>
      <c r="CP179" s="100"/>
      <c r="CQ179" s="100"/>
      <c r="CR179" s="100"/>
      <c r="CS179" s="100"/>
      <c r="CT179" s="100"/>
      <c r="CU179" s="100"/>
      <c r="CV179" s="100"/>
      <c r="CW179" s="100"/>
      <c r="CX179" s="100"/>
      <c r="CY179" s="100"/>
      <c r="CZ179" s="100"/>
      <c r="DA179" s="100"/>
      <c r="DB179" s="100"/>
      <c r="DC179" s="100"/>
      <c r="DD179" s="100"/>
      <c r="DE179" s="100"/>
      <c r="DF179" s="100"/>
      <c r="DG179" s="100"/>
      <c r="DH179" s="100"/>
      <c r="DI179" s="100"/>
      <c r="DJ179" s="100"/>
      <c r="DK179" s="100"/>
      <c r="DL179" s="100"/>
      <c r="DM179" s="100"/>
      <c r="DN179" s="100"/>
      <c r="DO179" s="100"/>
      <c r="DP179" s="100"/>
    </row>
    <row r="180" customFormat="false" ht="12.8" hidden="false" customHeight="false" outlineLevel="0" collapsed="false">
      <c r="A180" s="120"/>
      <c r="B180" s="120"/>
      <c r="C180" s="120"/>
      <c r="D180" s="120"/>
      <c r="E180" s="120"/>
      <c r="F180" s="120"/>
      <c r="G180" s="193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00"/>
      <c r="AA180" s="100"/>
      <c r="AB180" s="100"/>
      <c r="AC180" s="100"/>
      <c r="AD180" s="100"/>
      <c r="AE180" s="100"/>
      <c r="AF180" s="100"/>
      <c r="AG180" s="163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  <c r="AW180" s="100"/>
      <c r="AX180" s="100"/>
      <c r="AY180" s="100"/>
      <c r="AZ180" s="100"/>
      <c r="BA180" s="100"/>
      <c r="BB180" s="100"/>
      <c r="BC180" s="100"/>
      <c r="BD180" s="100"/>
      <c r="BE180" s="100"/>
      <c r="BF180" s="100"/>
      <c r="BG180" s="100"/>
      <c r="BH180" s="100"/>
      <c r="BI180" s="100"/>
      <c r="BJ180" s="100"/>
      <c r="BK180" s="100"/>
      <c r="BL180" s="100"/>
      <c r="BM180" s="100"/>
      <c r="BN180" s="100"/>
      <c r="BO180" s="100"/>
      <c r="BP180" s="100"/>
      <c r="BQ180" s="120"/>
      <c r="BR180" s="120"/>
      <c r="BS180" s="120"/>
      <c r="BT180" s="120"/>
      <c r="BU180" s="120"/>
      <c r="BV180" s="120"/>
      <c r="BW180" s="120"/>
      <c r="BX180" s="120"/>
      <c r="BY180" s="120"/>
      <c r="BZ180" s="120"/>
      <c r="CA180" s="120"/>
      <c r="CB180" s="120"/>
      <c r="CC180" s="120"/>
      <c r="CD180" s="120"/>
      <c r="CE180" s="120"/>
      <c r="CF180" s="100"/>
      <c r="CG180" s="100"/>
      <c r="CH180" s="100"/>
      <c r="CI180" s="100"/>
      <c r="CJ180" s="100"/>
      <c r="CK180" s="100"/>
      <c r="CL180" s="100"/>
      <c r="CM180" s="100"/>
      <c r="CN180" s="100"/>
      <c r="CO180" s="100"/>
      <c r="CP180" s="100"/>
      <c r="CQ180" s="100"/>
      <c r="CR180" s="100"/>
      <c r="CS180" s="100"/>
      <c r="CT180" s="100"/>
      <c r="CU180" s="100"/>
      <c r="CV180" s="100"/>
      <c r="CW180" s="100"/>
      <c r="CX180" s="100"/>
      <c r="CY180" s="100"/>
      <c r="CZ180" s="100"/>
      <c r="DA180" s="100"/>
      <c r="DB180" s="100"/>
      <c r="DC180" s="100"/>
      <c r="DD180" s="100"/>
      <c r="DE180" s="100"/>
      <c r="DF180" s="100"/>
      <c r="DG180" s="100"/>
      <c r="DH180" s="100"/>
      <c r="DI180" s="100"/>
      <c r="DJ180" s="100"/>
      <c r="DK180" s="100"/>
      <c r="DL180" s="100"/>
      <c r="DM180" s="100"/>
      <c r="DN180" s="100"/>
      <c r="DO180" s="100"/>
      <c r="DP180" s="100"/>
    </row>
    <row r="181" customFormat="false" ht="12.8" hidden="false" customHeight="false" outlineLevel="0" collapsed="false">
      <c r="A181" s="120"/>
      <c r="B181" s="120"/>
      <c r="C181" s="120"/>
      <c r="D181" s="120"/>
      <c r="E181" s="120"/>
      <c r="F181" s="120"/>
      <c r="G181" s="193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00"/>
      <c r="AA181" s="100"/>
      <c r="AB181" s="100"/>
      <c r="AC181" s="100"/>
      <c r="AD181" s="100"/>
      <c r="AE181" s="100"/>
      <c r="AF181" s="100"/>
      <c r="AG181" s="163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0"/>
      <c r="BK181" s="100"/>
      <c r="BL181" s="100"/>
      <c r="BM181" s="100"/>
      <c r="BN181" s="100"/>
      <c r="BO181" s="100"/>
      <c r="BP181" s="100"/>
      <c r="BQ181" s="120"/>
      <c r="BR181" s="120"/>
      <c r="BS181" s="120"/>
      <c r="BT181" s="120"/>
      <c r="BU181" s="120"/>
      <c r="BV181" s="120"/>
      <c r="BW181" s="120"/>
      <c r="BX181" s="120"/>
      <c r="BY181" s="120"/>
      <c r="BZ181" s="120"/>
      <c r="CA181" s="120"/>
      <c r="CB181" s="120"/>
      <c r="CC181" s="120"/>
      <c r="CD181" s="120"/>
      <c r="CE181" s="120"/>
      <c r="CF181" s="100"/>
      <c r="CG181" s="100"/>
      <c r="CH181" s="100"/>
      <c r="CI181" s="100"/>
      <c r="CJ181" s="100"/>
      <c r="CK181" s="100"/>
      <c r="CL181" s="100"/>
      <c r="CM181" s="100"/>
      <c r="CN181" s="100"/>
      <c r="CO181" s="100"/>
      <c r="CP181" s="100"/>
      <c r="CQ181" s="100"/>
      <c r="CR181" s="100"/>
      <c r="CS181" s="100"/>
      <c r="CT181" s="100"/>
      <c r="CU181" s="100"/>
      <c r="CV181" s="100"/>
      <c r="CW181" s="100"/>
      <c r="CX181" s="100"/>
      <c r="CY181" s="100"/>
      <c r="CZ181" s="100"/>
      <c r="DA181" s="100"/>
      <c r="DB181" s="100"/>
      <c r="DC181" s="100"/>
      <c r="DD181" s="100"/>
      <c r="DE181" s="100"/>
      <c r="DF181" s="100"/>
      <c r="DG181" s="100"/>
      <c r="DH181" s="100"/>
      <c r="DI181" s="100"/>
      <c r="DJ181" s="100"/>
      <c r="DK181" s="100"/>
      <c r="DL181" s="100"/>
      <c r="DM181" s="100"/>
      <c r="DN181" s="100"/>
      <c r="DO181" s="100"/>
      <c r="DP181" s="100"/>
    </row>
    <row r="182" customFormat="false" ht="12.8" hidden="false" customHeight="false" outlineLevel="0" collapsed="false">
      <c r="A182" s="120"/>
      <c r="B182" s="120"/>
      <c r="C182" s="120"/>
      <c r="D182" s="120"/>
      <c r="E182" s="120"/>
      <c r="F182" s="120"/>
      <c r="G182" s="193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00"/>
      <c r="AA182" s="100"/>
      <c r="AB182" s="100"/>
      <c r="AC182" s="100"/>
      <c r="AD182" s="100"/>
      <c r="AE182" s="100"/>
      <c r="AF182" s="100"/>
      <c r="AG182" s="163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  <c r="AW182" s="100"/>
      <c r="AX182" s="100"/>
      <c r="AY182" s="100"/>
      <c r="AZ182" s="100"/>
      <c r="BA182" s="100"/>
      <c r="BB182" s="100"/>
      <c r="BC182" s="100"/>
      <c r="BD182" s="100"/>
      <c r="BE182" s="100"/>
      <c r="BF182" s="100"/>
      <c r="BG182" s="100"/>
      <c r="BH182" s="100"/>
      <c r="BI182" s="100"/>
      <c r="BJ182" s="100"/>
      <c r="BK182" s="100"/>
      <c r="BL182" s="100"/>
      <c r="BM182" s="100"/>
      <c r="BN182" s="100"/>
      <c r="BO182" s="100"/>
      <c r="BP182" s="100"/>
      <c r="BQ182" s="120"/>
      <c r="BR182" s="120"/>
      <c r="BS182" s="120"/>
      <c r="BT182" s="120"/>
      <c r="BU182" s="120"/>
      <c r="BV182" s="120"/>
      <c r="BW182" s="120"/>
      <c r="BX182" s="120"/>
      <c r="BY182" s="120"/>
      <c r="BZ182" s="120"/>
      <c r="CA182" s="120"/>
      <c r="CB182" s="120"/>
      <c r="CC182" s="120"/>
      <c r="CD182" s="120"/>
      <c r="CE182" s="120"/>
      <c r="CF182" s="100"/>
      <c r="CG182" s="100"/>
      <c r="CH182" s="100"/>
      <c r="CI182" s="100"/>
      <c r="CJ182" s="100"/>
      <c r="CK182" s="100"/>
      <c r="CL182" s="100"/>
      <c r="CM182" s="100"/>
      <c r="CN182" s="100"/>
      <c r="CO182" s="100"/>
      <c r="CP182" s="100"/>
      <c r="CQ182" s="100"/>
      <c r="CR182" s="100"/>
      <c r="CS182" s="100"/>
      <c r="CT182" s="100"/>
      <c r="CU182" s="100"/>
      <c r="CV182" s="100"/>
      <c r="CW182" s="100"/>
      <c r="CX182" s="100"/>
      <c r="CY182" s="100"/>
      <c r="CZ182" s="100"/>
      <c r="DA182" s="100"/>
      <c r="DB182" s="100"/>
      <c r="DC182" s="100"/>
      <c r="DD182" s="100"/>
      <c r="DE182" s="100"/>
      <c r="DF182" s="100"/>
      <c r="DG182" s="100"/>
      <c r="DH182" s="100"/>
      <c r="DI182" s="100"/>
      <c r="DJ182" s="100"/>
      <c r="DK182" s="100"/>
      <c r="DL182" s="100"/>
      <c r="DM182" s="100"/>
      <c r="DN182" s="100"/>
      <c r="DO182" s="100"/>
      <c r="DP182" s="100"/>
    </row>
    <row r="183" customFormat="false" ht="12.8" hidden="false" customHeight="false" outlineLevel="0" collapsed="false">
      <c r="A183" s="120"/>
      <c r="B183" s="120"/>
      <c r="C183" s="120"/>
      <c r="D183" s="120"/>
      <c r="E183" s="120"/>
      <c r="F183" s="120"/>
      <c r="G183" s="193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00"/>
      <c r="AA183" s="100"/>
      <c r="AB183" s="100"/>
      <c r="AC183" s="100"/>
      <c r="AD183" s="100"/>
      <c r="AE183" s="100"/>
      <c r="AF183" s="100"/>
      <c r="AG183" s="163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0"/>
      <c r="BK183" s="100"/>
      <c r="BL183" s="100"/>
      <c r="BM183" s="100"/>
      <c r="BN183" s="100"/>
      <c r="BO183" s="100"/>
      <c r="BP183" s="100"/>
      <c r="BQ183" s="120"/>
      <c r="BR183" s="120"/>
      <c r="BS183" s="120"/>
      <c r="BT183" s="120"/>
      <c r="BU183" s="120"/>
      <c r="BV183" s="120"/>
      <c r="BW183" s="120"/>
      <c r="BX183" s="120"/>
      <c r="BY183" s="120"/>
      <c r="BZ183" s="120"/>
      <c r="CA183" s="120"/>
      <c r="CB183" s="120"/>
      <c r="CC183" s="120"/>
      <c r="CD183" s="120"/>
      <c r="CE183" s="120"/>
      <c r="CF183" s="100"/>
      <c r="CG183" s="100"/>
      <c r="CH183" s="100"/>
      <c r="CI183" s="100"/>
      <c r="CJ183" s="100"/>
      <c r="CK183" s="100"/>
      <c r="CL183" s="100"/>
      <c r="CM183" s="100"/>
      <c r="CN183" s="100"/>
      <c r="CO183" s="100"/>
      <c r="CP183" s="100"/>
      <c r="CQ183" s="100"/>
      <c r="CR183" s="100"/>
      <c r="CS183" s="100"/>
      <c r="CT183" s="100"/>
      <c r="CU183" s="100"/>
      <c r="CV183" s="100"/>
      <c r="CW183" s="100"/>
      <c r="CX183" s="100"/>
      <c r="CY183" s="100"/>
      <c r="CZ183" s="100"/>
      <c r="DA183" s="100"/>
      <c r="DB183" s="100"/>
      <c r="DC183" s="100"/>
      <c r="DD183" s="100"/>
      <c r="DE183" s="100"/>
      <c r="DF183" s="100"/>
      <c r="DG183" s="100"/>
      <c r="DH183" s="100"/>
      <c r="DI183" s="100"/>
      <c r="DJ183" s="100"/>
      <c r="DK183" s="100"/>
      <c r="DL183" s="100"/>
      <c r="DM183" s="100"/>
      <c r="DN183" s="100"/>
      <c r="DO183" s="100"/>
      <c r="DP183" s="100"/>
    </row>
    <row r="184" customFormat="false" ht="12.8" hidden="false" customHeight="false" outlineLevel="0" collapsed="false">
      <c r="A184" s="120"/>
      <c r="B184" s="120"/>
      <c r="C184" s="120"/>
      <c r="D184" s="120"/>
      <c r="E184" s="120"/>
      <c r="F184" s="120"/>
      <c r="G184" s="193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00"/>
      <c r="AA184" s="100"/>
      <c r="AB184" s="100"/>
      <c r="AC184" s="100"/>
      <c r="AD184" s="100"/>
      <c r="AE184" s="100"/>
      <c r="AF184" s="100"/>
      <c r="AG184" s="163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  <c r="AW184" s="100"/>
      <c r="AX184" s="100"/>
      <c r="AY184" s="100"/>
      <c r="AZ184" s="100"/>
      <c r="BA184" s="100"/>
      <c r="BB184" s="100"/>
      <c r="BC184" s="100"/>
      <c r="BD184" s="100"/>
      <c r="BE184" s="100"/>
      <c r="BF184" s="100"/>
      <c r="BG184" s="100"/>
      <c r="BH184" s="100"/>
      <c r="BI184" s="100"/>
      <c r="BJ184" s="100"/>
      <c r="BK184" s="100"/>
      <c r="BL184" s="100"/>
      <c r="BM184" s="100"/>
      <c r="BN184" s="100"/>
      <c r="BO184" s="100"/>
      <c r="BP184" s="100"/>
      <c r="BQ184" s="120"/>
      <c r="BR184" s="120"/>
      <c r="BS184" s="120"/>
      <c r="BT184" s="120"/>
      <c r="BU184" s="120"/>
      <c r="BV184" s="120"/>
      <c r="BW184" s="120"/>
      <c r="BX184" s="120"/>
      <c r="BY184" s="120"/>
      <c r="BZ184" s="120"/>
      <c r="CA184" s="120"/>
      <c r="CB184" s="120"/>
      <c r="CC184" s="120"/>
      <c r="CD184" s="120"/>
      <c r="CE184" s="120"/>
      <c r="CF184" s="100"/>
      <c r="CG184" s="100"/>
      <c r="CH184" s="100"/>
      <c r="CI184" s="100"/>
      <c r="CJ184" s="100"/>
      <c r="CK184" s="100"/>
      <c r="CL184" s="100"/>
      <c r="CM184" s="100"/>
      <c r="CN184" s="100"/>
      <c r="CO184" s="100"/>
      <c r="CP184" s="100"/>
      <c r="CQ184" s="100"/>
      <c r="CR184" s="100"/>
      <c r="CS184" s="100"/>
      <c r="CT184" s="100"/>
      <c r="CU184" s="100"/>
      <c r="CV184" s="100"/>
      <c r="CW184" s="100"/>
      <c r="CX184" s="100"/>
      <c r="CY184" s="100"/>
      <c r="CZ184" s="100"/>
      <c r="DA184" s="100"/>
      <c r="DB184" s="100"/>
      <c r="DC184" s="100"/>
      <c r="DD184" s="100"/>
      <c r="DE184" s="100"/>
      <c r="DF184" s="100"/>
      <c r="DG184" s="100"/>
      <c r="DH184" s="100"/>
      <c r="DI184" s="100"/>
      <c r="DJ184" s="100"/>
      <c r="DK184" s="100"/>
      <c r="DL184" s="100"/>
      <c r="DM184" s="100"/>
      <c r="DN184" s="100"/>
      <c r="DO184" s="100"/>
      <c r="DP184" s="100"/>
    </row>
    <row r="185" customFormat="false" ht="12.8" hidden="false" customHeight="false" outlineLevel="0" collapsed="false">
      <c r="A185" s="120"/>
      <c r="B185" s="120"/>
      <c r="C185" s="120"/>
      <c r="D185" s="120"/>
      <c r="E185" s="120"/>
      <c r="F185" s="120"/>
      <c r="G185" s="193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00"/>
      <c r="AA185" s="100"/>
      <c r="AB185" s="100"/>
      <c r="AC185" s="100"/>
      <c r="AD185" s="100"/>
      <c r="AE185" s="100"/>
      <c r="AF185" s="100"/>
      <c r="AG185" s="163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  <c r="AW185" s="100"/>
      <c r="AX185" s="100"/>
      <c r="AY185" s="100"/>
      <c r="AZ185" s="100"/>
      <c r="BA185" s="100"/>
      <c r="BB185" s="100"/>
      <c r="BC185" s="100"/>
      <c r="BD185" s="100"/>
      <c r="BE185" s="100"/>
      <c r="BF185" s="100"/>
      <c r="BG185" s="100"/>
      <c r="BH185" s="100"/>
      <c r="BI185" s="100"/>
      <c r="BJ185" s="100"/>
      <c r="BK185" s="100"/>
      <c r="BL185" s="100"/>
      <c r="BM185" s="100"/>
      <c r="BN185" s="100"/>
      <c r="BO185" s="100"/>
      <c r="BP185" s="100"/>
      <c r="BQ185" s="120"/>
      <c r="BR185" s="120"/>
      <c r="BS185" s="120"/>
      <c r="BT185" s="120"/>
      <c r="BU185" s="120"/>
      <c r="BV185" s="120"/>
      <c r="BW185" s="120"/>
      <c r="BX185" s="120"/>
      <c r="BY185" s="120"/>
      <c r="BZ185" s="120"/>
      <c r="CA185" s="120"/>
      <c r="CB185" s="120"/>
      <c r="CC185" s="120"/>
      <c r="CD185" s="120"/>
      <c r="CE185" s="120"/>
      <c r="CF185" s="100"/>
      <c r="CG185" s="100"/>
      <c r="CH185" s="100"/>
      <c r="CI185" s="100"/>
      <c r="CJ185" s="100"/>
      <c r="CK185" s="100"/>
      <c r="CL185" s="100"/>
      <c r="CM185" s="100"/>
      <c r="CN185" s="100"/>
      <c r="CO185" s="100"/>
      <c r="CP185" s="100"/>
      <c r="CQ185" s="100"/>
      <c r="CR185" s="100"/>
      <c r="CS185" s="100"/>
      <c r="CT185" s="100"/>
      <c r="CU185" s="100"/>
      <c r="CV185" s="100"/>
      <c r="CW185" s="100"/>
      <c r="CX185" s="100"/>
      <c r="CY185" s="100"/>
      <c r="CZ185" s="100"/>
      <c r="DA185" s="100"/>
      <c r="DB185" s="100"/>
      <c r="DC185" s="100"/>
      <c r="DD185" s="100"/>
      <c r="DE185" s="100"/>
      <c r="DF185" s="100"/>
      <c r="DG185" s="100"/>
      <c r="DH185" s="100"/>
      <c r="DI185" s="100"/>
      <c r="DJ185" s="100"/>
      <c r="DK185" s="100"/>
      <c r="DL185" s="100"/>
      <c r="DM185" s="100"/>
      <c r="DN185" s="100"/>
      <c r="DO185" s="100"/>
      <c r="DP185" s="100"/>
    </row>
    <row r="186" customFormat="false" ht="12.8" hidden="false" customHeight="false" outlineLevel="0" collapsed="false">
      <c r="A186" s="120"/>
      <c r="B186" s="120"/>
      <c r="C186" s="120"/>
      <c r="D186" s="120"/>
      <c r="E186" s="120"/>
      <c r="F186" s="120"/>
      <c r="G186" s="193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00"/>
      <c r="AA186" s="100"/>
      <c r="AB186" s="100"/>
      <c r="AC186" s="100"/>
      <c r="AD186" s="100"/>
      <c r="AE186" s="100"/>
      <c r="AF186" s="100"/>
      <c r="AG186" s="163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  <c r="AW186" s="100"/>
      <c r="AX186" s="100"/>
      <c r="AY186" s="100"/>
      <c r="AZ186" s="100"/>
      <c r="BA186" s="100"/>
      <c r="BB186" s="100"/>
      <c r="BC186" s="100"/>
      <c r="BD186" s="100"/>
      <c r="BE186" s="100"/>
      <c r="BF186" s="100"/>
      <c r="BG186" s="100"/>
      <c r="BH186" s="100"/>
      <c r="BI186" s="100"/>
      <c r="BJ186" s="100"/>
      <c r="BK186" s="100"/>
      <c r="BL186" s="100"/>
      <c r="BM186" s="100"/>
      <c r="BN186" s="100"/>
      <c r="BO186" s="100"/>
      <c r="BP186" s="100"/>
      <c r="BQ186" s="120"/>
      <c r="BR186" s="120"/>
      <c r="BS186" s="120"/>
      <c r="BT186" s="120"/>
      <c r="BU186" s="120"/>
      <c r="BV186" s="120"/>
      <c r="BW186" s="120"/>
      <c r="BX186" s="120"/>
      <c r="BY186" s="120"/>
      <c r="BZ186" s="120"/>
      <c r="CA186" s="120"/>
      <c r="CB186" s="120"/>
      <c r="CC186" s="120"/>
      <c r="CD186" s="120"/>
      <c r="CE186" s="120"/>
      <c r="CF186" s="100"/>
      <c r="CG186" s="100"/>
      <c r="CH186" s="100"/>
      <c r="CI186" s="100"/>
      <c r="CJ186" s="100"/>
      <c r="CK186" s="100"/>
      <c r="CL186" s="100"/>
      <c r="CM186" s="100"/>
      <c r="CN186" s="100"/>
      <c r="CO186" s="100"/>
      <c r="CP186" s="100"/>
      <c r="CQ186" s="100"/>
      <c r="CR186" s="100"/>
      <c r="CS186" s="100"/>
      <c r="CT186" s="100"/>
      <c r="CU186" s="100"/>
      <c r="CV186" s="100"/>
      <c r="CW186" s="100"/>
      <c r="CX186" s="100"/>
      <c r="CY186" s="100"/>
      <c r="CZ186" s="100"/>
      <c r="DA186" s="100"/>
      <c r="DB186" s="100"/>
      <c r="DC186" s="100"/>
      <c r="DD186" s="100"/>
      <c r="DE186" s="100"/>
      <c r="DF186" s="100"/>
      <c r="DG186" s="100"/>
      <c r="DH186" s="100"/>
      <c r="DI186" s="100"/>
      <c r="DJ186" s="100"/>
      <c r="DK186" s="100"/>
      <c r="DL186" s="100"/>
      <c r="DM186" s="100"/>
      <c r="DN186" s="100"/>
      <c r="DO186" s="100"/>
      <c r="DP186" s="100"/>
    </row>
    <row r="187" customFormat="false" ht="12.8" hidden="false" customHeight="false" outlineLevel="0" collapsed="false">
      <c r="A187" s="120"/>
      <c r="B187" s="120"/>
      <c r="C187" s="120"/>
      <c r="D187" s="120"/>
      <c r="E187" s="120"/>
      <c r="F187" s="120"/>
      <c r="G187" s="193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00"/>
      <c r="AA187" s="100"/>
      <c r="AB187" s="100"/>
      <c r="AC187" s="100"/>
      <c r="AD187" s="100"/>
      <c r="AE187" s="100"/>
      <c r="AF187" s="100"/>
      <c r="AG187" s="163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0"/>
      <c r="AZ187" s="100"/>
      <c r="BA187" s="100"/>
      <c r="BB187" s="100"/>
      <c r="BC187" s="100"/>
      <c r="BD187" s="100"/>
      <c r="BE187" s="100"/>
      <c r="BF187" s="100"/>
      <c r="BG187" s="100"/>
      <c r="BH187" s="100"/>
      <c r="BI187" s="100"/>
      <c r="BJ187" s="100"/>
      <c r="BK187" s="100"/>
      <c r="BL187" s="100"/>
      <c r="BM187" s="100"/>
      <c r="BN187" s="100"/>
      <c r="BO187" s="100"/>
      <c r="BP187" s="100"/>
      <c r="BQ187" s="120"/>
      <c r="BR187" s="120"/>
      <c r="BS187" s="120"/>
      <c r="BT187" s="120"/>
      <c r="BU187" s="120"/>
      <c r="BV187" s="120"/>
      <c r="BW187" s="120"/>
      <c r="BX187" s="120"/>
      <c r="BY187" s="120"/>
      <c r="BZ187" s="120"/>
      <c r="CA187" s="120"/>
      <c r="CB187" s="120"/>
      <c r="CC187" s="120"/>
      <c r="CD187" s="120"/>
      <c r="CE187" s="120"/>
      <c r="CF187" s="100"/>
      <c r="CG187" s="100"/>
      <c r="CH187" s="100"/>
      <c r="CI187" s="100"/>
      <c r="CJ187" s="100"/>
      <c r="CK187" s="100"/>
      <c r="CL187" s="100"/>
      <c r="CM187" s="100"/>
      <c r="CN187" s="100"/>
      <c r="CO187" s="100"/>
      <c r="CP187" s="100"/>
      <c r="CQ187" s="100"/>
      <c r="CR187" s="100"/>
      <c r="CS187" s="100"/>
      <c r="CT187" s="100"/>
      <c r="CU187" s="100"/>
      <c r="CV187" s="100"/>
      <c r="CW187" s="100"/>
      <c r="CX187" s="100"/>
      <c r="CY187" s="100"/>
      <c r="CZ187" s="100"/>
      <c r="DA187" s="100"/>
      <c r="DB187" s="100"/>
      <c r="DC187" s="100"/>
      <c r="DD187" s="100"/>
      <c r="DE187" s="100"/>
      <c r="DF187" s="100"/>
      <c r="DG187" s="100"/>
      <c r="DH187" s="100"/>
      <c r="DI187" s="100"/>
      <c r="DJ187" s="100"/>
      <c r="DK187" s="100"/>
      <c r="DL187" s="100"/>
      <c r="DM187" s="100"/>
      <c r="DN187" s="100"/>
      <c r="DO187" s="100"/>
      <c r="DP187" s="100"/>
    </row>
    <row r="188" customFormat="false" ht="12.8" hidden="false" customHeight="false" outlineLevel="0" collapsed="false">
      <c r="A188" s="120"/>
      <c r="B188" s="120"/>
      <c r="C188" s="120"/>
      <c r="D188" s="120"/>
      <c r="E188" s="120"/>
      <c r="F188" s="120"/>
      <c r="G188" s="193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00"/>
      <c r="AA188" s="100"/>
      <c r="AB188" s="100"/>
      <c r="AC188" s="100"/>
      <c r="AD188" s="100"/>
      <c r="AE188" s="100"/>
      <c r="AF188" s="100"/>
      <c r="AG188" s="163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  <c r="BE188" s="100"/>
      <c r="BF188" s="100"/>
      <c r="BG188" s="100"/>
      <c r="BH188" s="100"/>
      <c r="BI188" s="100"/>
      <c r="BJ188" s="100"/>
      <c r="BK188" s="100"/>
      <c r="BL188" s="100"/>
      <c r="BM188" s="100"/>
      <c r="BN188" s="100"/>
      <c r="BO188" s="100"/>
      <c r="BP188" s="100"/>
      <c r="BQ188" s="120"/>
      <c r="BR188" s="120"/>
      <c r="BS188" s="120"/>
      <c r="BT188" s="120"/>
      <c r="BU188" s="120"/>
      <c r="BV188" s="120"/>
      <c r="BW188" s="120"/>
      <c r="BX188" s="120"/>
      <c r="BY188" s="120"/>
      <c r="BZ188" s="120"/>
      <c r="CA188" s="120"/>
      <c r="CB188" s="120"/>
      <c r="CC188" s="120"/>
      <c r="CD188" s="120"/>
      <c r="CE188" s="120"/>
      <c r="CF188" s="100"/>
      <c r="CG188" s="100"/>
      <c r="CH188" s="100"/>
      <c r="CI188" s="100"/>
      <c r="CJ188" s="100"/>
      <c r="CK188" s="100"/>
      <c r="CL188" s="100"/>
      <c r="CM188" s="100"/>
      <c r="CN188" s="100"/>
      <c r="CO188" s="100"/>
      <c r="CP188" s="100"/>
      <c r="CQ188" s="100"/>
      <c r="CR188" s="100"/>
      <c r="CS188" s="100"/>
      <c r="CT188" s="100"/>
      <c r="CU188" s="100"/>
      <c r="CV188" s="100"/>
      <c r="CW188" s="100"/>
      <c r="CX188" s="100"/>
      <c r="CY188" s="100"/>
      <c r="CZ188" s="100"/>
      <c r="DA188" s="100"/>
      <c r="DB188" s="100"/>
      <c r="DC188" s="100"/>
      <c r="DD188" s="100"/>
      <c r="DE188" s="100"/>
      <c r="DF188" s="100"/>
      <c r="DG188" s="100"/>
      <c r="DH188" s="100"/>
      <c r="DI188" s="100"/>
      <c r="DJ188" s="100"/>
      <c r="DK188" s="100"/>
      <c r="DL188" s="100"/>
      <c r="DM188" s="100"/>
      <c r="DN188" s="100"/>
      <c r="DO188" s="100"/>
      <c r="DP188" s="100"/>
    </row>
    <row r="189" customFormat="false" ht="12.8" hidden="false" customHeight="false" outlineLevel="0" collapsed="false">
      <c r="A189" s="120"/>
      <c r="B189" s="120"/>
      <c r="C189" s="120"/>
      <c r="D189" s="120"/>
      <c r="E189" s="120"/>
      <c r="F189" s="120"/>
      <c r="G189" s="193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00"/>
      <c r="AA189" s="100"/>
      <c r="AB189" s="100"/>
      <c r="AC189" s="100"/>
      <c r="AD189" s="100"/>
      <c r="AE189" s="100"/>
      <c r="AF189" s="100"/>
      <c r="AG189" s="163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0"/>
      <c r="BK189" s="100"/>
      <c r="BL189" s="100"/>
      <c r="BM189" s="100"/>
      <c r="BN189" s="100"/>
      <c r="BO189" s="100"/>
      <c r="BP189" s="100"/>
      <c r="BQ189" s="120"/>
      <c r="BR189" s="120"/>
      <c r="BS189" s="120"/>
      <c r="BT189" s="120"/>
      <c r="BU189" s="120"/>
      <c r="BV189" s="120"/>
      <c r="BW189" s="120"/>
      <c r="BX189" s="120"/>
      <c r="BY189" s="120"/>
      <c r="BZ189" s="120"/>
      <c r="CA189" s="120"/>
      <c r="CB189" s="120"/>
      <c r="CC189" s="120"/>
      <c r="CD189" s="120"/>
      <c r="CE189" s="120"/>
      <c r="CF189" s="100"/>
      <c r="CG189" s="100"/>
      <c r="CH189" s="100"/>
      <c r="CI189" s="100"/>
      <c r="CJ189" s="100"/>
      <c r="CK189" s="100"/>
      <c r="CL189" s="100"/>
      <c r="CM189" s="100"/>
      <c r="CN189" s="100"/>
      <c r="CO189" s="100"/>
      <c r="CP189" s="100"/>
      <c r="CQ189" s="100"/>
      <c r="CR189" s="100"/>
      <c r="CS189" s="100"/>
      <c r="CT189" s="100"/>
      <c r="CU189" s="100"/>
      <c r="CV189" s="100"/>
      <c r="CW189" s="100"/>
      <c r="CX189" s="100"/>
      <c r="CY189" s="100"/>
      <c r="CZ189" s="100"/>
      <c r="DA189" s="100"/>
      <c r="DB189" s="100"/>
      <c r="DC189" s="100"/>
      <c r="DD189" s="100"/>
      <c r="DE189" s="100"/>
      <c r="DF189" s="100"/>
      <c r="DG189" s="100"/>
      <c r="DH189" s="100"/>
      <c r="DI189" s="100"/>
      <c r="DJ189" s="100"/>
      <c r="DK189" s="100"/>
      <c r="DL189" s="100"/>
      <c r="DM189" s="100"/>
      <c r="DN189" s="100"/>
      <c r="DO189" s="100"/>
      <c r="DP189" s="100"/>
    </row>
    <row r="190" customFormat="false" ht="12.8" hidden="false" customHeight="false" outlineLevel="0" collapsed="false">
      <c r="A190" s="120"/>
      <c r="B190" s="120"/>
      <c r="C190" s="120"/>
      <c r="D190" s="120"/>
      <c r="E190" s="120"/>
      <c r="F190" s="120"/>
      <c r="G190" s="193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00"/>
      <c r="AA190" s="100"/>
      <c r="AB190" s="100"/>
      <c r="AC190" s="100"/>
      <c r="AD190" s="100"/>
      <c r="AE190" s="100"/>
      <c r="AF190" s="100"/>
      <c r="AG190" s="163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  <c r="BB190" s="100"/>
      <c r="BC190" s="100"/>
      <c r="BD190" s="100"/>
      <c r="BE190" s="100"/>
      <c r="BF190" s="100"/>
      <c r="BG190" s="100"/>
      <c r="BH190" s="100"/>
      <c r="BI190" s="100"/>
      <c r="BJ190" s="100"/>
      <c r="BK190" s="100"/>
      <c r="BL190" s="100"/>
      <c r="BM190" s="100"/>
      <c r="BN190" s="100"/>
      <c r="BO190" s="100"/>
      <c r="BP190" s="100"/>
      <c r="BQ190" s="120"/>
      <c r="BR190" s="120"/>
      <c r="BS190" s="120"/>
      <c r="BT190" s="120"/>
      <c r="BU190" s="120"/>
      <c r="BV190" s="120"/>
      <c r="BW190" s="120"/>
      <c r="BX190" s="120"/>
      <c r="BY190" s="120"/>
      <c r="BZ190" s="120"/>
      <c r="CA190" s="120"/>
      <c r="CB190" s="120"/>
      <c r="CC190" s="120"/>
      <c r="CD190" s="120"/>
      <c r="CE190" s="120"/>
      <c r="CF190" s="100"/>
      <c r="CG190" s="100"/>
      <c r="CH190" s="100"/>
      <c r="CI190" s="100"/>
      <c r="CJ190" s="100"/>
      <c r="CK190" s="100"/>
      <c r="CL190" s="100"/>
      <c r="CM190" s="100"/>
      <c r="CN190" s="100"/>
      <c r="CO190" s="100"/>
      <c r="CP190" s="100"/>
      <c r="CQ190" s="100"/>
      <c r="CR190" s="100"/>
      <c r="CS190" s="100"/>
      <c r="CT190" s="100"/>
      <c r="CU190" s="100"/>
      <c r="CV190" s="100"/>
      <c r="CW190" s="100"/>
      <c r="CX190" s="100"/>
      <c r="CY190" s="100"/>
      <c r="CZ190" s="100"/>
      <c r="DA190" s="100"/>
      <c r="DB190" s="100"/>
      <c r="DC190" s="100"/>
      <c r="DD190" s="100"/>
      <c r="DE190" s="100"/>
      <c r="DF190" s="100"/>
      <c r="DG190" s="100"/>
      <c r="DH190" s="100"/>
      <c r="DI190" s="100"/>
      <c r="DJ190" s="100"/>
      <c r="DK190" s="100"/>
      <c r="DL190" s="100"/>
      <c r="DM190" s="100"/>
      <c r="DN190" s="100"/>
      <c r="DO190" s="100"/>
      <c r="DP190" s="100"/>
    </row>
    <row r="191" customFormat="false" ht="12.8" hidden="false" customHeight="false" outlineLevel="0" collapsed="false">
      <c r="A191" s="120"/>
      <c r="B191" s="120"/>
      <c r="C191" s="120"/>
      <c r="D191" s="120"/>
      <c r="E191" s="120"/>
      <c r="F191" s="120"/>
      <c r="G191" s="193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00"/>
      <c r="AA191" s="100"/>
      <c r="AB191" s="100"/>
      <c r="AC191" s="100"/>
      <c r="AD191" s="100"/>
      <c r="AE191" s="100"/>
      <c r="AF191" s="100"/>
      <c r="AG191" s="163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0"/>
      <c r="AZ191" s="100"/>
      <c r="BA191" s="100"/>
      <c r="BB191" s="100"/>
      <c r="BC191" s="100"/>
      <c r="BD191" s="100"/>
      <c r="BE191" s="100"/>
      <c r="BF191" s="100"/>
      <c r="BG191" s="100"/>
      <c r="BH191" s="100"/>
      <c r="BI191" s="100"/>
      <c r="BJ191" s="100"/>
      <c r="BK191" s="100"/>
      <c r="BL191" s="100"/>
      <c r="BM191" s="100"/>
      <c r="BN191" s="100"/>
      <c r="BO191" s="100"/>
      <c r="BP191" s="100"/>
      <c r="BQ191" s="120"/>
      <c r="BR191" s="120"/>
      <c r="BS191" s="120"/>
      <c r="BT191" s="120"/>
      <c r="BU191" s="120"/>
      <c r="BV191" s="120"/>
      <c r="BW191" s="120"/>
      <c r="BX191" s="120"/>
      <c r="BY191" s="120"/>
      <c r="BZ191" s="120"/>
      <c r="CA191" s="120"/>
      <c r="CB191" s="120"/>
      <c r="CC191" s="120"/>
      <c r="CD191" s="120"/>
      <c r="CE191" s="120"/>
      <c r="CF191" s="100"/>
      <c r="CG191" s="100"/>
      <c r="CH191" s="100"/>
      <c r="CI191" s="100"/>
      <c r="CJ191" s="100"/>
      <c r="CK191" s="100"/>
      <c r="CL191" s="100"/>
      <c r="CM191" s="100"/>
      <c r="CN191" s="100"/>
      <c r="CO191" s="100"/>
      <c r="CP191" s="100"/>
      <c r="CQ191" s="100"/>
      <c r="CR191" s="100"/>
      <c r="CS191" s="100"/>
      <c r="CT191" s="100"/>
      <c r="CU191" s="100"/>
      <c r="CV191" s="100"/>
      <c r="CW191" s="100"/>
      <c r="CX191" s="100"/>
      <c r="CY191" s="100"/>
      <c r="CZ191" s="100"/>
      <c r="DA191" s="100"/>
      <c r="DB191" s="100"/>
      <c r="DC191" s="100"/>
      <c r="DD191" s="100"/>
      <c r="DE191" s="100"/>
      <c r="DF191" s="100"/>
      <c r="DG191" s="100"/>
      <c r="DH191" s="100"/>
      <c r="DI191" s="100"/>
      <c r="DJ191" s="100"/>
      <c r="DK191" s="100"/>
      <c r="DL191" s="100"/>
      <c r="DM191" s="100"/>
      <c r="DN191" s="100"/>
      <c r="DO191" s="100"/>
      <c r="DP191" s="100"/>
    </row>
    <row r="192" customFormat="false" ht="12.8" hidden="false" customHeight="false" outlineLevel="0" collapsed="false">
      <c r="A192" s="120"/>
      <c r="B192" s="120"/>
      <c r="C192" s="120"/>
      <c r="D192" s="120"/>
      <c r="E192" s="120"/>
      <c r="F192" s="120"/>
      <c r="G192" s="193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00"/>
      <c r="AA192" s="100"/>
      <c r="AB192" s="100"/>
      <c r="AC192" s="100"/>
      <c r="AD192" s="100"/>
      <c r="AE192" s="100"/>
      <c r="AF192" s="100"/>
      <c r="AG192" s="163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  <c r="AW192" s="100"/>
      <c r="AX192" s="100"/>
      <c r="AY192" s="100"/>
      <c r="AZ192" s="100"/>
      <c r="BA192" s="100"/>
      <c r="BB192" s="100"/>
      <c r="BC192" s="100"/>
      <c r="BD192" s="100"/>
      <c r="BE192" s="100"/>
      <c r="BF192" s="100"/>
      <c r="BG192" s="100"/>
      <c r="BH192" s="100"/>
      <c r="BI192" s="100"/>
      <c r="BJ192" s="100"/>
      <c r="BK192" s="100"/>
      <c r="BL192" s="100"/>
      <c r="BM192" s="100"/>
      <c r="BN192" s="100"/>
      <c r="BO192" s="100"/>
      <c r="BP192" s="100"/>
      <c r="BQ192" s="120"/>
      <c r="BR192" s="120"/>
      <c r="BS192" s="120"/>
      <c r="BT192" s="120"/>
      <c r="BU192" s="120"/>
      <c r="BV192" s="120"/>
      <c r="BW192" s="120"/>
      <c r="BX192" s="120"/>
      <c r="BY192" s="120"/>
      <c r="BZ192" s="120"/>
      <c r="CA192" s="120"/>
      <c r="CB192" s="120"/>
      <c r="CC192" s="120"/>
      <c r="CD192" s="120"/>
      <c r="CE192" s="120"/>
      <c r="CF192" s="100"/>
      <c r="CG192" s="100"/>
      <c r="CH192" s="100"/>
      <c r="CI192" s="100"/>
      <c r="CJ192" s="100"/>
      <c r="CK192" s="100"/>
      <c r="CL192" s="100"/>
      <c r="CM192" s="100"/>
      <c r="CN192" s="100"/>
      <c r="CO192" s="100"/>
      <c r="CP192" s="100"/>
      <c r="CQ192" s="100"/>
      <c r="CR192" s="100"/>
      <c r="CS192" s="100"/>
      <c r="CT192" s="100"/>
      <c r="CU192" s="100"/>
      <c r="CV192" s="100"/>
      <c r="CW192" s="100"/>
      <c r="CX192" s="100"/>
      <c r="CY192" s="100"/>
      <c r="CZ192" s="100"/>
      <c r="DA192" s="100"/>
      <c r="DB192" s="100"/>
      <c r="DC192" s="100"/>
      <c r="DD192" s="100"/>
      <c r="DE192" s="100"/>
      <c r="DF192" s="100"/>
      <c r="DG192" s="100"/>
      <c r="DH192" s="100"/>
      <c r="DI192" s="100"/>
      <c r="DJ192" s="100"/>
      <c r="DK192" s="100"/>
      <c r="DL192" s="100"/>
      <c r="DM192" s="100"/>
      <c r="DN192" s="100"/>
      <c r="DO192" s="100"/>
      <c r="DP192" s="100"/>
    </row>
    <row r="193" customFormat="false" ht="12.8" hidden="false" customHeight="false" outlineLevel="0" collapsed="false">
      <c r="A193" s="120"/>
      <c r="B193" s="120"/>
      <c r="C193" s="120"/>
      <c r="D193" s="120"/>
      <c r="E193" s="120"/>
      <c r="F193" s="120"/>
      <c r="G193" s="193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00"/>
      <c r="AA193" s="100"/>
      <c r="AB193" s="100"/>
      <c r="AC193" s="100"/>
      <c r="AD193" s="100"/>
      <c r="AE193" s="100"/>
      <c r="AF193" s="100"/>
      <c r="AG193" s="163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  <c r="AW193" s="100"/>
      <c r="AX193" s="100"/>
      <c r="AY193" s="100"/>
      <c r="AZ193" s="100"/>
      <c r="BA193" s="100"/>
      <c r="BB193" s="100"/>
      <c r="BC193" s="100"/>
      <c r="BD193" s="100"/>
      <c r="BE193" s="100"/>
      <c r="BF193" s="100"/>
      <c r="BG193" s="100"/>
      <c r="BH193" s="100"/>
      <c r="BI193" s="100"/>
      <c r="BJ193" s="100"/>
      <c r="BK193" s="100"/>
      <c r="BL193" s="100"/>
      <c r="BM193" s="100"/>
      <c r="BN193" s="100"/>
      <c r="BO193" s="100"/>
      <c r="BP193" s="100"/>
      <c r="BQ193" s="120"/>
      <c r="BR193" s="120"/>
      <c r="BS193" s="120"/>
      <c r="BT193" s="120"/>
      <c r="BU193" s="120"/>
      <c r="BV193" s="120"/>
      <c r="BW193" s="120"/>
      <c r="BX193" s="120"/>
      <c r="BY193" s="120"/>
      <c r="BZ193" s="120"/>
      <c r="CA193" s="120"/>
      <c r="CB193" s="120"/>
      <c r="CC193" s="120"/>
      <c r="CD193" s="120"/>
      <c r="CE193" s="120"/>
      <c r="CF193" s="100"/>
      <c r="CG193" s="100"/>
      <c r="CH193" s="100"/>
      <c r="CI193" s="100"/>
      <c r="CJ193" s="100"/>
      <c r="CK193" s="100"/>
      <c r="CL193" s="100"/>
      <c r="CM193" s="100"/>
      <c r="CN193" s="100"/>
      <c r="CO193" s="100"/>
      <c r="CP193" s="100"/>
      <c r="CQ193" s="100"/>
      <c r="CR193" s="100"/>
      <c r="CS193" s="100"/>
      <c r="CT193" s="100"/>
      <c r="CU193" s="100"/>
      <c r="CV193" s="100"/>
      <c r="CW193" s="100"/>
      <c r="CX193" s="100"/>
      <c r="CY193" s="100"/>
      <c r="CZ193" s="100"/>
      <c r="DA193" s="100"/>
      <c r="DB193" s="100"/>
      <c r="DC193" s="100"/>
      <c r="DD193" s="100"/>
      <c r="DE193" s="100"/>
      <c r="DF193" s="100"/>
      <c r="DG193" s="100"/>
      <c r="DH193" s="100"/>
      <c r="DI193" s="100"/>
      <c r="DJ193" s="100"/>
      <c r="DK193" s="100"/>
      <c r="DL193" s="100"/>
      <c r="DM193" s="100"/>
      <c r="DN193" s="100"/>
      <c r="DO193" s="100"/>
      <c r="DP193" s="100"/>
    </row>
    <row r="194" customFormat="false" ht="12.8" hidden="false" customHeight="false" outlineLevel="0" collapsed="false">
      <c r="A194" s="120"/>
      <c r="B194" s="120"/>
      <c r="C194" s="120"/>
      <c r="D194" s="120"/>
      <c r="E194" s="120"/>
      <c r="F194" s="120"/>
      <c r="G194" s="193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00"/>
      <c r="AA194" s="100"/>
      <c r="AB194" s="100"/>
      <c r="AC194" s="100"/>
      <c r="AD194" s="100"/>
      <c r="AE194" s="100"/>
      <c r="AF194" s="100"/>
      <c r="AG194" s="163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  <c r="AW194" s="100"/>
      <c r="AX194" s="100"/>
      <c r="AY194" s="100"/>
      <c r="AZ194" s="100"/>
      <c r="BA194" s="100"/>
      <c r="BB194" s="100"/>
      <c r="BC194" s="100"/>
      <c r="BD194" s="100"/>
      <c r="BE194" s="100"/>
      <c r="BF194" s="100"/>
      <c r="BG194" s="100"/>
      <c r="BH194" s="100"/>
      <c r="BI194" s="100"/>
      <c r="BJ194" s="100"/>
      <c r="BK194" s="100"/>
      <c r="BL194" s="100"/>
      <c r="BM194" s="100"/>
      <c r="BN194" s="100"/>
      <c r="BO194" s="100"/>
      <c r="BP194" s="100"/>
      <c r="BQ194" s="120"/>
      <c r="BR194" s="120"/>
      <c r="BS194" s="120"/>
      <c r="BT194" s="120"/>
      <c r="BU194" s="120"/>
      <c r="BV194" s="120"/>
      <c r="BW194" s="120"/>
      <c r="BX194" s="120"/>
      <c r="BY194" s="120"/>
      <c r="BZ194" s="120"/>
      <c r="CA194" s="120"/>
      <c r="CB194" s="120"/>
      <c r="CC194" s="120"/>
      <c r="CD194" s="120"/>
      <c r="CE194" s="120"/>
      <c r="CF194" s="100"/>
      <c r="CG194" s="100"/>
      <c r="CH194" s="100"/>
      <c r="CI194" s="100"/>
      <c r="CJ194" s="100"/>
      <c r="CK194" s="100"/>
      <c r="CL194" s="100"/>
      <c r="CM194" s="100"/>
      <c r="CN194" s="100"/>
      <c r="CO194" s="100"/>
      <c r="CP194" s="100"/>
      <c r="CQ194" s="100"/>
      <c r="CR194" s="100"/>
      <c r="CS194" s="100"/>
      <c r="CT194" s="100"/>
      <c r="CU194" s="100"/>
      <c r="CV194" s="100"/>
      <c r="CW194" s="100"/>
      <c r="CX194" s="100"/>
      <c r="CY194" s="100"/>
      <c r="CZ194" s="100"/>
      <c r="DA194" s="100"/>
      <c r="DB194" s="100"/>
      <c r="DC194" s="100"/>
      <c r="DD194" s="100"/>
      <c r="DE194" s="100"/>
      <c r="DF194" s="100"/>
      <c r="DG194" s="100"/>
      <c r="DH194" s="100"/>
      <c r="DI194" s="100"/>
      <c r="DJ194" s="100"/>
      <c r="DK194" s="100"/>
      <c r="DL194" s="100"/>
      <c r="DM194" s="100"/>
      <c r="DN194" s="100"/>
      <c r="DO194" s="100"/>
      <c r="DP194" s="100"/>
    </row>
    <row r="195" customFormat="false" ht="12.8" hidden="false" customHeight="false" outlineLevel="0" collapsed="false">
      <c r="A195" s="120"/>
      <c r="B195" s="120"/>
      <c r="C195" s="120"/>
      <c r="D195" s="120"/>
      <c r="E195" s="120"/>
      <c r="F195" s="120"/>
      <c r="G195" s="193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00"/>
      <c r="AA195" s="100"/>
      <c r="AB195" s="100"/>
      <c r="AC195" s="100"/>
      <c r="AD195" s="100"/>
      <c r="AE195" s="100"/>
      <c r="AF195" s="100"/>
      <c r="AG195" s="163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  <c r="AW195" s="100"/>
      <c r="AX195" s="100"/>
      <c r="AY195" s="100"/>
      <c r="AZ195" s="100"/>
      <c r="BA195" s="100"/>
      <c r="BB195" s="100"/>
      <c r="BC195" s="100"/>
      <c r="BD195" s="100"/>
      <c r="BE195" s="100"/>
      <c r="BF195" s="100"/>
      <c r="BG195" s="100"/>
      <c r="BH195" s="100"/>
      <c r="BI195" s="100"/>
      <c r="BJ195" s="100"/>
      <c r="BK195" s="100"/>
      <c r="BL195" s="100"/>
      <c r="BM195" s="100"/>
      <c r="BN195" s="100"/>
      <c r="BO195" s="100"/>
      <c r="BP195" s="100"/>
      <c r="BQ195" s="120"/>
      <c r="BR195" s="120"/>
      <c r="BS195" s="120"/>
      <c r="BT195" s="120"/>
      <c r="BU195" s="120"/>
      <c r="BV195" s="120"/>
      <c r="BW195" s="120"/>
      <c r="BX195" s="120"/>
      <c r="BY195" s="120"/>
      <c r="BZ195" s="120"/>
      <c r="CA195" s="120"/>
      <c r="CB195" s="120"/>
      <c r="CC195" s="120"/>
      <c r="CD195" s="120"/>
      <c r="CE195" s="120"/>
      <c r="CF195" s="100"/>
      <c r="CG195" s="100"/>
      <c r="CH195" s="100"/>
      <c r="CI195" s="100"/>
      <c r="CJ195" s="100"/>
      <c r="CK195" s="100"/>
      <c r="CL195" s="100"/>
      <c r="CM195" s="100"/>
      <c r="CN195" s="100"/>
      <c r="CO195" s="100"/>
      <c r="CP195" s="100"/>
      <c r="CQ195" s="100"/>
      <c r="CR195" s="100"/>
      <c r="CS195" s="100"/>
      <c r="CT195" s="100"/>
      <c r="CU195" s="100"/>
      <c r="CV195" s="100"/>
      <c r="CW195" s="100"/>
      <c r="CX195" s="100"/>
      <c r="CY195" s="100"/>
      <c r="CZ195" s="100"/>
      <c r="DA195" s="100"/>
      <c r="DB195" s="100"/>
      <c r="DC195" s="100"/>
      <c r="DD195" s="100"/>
      <c r="DE195" s="100"/>
      <c r="DF195" s="100"/>
      <c r="DG195" s="100"/>
      <c r="DH195" s="100"/>
      <c r="DI195" s="100"/>
      <c r="DJ195" s="100"/>
      <c r="DK195" s="100"/>
      <c r="DL195" s="100"/>
      <c r="DM195" s="100"/>
      <c r="DN195" s="100"/>
      <c r="DO195" s="100"/>
      <c r="DP195" s="100"/>
    </row>
    <row r="196" customFormat="false" ht="12.8" hidden="false" customHeight="false" outlineLevel="0" collapsed="false">
      <c r="A196" s="120"/>
      <c r="B196" s="120"/>
      <c r="C196" s="120"/>
      <c r="D196" s="120"/>
      <c r="E196" s="120"/>
      <c r="F196" s="120"/>
      <c r="G196" s="193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00"/>
      <c r="AA196" s="100"/>
      <c r="AB196" s="100"/>
      <c r="AC196" s="100"/>
      <c r="AD196" s="100"/>
      <c r="AE196" s="100"/>
      <c r="AF196" s="100"/>
      <c r="AG196" s="163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  <c r="AW196" s="100"/>
      <c r="AX196" s="100"/>
      <c r="AY196" s="100"/>
      <c r="AZ196" s="100"/>
      <c r="BA196" s="100"/>
      <c r="BB196" s="100"/>
      <c r="BC196" s="100"/>
      <c r="BD196" s="100"/>
      <c r="BE196" s="100"/>
      <c r="BF196" s="100"/>
      <c r="BG196" s="100"/>
      <c r="BH196" s="100"/>
      <c r="BI196" s="100"/>
      <c r="BJ196" s="100"/>
      <c r="BK196" s="100"/>
      <c r="BL196" s="100"/>
      <c r="BM196" s="100"/>
      <c r="BN196" s="100"/>
      <c r="BO196" s="100"/>
      <c r="BP196" s="100"/>
      <c r="BQ196" s="120"/>
      <c r="BR196" s="120"/>
      <c r="BS196" s="120"/>
      <c r="BT196" s="120"/>
      <c r="BU196" s="120"/>
      <c r="BV196" s="120"/>
      <c r="BW196" s="120"/>
      <c r="BX196" s="120"/>
      <c r="BY196" s="120"/>
      <c r="BZ196" s="120"/>
      <c r="CA196" s="120"/>
      <c r="CB196" s="120"/>
      <c r="CC196" s="120"/>
      <c r="CD196" s="120"/>
      <c r="CE196" s="120"/>
      <c r="CF196" s="100"/>
      <c r="CG196" s="100"/>
      <c r="CH196" s="100"/>
      <c r="CI196" s="100"/>
      <c r="CJ196" s="100"/>
      <c r="CK196" s="100"/>
      <c r="CL196" s="100"/>
      <c r="CM196" s="100"/>
      <c r="CN196" s="100"/>
      <c r="CO196" s="100"/>
      <c r="CP196" s="100"/>
      <c r="CQ196" s="100"/>
      <c r="CR196" s="100"/>
      <c r="CS196" s="100"/>
      <c r="CT196" s="100"/>
      <c r="CU196" s="100"/>
      <c r="CV196" s="100"/>
      <c r="CW196" s="100"/>
      <c r="CX196" s="100"/>
      <c r="CY196" s="100"/>
      <c r="CZ196" s="100"/>
      <c r="DA196" s="100"/>
      <c r="DB196" s="100"/>
      <c r="DC196" s="100"/>
      <c r="DD196" s="100"/>
      <c r="DE196" s="100"/>
      <c r="DF196" s="100"/>
      <c r="DG196" s="100"/>
      <c r="DH196" s="100"/>
      <c r="DI196" s="100"/>
      <c r="DJ196" s="100"/>
      <c r="DK196" s="100"/>
      <c r="DL196" s="100"/>
      <c r="DM196" s="100"/>
      <c r="DN196" s="100"/>
      <c r="DO196" s="100"/>
      <c r="DP196" s="100"/>
    </row>
    <row r="197" customFormat="false" ht="12.8" hidden="false" customHeight="false" outlineLevel="0" collapsed="false">
      <c r="A197" s="120"/>
      <c r="B197" s="120"/>
      <c r="C197" s="120"/>
      <c r="D197" s="120"/>
      <c r="E197" s="120"/>
      <c r="F197" s="120"/>
      <c r="G197" s="193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00"/>
      <c r="AA197" s="100"/>
      <c r="AB197" s="100"/>
      <c r="AC197" s="100"/>
      <c r="AD197" s="100"/>
      <c r="AE197" s="100"/>
      <c r="AF197" s="100"/>
      <c r="AG197" s="163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  <c r="AW197" s="100"/>
      <c r="AX197" s="100"/>
      <c r="AY197" s="100"/>
      <c r="AZ197" s="100"/>
      <c r="BA197" s="100"/>
      <c r="BB197" s="100"/>
      <c r="BC197" s="100"/>
      <c r="BD197" s="100"/>
      <c r="BE197" s="100"/>
      <c r="BF197" s="100"/>
      <c r="BG197" s="100"/>
      <c r="BH197" s="100"/>
      <c r="BI197" s="100"/>
      <c r="BJ197" s="100"/>
      <c r="BK197" s="100"/>
      <c r="BL197" s="100"/>
      <c r="BM197" s="100"/>
      <c r="BN197" s="100"/>
      <c r="BO197" s="100"/>
      <c r="BP197" s="100"/>
      <c r="BQ197" s="120"/>
      <c r="BR197" s="120"/>
      <c r="BS197" s="120"/>
      <c r="BT197" s="120"/>
      <c r="BU197" s="120"/>
      <c r="BV197" s="120"/>
      <c r="BW197" s="120"/>
      <c r="BX197" s="120"/>
      <c r="BY197" s="120"/>
      <c r="BZ197" s="120"/>
      <c r="CA197" s="120"/>
      <c r="CB197" s="120"/>
      <c r="CC197" s="120"/>
      <c r="CD197" s="120"/>
      <c r="CE197" s="120"/>
      <c r="CF197" s="100"/>
      <c r="CG197" s="100"/>
      <c r="CH197" s="100"/>
      <c r="CI197" s="100"/>
      <c r="CJ197" s="100"/>
      <c r="CK197" s="100"/>
      <c r="CL197" s="100"/>
      <c r="CM197" s="100"/>
      <c r="CN197" s="100"/>
      <c r="CO197" s="100"/>
      <c r="CP197" s="100"/>
      <c r="CQ197" s="100"/>
      <c r="CR197" s="100"/>
      <c r="CS197" s="100"/>
      <c r="CT197" s="100"/>
      <c r="CU197" s="100"/>
      <c r="CV197" s="100"/>
      <c r="CW197" s="100"/>
      <c r="CX197" s="100"/>
      <c r="CY197" s="100"/>
      <c r="CZ197" s="100"/>
      <c r="DA197" s="100"/>
      <c r="DB197" s="100"/>
      <c r="DC197" s="100"/>
      <c r="DD197" s="100"/>
      <c r="DE197" s="100"/>
      <c r="DF197" s="100"/>
      <c r="DG197" s="100"/>
      <c r="DH197" s="100"/>
      <c r="DI197" s="100"/>
      <c r="DJ197" s="100"/>
      <c r="DK197" s="100"/>
      <c r="DL197" s="100"/>
      <c r="DM197" s="100"/>
      <c r="DN197" s="100"/>
      <c r="DO197" s="100"/>
      <c r="DP197" s="100"/>
    </row>
    <row r="198" customFormat="false" ht="12.8" hidden="false" customHeight="false" outlineLevel="0" collapsed="false">
      <c r="A198" s="120"/>
      <c r="B198" s="120"/>
      <c r="C198" s="120"/>
      <c r="D198" s="120"/>
      <c r="E198" s="120"/>
      <c r="F198" s="120"/>
      <c r="G198" s="193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00"/>
      <c r="AA198" s="100"/>
      <c r="AB198" s="100"/>
      <c r="AC198" s="100"/>
      <c r="AD198" s="100"/>
      <c r="AE198" s="100"/>
      <c r="AF198" s="100"/>
      <c r="AG198" s="163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  <c r="AW198" s="100"/>
      <c r="AX198" s="100"/>
      <c r="AY198" s="100"/>
      <c r="AZ198" s="100"/>
      <c r="BA198" s="100"/>
      <c r="BB198" s="100"/>
      <c r="BC198" s="100"/>
      <c r="BD198" s="100"/>
      <c r="BE198" s="100"/>
      <c r="BF198" s="100"/>
      <c r="BG198" s="100"/>
      <c r="BH198" s="100"/>
      <c r="BI198" s="100"/>
      <c r="BJ198" s="100"/>
      <c r="BK198" s="100"/>
      <c r="BL198" s="100"/>
      <c r="BM198" s="100"/>
      <c r="BN198" s="100"/>
      <c r="BO198" s="100"/>
      <c r="BP198" s="100"/>
      <c r="BQ198" s="120"/>
      <c r="BR198" s="120"/>
      <c r="BS198" s="120"/>
      <c r="BT198" s="120"/>
      <c r="BU198" s="120"/>
      <c r="BV198" s="120"/>
      <c r="BW198" s="120"/>
      <c r="BX198" s="120"/>
      <c r="BY198" s="120"/>
      <c r="BZ198" s="120"/>
      <c r="CA198" s="120"/>
      <c r="CB198" s="120"/>
      <c r="CC198" s="120"/>
      <c r="CD198" s="120"/>
      <c r="CE198" s="120"/>
      <c r="CF198" s="100"/>
      <c r="CG198" s="100"/>
      <c r="CH198" s="100"/>
      <c r="CI198" s="100"/>
      <c r="CJ198" s="100"/>
      <c r="CK198" s="100"/>
      <c r="CL198" s="100"/>
      <c r="CM198" s="100"/>
      <c r="CN198" s="100"/>
      <c r="CO198" s="100"/>
      <c r="CP198" s="100"/>
      <c r="CQ198" s="100"/>
      <c r="CR198" s="100"/>
      <c r="CS198" s="100"/>
      <c r="CT198" s="100"/>
      <c r="CU198" s="100"/>
      <c r="CV198" s="100"/>
      <c r="CW198" s="100"/>
      <c r="CX198" s="100"/>
      <c r="CY198" s="100"/>
      <c r="CZ198" s="100"/>
      <c r="DA198" s="100"/>
      <c r="DB198" s="100"/>
      <c r="DC198" s="100"/>
      <c r="DD198" s="100"/>
      <c r="DE198" s="100"/>
      <c r="DF198" s="100"/>
      <c r="DG198" s="100"/>
      <c r="DH198" s="100"/>
      <c r="DI198" s="100"/>
      <c r="DJ198" s="100"/>
      <c r="DK198" s="100"/>
      <c r="DL198" s="100"/>
      <c r="DM198" s="100"/>
      <c r="DN198" s="100"/>
      <c r="DO198" s="100"/>
      <c r="DP198" s="100"/>
    </row>
    <row r="199" customFormat="false" ht="12.8" hidden="false" customHeight="false" outlineLevel="0" collapsed="false">
      <c r="A199" s="120"/>
      <c r="B199" s="120"/>
      <c r="C199" s="120"/>
      <c r="D199" s="120"/>
      <c r="E199" s="120"/>
      <c r="F199" s="120"/>
      <c r="G199" s="193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00"/>
      <c r="AA199" s="100"/>
      <c r="AB199" s="100"/>
      <c r="AC199" s="100"/>
      <c r="AD199" s="100"/>
      <c r="AE199" s="100"/>
      <c r="AF199" s="100"/>
      <c r="AG199" s="163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0"/>
      <c r="AZ199" s="100"/>
      <c r="BA199" s="100"/>
      <c r="BB199" s="100"/>
      <c r="BC199" s="100"/>
      <c r="BD199" s="100"/>
      <c r="BE199" s="100"/>
      <c r="BF199" s="100"/>
      <c r="BG199" s="100"/>
      <c r="BH199" s="100"/>
      <c r="BI199" s="100"/>
      <c r="BJ199" s="100"/>
      <c r="BK199" s="100"/>
      <c r="BL199" s="100"/>
      <c r="BM199" s="100"/>
      <c r="BN199" s="100"/>
      <c r="BO199" s="100"/>
      <c r="BP199" s="100"/>
      <c r="BQ199" s="120"/>
      <c r="BR199" s="120"/>
      <c r="BS199" s="120"/>
      <c r="BT199" s="120"/>
      <c r="BU199" s="120"/>
      <c r="BV199" s="120"/>
      <c r="BW199" s="120"/>
      <c r="BX199" s="120"/>
      <c r="BY199" s="120"/>
      <c r="BZ199" s="120"/>
      <c r="CA199" s="120"/>
      <c r="CB199" s="120"/>
      <c r="CC199" s="120"/>
      <c r="CD199" s="120"/>
      <c r="CE199" s="120"/>
      <c r="CF199" s="100"/>
      <c r="CG199" s="100"/>
      <c r="CH199" s="100"/>
      <c r="CI199" s="100"/>
      <c r="CJ199" s="100"/>
      <c r="CK199" s="100"/>
      <c r="CL199" s="100"/>
      <c r="CM199" s="100"/>
      <c r="CN199" s="100"/>
      <c r="CO199" s="100"/>
      <c r="CP199" s="100"/>
      <c r="CQ199" s="100"/>
      <c r="CR199" s="100"/>
      <c r="CS199" s="100"/>
      <c r="CT199" s="100"/>
      <c r="CU199" s="100"/>
      <c r="CV199" s="100"/>
      <c r="CW199" s="100"/>
      <c r="CX199" s="100"/>
      <c r="CY199" s="100"/>
      <c r="CZ199" s="100"/>
      <c r="DA199" s="100"/>
      <c r="DB199" s="100"/>
      <c r="DC199" s="100"/>
      <c r="DD199" s="100"/>
      <c r="DE199" s="100"/>
      <c r="DF199" s="100"/>
      <c r="DG199" s="100"/>
      <c r="DH199" s="100"/>
      <c r="DI199" s="100"/>
      <c r="DJ199" s="100"/>
      <c r="DK199" s="100"/>
      <c r="DL199" s="100"/>
      <c r="DM199" s="100"/>
      <c r="DN199" s="100"/>
      <c r="DO199" s="100"/>
      <c r="DP199" s="100"/>
    </row>
    <row r="200" customFormat="false" ht="12.8" hidden="false" customHeight="false" outlineLevel="0" collapsed="false">
      <c r="A200" s="120"/>
      <c r="B200" s="120"/>
      <c r="C200" s="120"/>
      <c r="D200" s="120"/>
      <c r="E200" s="120"/>
      <c r="F200" s="120"/>
      <c r="G200" s="193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00"/>
      <c r="AA200" s="100"/>
      <c r="AB200" s="100"/>
      <c r="AC200" s="100"/>
      <c r="AD200" s="100"/>
      <c r="AE200" s="100"/>
      <c r="AF200" s="100"/>
      <c r="AG200" s="163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  <c r="BB200" s="100"/>
      <c r="BC200" s="100"/>
      <c r="BD200" s="100"/>
      <c r="BE200" s="100"/>
      <c r="BF200" s="100"/>
      <c r="BG200" s="100"/>
      <c r="BH200" s="100"/>
      <c r="BI200" s="100"/>
      <c r="BJ200" s="100"/>
      <c r="BK200" s="100"/>
      <c r="BL200" s="100"/>
      <c r="BM200" s="100"/>
      <c r="BN200" s="100"/>
      <c r="BO200" s="100"/>
      <c r="BP200" s="100"/>
      <c r="BQ200" s="120"/>
      <c r="BR200" s="120"/>
      <c r="BS200" s="120"/>
      <c r="BT200" s="120"/>
      <c r="BU200" s="120"/>
      <c r="BV200" s="120"/>
      <c r="BW200" s="120"/>
      <c r="BX200" s="120"/>
      <c r="BY200" s="120"/>
      <c r="BZ200" s="120"/>
      <c r="CA200" s="120"/>
      <c r="CB200" s="120"/>
      <c r="CC200" s="120"/>
      <c r="CD200" s="120"/>
      <c r="CE200" s="120"/>
      <c r="CF200" s="100"/>
      <c r="CG200" s="100"/>
      <c r="CH200" s="100"/>
      <c r="CI200" s="100"/>
      <c r="CJ200" s="100"/>
      <c r="CK200" s="100"/>
      <c r="CL200" s="100"/>
      <c r="CM200" s="100"/>
      <c r="CN200" s="100"/>
      <c r="CO200" s="100"/>
      <c r="CP200" s="100"/>
      <c r="CQ200" s="100"/>
      <c r="CR200" s="100"/>
      <c r="CS200" s="100"/>
      <c r="CT200" s="100"/>
      <c r="CU200" s="100"/>
      <c r="CV200" s="100"/>
      <c r="CW200" s="100"/>
      <c r="CX200" s="100"/>
      <c r="CY200" s="100"/>
      <c r="CZ200" s="100"/>
      <c r="DA200" s="100"/>
      <c r="DB200" s="100"/>
      <c r="DC200" s="100"/>
      <c r="DD200" s="100"/>
      <c r="DE200" s="100"/>
      <c r="DF200" s="100"/>
      <c r="DG200" s="100"/>
      <c r="DH200" s="100"/>
      <c r="DI200" s="100"/>
      <c r="DJ200" s="100"/>
      <c r="DK200" s="100"/>
      <c r="DL200" s="100"/>
      <c r="DM200" s="100"/>
      <c r="DN200" s="100"/>
      <c r="DO200" s="100"/>
      <c r="DP200" s="100"/>
    </row>
    <row r="201" customFormat="false" ht="12.8" hidden="false" customHeight="false" outlineLevel="0" collapsed="false">
      <c r="A201" s="120"/>
      <c r="B201" s="120"/>
      <c r="C201" s="120"/>
      <c r="D201" s="120"/>
      <c r="E201" s="120"/>
      <c r="F201" s="120"/>
      <c r="G201" s="193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00"/>
      <c r="AA201" s="100"/>
      <c r="AB201" s="100"/>
      <c r="AC201" s="100"/>
      <c r="AD201" s="100"/>
      <c r="AE201" s="100"/>
      <c r="AF201" s="100"/>
      <c r="AG201" s="163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  <c r="AW201" s="100"/>
      <c r="AX201" s="100"/>
      <c r="AY201" s="100"/>
      <c r="AZ201" s="100"/>
      <c r="BA201" s="100"/>
      <c r="BB201" s="100"/>
      <c r="BC201" s="100"/>
      <c r="BD201" s="100"/>
      <c r="BE201" s="100"/>
      <c r="BF201" s="100"/>
      <c r="BG201" s="100"/>
      <c r="BH201" s="100"/>
      <c r="BI201" s="100"/>
      <c r="BJ201" s="100"/>
      <c r="BK201" s="100"/>
      <c r="BL201" s="100"/>
      <c r="BM201" s="100"/>
      <c r="BN201" s="100"/>
      <c r="BO201" s="100"/>
      <c r="BP201" s="100"/>
      <c r="BQ201" s="120"/>
      <c r="BR201" s="120"/>
      <c r="BS201" s="120"/>
      <c r="BT201" s="120"/>
      <c r="BU201" s="120"/>
      <c r="BV201" s="120"/>
      <c r="BW201" s="120"/>
      <c r="BX201" s="120"/>
      <c r="BY201" s="120"/>
      <c r="BZ201" s="120"/>
      <c r="CA201" s="120"/>
      <c r="CB201" s="120"/>
      <c r="CC201" s="120"/>
      <c r="CD201" s="120"/>
      <c r="CE201" s="120"/>
      <c r="CF201" s="100"/>
      <c r="CG201" s="100"/>
      <c r="CH201" s="100"/>
      <c r="CI201" s="100"/>
      <c r="CJ201" s="100"/>
      <c r="CK201" s="100"/>
      <c r="CL201" s="100"/>
      <c r="CM201" s="100"/>
      <c r="CN201" s="100"/>
      <c r="CO201" s="100"/>
      <c r="CP201" s="100"/>
      <c r="CQ201" s="100"/>
      <c r="CR201" s="100"/>
      <c r="CS201" s="100"/>
      <c r="CT201" s="100"/>
      <c r="CU201" s="100"/>
      <c r="CV201" s="100"/>
      <c r="CW201" s="100"/>
      <c r="CX201" s="100"/>
      <c r="CY201" s="100"/>
      <c r="CZ201" s="100"/>
      <c r="DA201" s="100"/>
      <c r="DB201" s="100"/>
      <c r="DC201" s="100"/>
      <c r="DD201" s="100"/>
      <c r="DE201" s="100"/>
      <c r="DF201" s="100"/>
      <c r="DG201" s="100"/>
      <c r="DH201" s="100"/>
      <c r="DI201" s="100"/>
      <c r="DJ201" s="100"/>
      <c r="DK201" s="100"/>
      <c r="DL201" s="100"/>
      <c r="DM201" s="100"/>
      <c r="DN201" s="100"/>
      <c r="DO201" s="100"/>
      <c r="DP201" s="100"/>
    </row>
    <row r="202" customFormat="false" ht="12.8" hidden="false" customHeight="false" outlineLevel="0" collapsed="false">
      <c r="A202" s="120"/>
      <c r="B202" s="120"/>
      <c r="C202" s="120"/>
      <c r="D202" s="120"/>
      <c r="E202" s="120"/>
      <c r="F202" s="120"/>
      <c r="G202" s="193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00"/>
      <c r="AA202" s="100"/>
      <c r="AB202" s="100"/>
      <c r="AC202" s="100"/>
      <c r="AD202" s="100"/>
      <c r="AE202" s="100"/>
      <c r="AF202" s="100"/>
      <c r="AG202" s="163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  <c r="AW202" s="100"/>
      <c r="AX202" s="100"/>
      <c r="AY202" s="100"/>
      <c r="AZ202" s="100"/>
      <c r="BA202" s="100"/>
      <c r="BB202" s="100"/>
      <c r="BC202" s="100"/>
      <c r="BD202" s="100"/>
      <c r="BE202" s="100"/>
      <c r="BF202" s="100"/>
      <c r="BG202" s="100"/>
      <c r="BH202" s="100"/>
      <c r="BI202" s="100"/>
      <c r="BJ202" s="100"/>
      <c r="BK202" s="100"/>
      <c r="BL202" s="100"/>
      <c r="BM202" s="100"/>
      <c r="BN202" s="100"/>
      <c r="BO202" s="100"/>
      <c r="BP202" s="100"/>
      <c r="BQ202" s="120"/>
      <c r="BR202" s="120"/>
      <c r="BS202" s="120"/>
      <c r="BT202" s="120"/>
      <c r="BU202" s="120"/>
      <c r="BV202" s="120"/>
      <c r="BW202" s="120"/>
      <c r="BX202" s="120"/>
      <c r="BY202" s="120"/>
      <c r="BZ202" s="120"/>
      <c r="CA202" s="120"/>
      <c r="CB202" s="120"/>
      <c r="CC202" s="120"/>
      <c r="CD202" s="120"/>
      <c r="CE202" s="120"/>
      <c r="CF202" s="100"/>
      <c r="CG202" s="100"/>
      <c r="CH202" s="100"/>
      <c r="CI202" s="100"/>
      <c r="CJ202" s="100"/>
      <c r="CK202" s="100"/>
      <c r="CL202" s="100"/>
      <c r="CM202" s="100"/>
      <c r="CN202" s="100"/>
      <c r="CO202" s="100"/>
      <c r="CP202" s="100"/>
      <c r="CQ202" s="100"/>
      <c r="CR202" s="100"/>
      <c r="CS202" s="100"/>
      <c r="CT202" s="100"/>
      <c r="CU202" s="100"/>
      <c r="CV202" s="100"/>
      <c r="CW202" s="100"/>
      <c r="CX202" s="100"/>
      <c r="CY202" s="100"/>
      <c r="CZ202" s="100"/>
      <c r="DA202" s="100"/>
      <c r="DB202" s="100"/>
      <c r="DC202" s="100"/>
      <c r="DD202" s="100"/>
      <c r="DE202" s="100"/>
      <c r="DF202" s="100"/>
      <c r="DG202" s="100"/>
      <c r="DH202" s="100"/>
      <c r="DI202" s="100"/>
      <c r="DJ202" s="100"/>
      <c r="DK202" s="100"/>
      <c r="DL202" s="100"/>
      <c r="DM202" s="100"/>
      <c r="DN202" s="100"/>
      <c r="DO202" s="100"/>
      <c r="DP202" s="100"/>
    </row>
    <row r="203" customFormat="false" ht="12.8" hidden="false" customHeight="false" outlineLevel="0" collapsed="false">
      <c r="A203" s="120"/>
      <c r="B203" s="120"/>
      <c r="C203" s="120"/>
      <c r="D203" s="120"/>
      <c r="E203" s="120"/>
      <c r="F203" s="120"/>
      <c r="G203" s="193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00"/>
      <c r="AA203" s="100"/>
      <c r="AB203" s="100"/>
      <c r="AC203" s="100"/>
      <c r="AD203" s="100"/>
      <c r="AE203" s="100"/>
      <c r="AF203" s="100"/>
      <c r="AG203" s="163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  <c r="AW203" s="100"/>
      <c r="AX203" s="100"/>
      <c r="AY203" s="100"/>
      <c r="AZ203" s="100"/>
      <c r="BA203" s="100"/>
      <c r="BB203" s="100"/>
      <c r="BC203" s="100"/>
      <c r="BD203" s="100"/>
      <c r="BE203" s="100"/>
      <c r="BF203" s="100"/>
      <c r="BG203" s="100"/>
      <c r="BH203" s="100"/>
      <c r="BI203" s="100"/>
      <c r="BJ203" s="100"/>
      <c r="BK203" s="100"/>
      <c r="BL203" s="100"/>
      <c r="BM203" s="100"/>
      <c r="BN203" s="100"/>
      <c r="BO203" s="100"/>
      <c r="BP203" s="100"/>
      <c r="BQ203" s="120"/>
      <c r="BR203" s="120"/>
      <c r="BS203" s="120"/>
      <c r="BT203" s="120"/>
      <c r="BU203" s="120"/>
      <c r="BV203" s="120"/>
      <c r="BW203" s="120"/>
      <c r="BX203" s="120"/>
      <c r="BY203" s="120"/>
      <c r="BZ203" s="120"/>
      <c r="CA203" s="120"/>
      <c r="CB203" s="120"/>
      <c r="CC203" s="120"/>
      <c r="CD203" s="120"/>
      <c r="CE203" s="120"/>
      <c r="CF203" s="100"/>
      <c r="CG203" s="100"/>
      <c r="CH203" s="100"/>
      <c r="CI203" s="100"/>
      <c r="CJ203" s="100"/>
      <c r="CK203" s="100"/>
      <c r="CL203" s="100"/>
      <c r="CM203" s="100"/>
      <c r="CN203" s="100"/>
      <c r="CO203" s="100"/>
      <c r="CP203" s="100"/>
      <c r="CQ203" s="100"/>
      <c r="CR203" s="100"/>
      <c r="CS203" s="100"/>
      <c r="CT203" s="100"/>
      <c r="CU203" s="100"/>
      <c r="CV203" s="100"/>
      <c r="CW203" s="100"/>
      <c r="CX203" s="100"/>
      <c r="CY203" s="100"/>
      <c r="CZ203" s="100"/>
      <c r="DA203" s="100"/>
      <c r="DB203" s="100"/>
      <c r="DC203" s="100"/>
      <c r="DD203" s="100"/>
      <c r="DE203" s="100"/>
      <c r="DF203" s="100"/>
      <c r="DG203" s="100"/>
      <c r="DH203" s="100"/>
      <c r="DI203" s="100"/>
      <c r="DJ203" s="100"/>
      <c r="DK203" s="100"/>
      <c r="DL203" s="100"/>
      <c r="DM203" s="100"/>
      <c r="DN203" s="100"/>
      <c r="DO203" s="100"/>
      <c r="DP203" s="100"/>
    </row>
    <row r="204" customFormat="false" ht="12.8" hidden="false" customHeight="false" outlineLevel="0" collapsed="false">
      <c r="A204" s="120"/>
      <c r="B204" s="120"/>
      <c r="C204" s="120"/>
      <c r="D204" s="120"/>
      <c r="E204" s="120"/>
      <c r="F204" s="120"/>
      <c r="G204" s="193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00"/>
      <c r="AA204" s="100"/>
      <c r="AB204" s="100"/>
      <c r="AC204" s="100"/>
      <c r="AD204" s="100"/>
      <c r="AE204" s="100"/>
      <c r="AF204" s="100"/>
      <c r="AG204" s="163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  <c r="BB204" s="100"/>
      <c r="BC204" s="100"/>
      <c r="BD204" s="100"/>
      <c r="BE204" s="100"/>
      <c r="BF204" s="100"/>
      <c r="BG204" s="100"/>
      <c r="BH204" s="100"/>
      <c r="BI204" s="100"/>
      <c r="BJ204" s="100"/>
      <c r="BK204" s="100"/>
      <c r="BL204" s="100"/>
      <c r="BM204" s="100"/>
      <c r="BN204" s="100"/>
      <c r="BO204" s="100"/>
      <c r="BP204" s="100"/>
      <c r="BQ204" s="120"/>
      <c r="BR204" s="120"/>
      <c r="BS204" s="120"/>
      <c r="BT204" s="120"/>
      <c r="BU204" s="120"/>
      <c r="BV204" s="120"/>
      <c r="BW204" s="120"/>
      <c r="BX204" s="120"/>
      <c r="BY204" s="120"/>
      <c r="BZ204" s="120"/>
      <c r="CA204" s="120"/>
      <c r="CB204" s="120"/>
      <c r="CC204" s="120"/>
      <c r="CD204" s="120"/>
      <c r="CE204" s="120"/>
      <c r="CF204" s="100"/>
      <c r="CG204" s="100"/>
      <c r="CH204" s="100"/>
      <c r="CI204" s="100"/>
      <c r="CJ204" s="100"/>
      <c r="CK204" s="100"/>
      <c r="CL204" s="100"/>
      <c r="CM204" s="100"/>
      <c r="CN204" s="100"/>
      <c r="CO204" s="100"/>
      <c r="CP204" s="100"/>
      <c r="CQ204" s="100"/>
      <c r="CR204" s="100"/>
      <c r="CS204" s="100"/>
      <c r="CT204" s="100"/>
      <c r="CU204" s="100"/>
      <c r="CV204" s="100"/>
      <c r="CW204" s="100"/>
      <c r="CX204" s="100"/>
      <c r="CY204" s="100"/>
      <c r="CZ204" s="100"/>
      <c r="DA204" s="100"/>
      <c r="DB204" s="100"/>
      <c r="DC204" s="100"/>
      <c r="DD204" s="100"/>
      <c r="DE204" s="100"/>
      <c r="DF204" s="100"/>
      <c r="DG204" s="100"/>
      <c r="DH204" s="100"/>
      <c r="DI204" s="100"/>
      <c r="DJ204" s="100"/>
      <c r="DK204" s="100"/>
      <c r="DL204" s="100"/>
      <c r="DM204" s="100"/>
      <c r="DN204" s="100"/>
      <c r="DO204" s="100"/>
      <c r="DP204" s="100"/>
    </row>
    <row r="205" customFormat="false" ht="12.8" hidden="false" customHeight="false" outlineLevel="0" collapsed="false">
      <c r="A205" s="120"/>
      <c r="B205" s="120"/>
      <c r="C205" s="120"/>
      <c r="D205" s="120"/>
      <c r="E205" s="120"/>
      <c r="F205" s="120"/>
      <c r="G205" s="193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00"/>
      <c r="AA205" s="100"/>
      <c r="AB205" s="100"/>
      <c r="AC205" s="100"/>
      <c r="AD205" s="100"/>
      <c r="AE205" s="100"/>
      <c r="AF205" s="100"/>
      <c r="AG205" s="163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  <c r="BB205" s="100"/>
      <c r="BC205" s="100"/>
      <c r="BD205" s="100"/>
      <c r="BE205" s="100"/>
      <c r="BF205" s="100"/>
      <c r="BG205" s="100"/>
      <c r="BH205" s="100"/>
      <c r="BI205" s="100"/>
      <c r="BJ205" s="100"/>
      <c r="BK205" s="100"/>
      <c r="BL205" s="100"/>
      <c r="BM205" s="100"/>
      <c r="BN205" s="100"/>
      <c r="BO205" s="100"/>
      <c r="BP205" s="100"/>
      <c r="BQ205" s="120"/>
      <c r="BR205" s="120"/>
      <c r="BS205" s="120"/>
      <c r="BT205" s="120"/>
      <c r="BU205" s="120"/>
      <c r="BV205" s="120"/>
      <c r="BW205" s="120"/>
      <c r="BX205" s="120"/>
      <c r="BY205" s="120"/>
      <c r="BZ205" s="120"/>
      <c r="CA205" s="120"/>
      <c r="CB205" s="120"/>
      <c r="CC205" s="120"/>
      <c r="CD205" s="120"/>
      <c r="CE205" s="120"/>
      <c r="CF205" s="100"/>
      <c r="CG205" s="100"/>
      <c r="CH205" s="100"/>
      <c r="CI205" s="100"/>
      <c r="CJ205" s="100"/>
      <c r="CK205" s="100"/>
      <c r="CL205" s="100"/>
      <c r="CM205" s="100"/>
      <c r="CN205" s="100"/>
      <c r="CO205" s="100"/>
      <c r="CP205" s="100"/>
      <c r="CQ205" s="100"/>
      <c r="CR205" s="100"/>
      <c r="CS205" s="100"/>
      <c r="CT205" s="100"/>
      <c r="CU205" s="100"/>
      <c r="CV205" s="100"/>
      <c r="CW205" s="100"/>
      <c r="CX205" s="100"/>
      <c r="CY205" s="100"/>
      <c r="CZ205" s="100"/>
      <c r="DA205" s="100"/>
      <c r="DB205" s="100"/>
      <c r="DC205" s="100"/>
      <c r="DD205" s="100"/>
      <c r="DE205" s="100"/>
      <c r="DF205" s="100"/>
      <c r="DG205" s="100"/>
      <c r="DH205" s="100"/>
      <c r="DI205" s="100"/>
      <c r="DJ205" s="100"/>
      <c r="DK205" s="100"/>
      <c r="DL205" s="100"/>
      <c r="DM205" s="100"/>
      <c r="DN205" s="100"/>
      <c r="DO205" s="100"/>
      <c r="DP205" s="100"/>
    </row>
    <row r="206" customFormat="false" ht="12.8" hidden="false" customHeight="false" outlineLevel="0" collapsed="false">
      <c r="A206" s="120"/>
      <c r="B206" s="120"/>
      <c r="C206" s="120"/>
      <c r="D206" s="120"/>
      <c r="E206" s="120"/>
      <c r="F206" s="120"/>
      <c r="G206" s="193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00"/>
      <c r="AA206" s="100"/>
      <c r="AB206" s="100"/>
      <c r="AC206" s="100"/>
      <c r="AD206" s="100"/>
      <c r="AE206" s="100"/>
      <c r="AF206" s="100"/>
      <c r="AG206" s="163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  <c r="AW206" s="100"/>
      <c r="AX206" s="100"/>
      <c r="AY206" s="100"/>
      <c r="AZ206" s="100"/>
      <c r="BA206" s="100"/>
      <c r="BB206" s="100"/>
      <c r="BC206" s="100"/>
      <c r="BD206" s="100"/>
      <c r="BE206" s="100"/>
      <c r="BF206" s="100"/>
      <c r="BG206" s="100"/>
      <c r="BH206" s="100"/>
      <c r="BI206" s="100"/>
      <c r="BJ206" s="100"/>
      <c r="BK206" s="100"/>
      <c r="BL206" s="100"/>
      <c r="BM206" s="100"/>
      <c r="BN206" s="100"/>
      <c r="BO206" s="100"/>
      <c r="BP206" s="100"/>
      <c r="BQ206" s="120"/>
      <c r="BR206" s="120"/>
      <c r="BS206" s="120"/>
      <c r="BT206" s="120"/>
      <c r="BU206" s="120"/>
      <c r="BV206" s="120"/>
      <c r="BW206" s="120"/>
      <c r="BX206" s="120"/>
      <c r="BY206" s="120"/>
      <c r="BZ206" s="120"/>
      <c r="CA206" s="120"/>
      <c r="CB206" s="120"/>
      <c r="CC206" s="120"/>
      <c r="CD206" s="120"/>
      <c r="CE206" s="120"/>
      <c r="CF206" s="100"/>
      <c r="CG206" s="100"/>
      <c r="CH206" s="100"/>
      <c r="CI206" s="100"/>
      <c r="CJ206" s="100"/>
      <c r="CK206" s="100"/>
      <c r="CL206" s="100"/>
      <c r="CM206" s="100"/>
      <c r="CN206" s="100"/>
      <c r="CO206" s="100"/>
      <c r="CP206" s="100"/>
      <c r="CQ206" s="100"/>
      <c r="CR206" s="100"/>
      <c r="CS206" s="100"/>
      <c r="CT206" s="100"/>
      <c r="CU206" s="100"/>
      <c r="CV206" s="100"/>
      <c r="CW206" s="100"/>
      <c r="CX206" s="100"/>
      <c r="CY206" s="100"/>
      <c r="CZ206" s="100"/>
      <c r="DA206" s="100"/>
      <c r="DB206" s="100"/>
      <c r="DC206" s="100"/>
      <c r="DD206" s="100"/>
      <c r="DE206" s="100"/>
      <c r="DF206" s="100"/>
      <c r="DG206" s="100"/>
      <c r="DH206" s="100"/>
      <c r="DI206" s="100"/>
      <c r="DJ206" s="100"/>
      <c r="DK206" s="100"/>
      <c r="DL206" s="100"/>
      <c r="DM206" s="100"/>
      <c r="DN206" s="100"/>
      <c r="DO206" s="100"/>
      <c r="DP206" s="100"/>
    </row>
    <row r="207" customFormat="false" ht="12.8" hidden="false" customHeight="false" outlineLevel="0" collapsed="false">
      <c r="A207" s="120"/>
      <c r="B207" s="120"/>
      <c r="C207" s="120"/>
      <c r="D207" s="120"/>
      <c r="E207" s="120"/>
      <c r="F207" s="120"/>
      <c r="G207" s="193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00"/>
      <c r="AA207" s="100"/>
      <c r="AB207" s="100"/>
      <c r="AC207" s="100"/>
      <c r="AD207" s="100"/>
      <c r="AE207" s="100"/>
      <c r="AF207" s="100"/>
      <c r="AG207" s="163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  <c r="AW207" s="100"/>
      <c r="AX207" s="100"/>
      <c r="AY207" s="100"/>
      <c r="AZ207" s="100"/>
      <c r="BA207" s="100"/>
      <c r="BB207" s="100"/>
      <c r="BC207" s="100"/>
      <c r="BD207" s="100"/>
      <c r="BE207" s="100"/>
      <c r="BF207" s="100"/>
      <c r="BG207" s="100"/>
      <c r="BH207" s="100"/>
      <c r="BI207" s="100"/>
      <c r="BJ207" s="100"/>
      <c r="BK207" s="100"/>
      <c r="BL207" s="100"/>
      <c r="BM207" s="100"/>
      <c r="BN207" s="100"/>
      <c r="BO207" s="100"/>
      <c r="BP207" s="100"/>
      <c r="BQ207" s="120"/>
      <c r="BR207" s="120"/>
      <c r="BS207" s="120"/>
      <c r="BT207" s="120"/>
      <c r="BU207" s="120"/>
      <c r="BV207" s="120"/>
      <c r="BW207" s="120"/>
      <c r="BX207" s="120"/>
      <c r="BY207" s="120"/>
      <c r="BZ207" s="120"/>
      <c r="CA207" s="120"/>
      <c r="CB207" s="120"/>
      <c r="CC207" s="120"/>
      <c r="CD207" s="120"/>
      <c r="CE207" s="120"/>
      <c r="CF207" s="100"/>
      <c r="CG207" s="100"/>
      <c r="CH207" s="100"/>
      <c r="CI207" s="100"/>
      <c r="CJ207" s="100"/>
      <c r="CK207" s="100"/>
      <c r="CL207" s="100"/>
      <c r="CM207" s="100"/>
      <c r="CN207" s="100"/>
      <c r="CO207" s="100"/>
      <c r="CP207" s="100"/>
      <c r="CQ207" s="100"/>
      <c r="CR207" s="100"/>
      <c r="CS207" s="100"/>
      <c r="CT207" s="100"/>
      <c r="CU207" s="100"/>
      <c r="CV207" s="100"/>
      <c r="CW207" s="100"/>
      <c r="CX207" s="100"/>
      <c r="CY207" s="100"/>
      <c r="CZ207" s="100"/>
      <c r="DA207" s="100"/>
      <c r="DB207" s="100"/>
      <c r="DC207" s="100"/>
      <c r="DD207" s="100"/>
      <c r="DE207" s="100"/>
      <c r="DF207" s="100"/>
      <c r="DG207" s="100"/>
      <c r="DH207" s="100"/>
      <c r="DI207" s="100"/>
      <c r="DJ207" s="100"/>
      <c r="DK207" s="100"/>
      <c r="DL207" s="100"/>
      <c r="DM207" s="100"/>
      <c r="DN207" s="100"/>
      <c r="DO207" s="100"/>
      <c r="DP207" s="100"/>
    </row>
    <row r="208" customFormat="false" ht="12.8" hidden="false" customHeight="false" outlineLevel="0" collapsed="false">
      <c r="A208" s="120"/>
      <c r="B208" s="120"/>
      <c r="C208" s="120"/>
      <c r="D208" s="120"/>
      <c r="E208" s="120"/>
      <c r="F208" s="120"/>
      <c r="G208" s="193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00"/>
      <c r="AA208" s="100"/>
      <c r="AB208" s="100"/>
      <c r="AC208" s="100"/>
      <c r="AD208" s="100"/>
      <c r="AE208" s="100"/>
      <c r="AF208" s="100"/>
      <c r="AG208" s="163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  <c r="AW208" s="100"/>
      <c r="AX208" s="100"/>
      <c r="AY208" s="100"/>
      <c r="AZ208" s="100"/>
      <c r="BA208" s="100"/>
      <c r="BB208" s="100"/>
      <c r="BC208" s="100"/>
      <c r="BD208" s="100"/>
      <c r="BE208" s="100"/>
      <c r="BF208" s="100"/>
      <c r="BG208" s="100"/>
      <c r="BH208" s="100"/>
      <c r="BI208" s="100"/>
      <c r="BJ208" s="100"/>
      <c r="BK208" s="100"/>
      <c r="BL208" s="100"/>
      <c r="BM208" s="100"/>
      <c r="BN208" s="100"/>
      <c r="BO208" s="100"/>
      <c r="BP208" s="100"/>
      <c r="BQ208" s="120"/>
      <c r="BR208" s="120"/>
      <c r="BS208" s="120"/>
      <c r="BT208" s="120"/>
      <c r="BU208" s="120"/>
      <c r="BV208" s="120"/>
      <c r="BW208" s="120"/>
      <c r="BX208" s="120"/>
      <c r="BY208" s="120"/>
      <c r="BZ208" s="120"/>
      <c r="CA208" s="120"/>
      <c r="CB208" s="120"/>
      <c r="CC208" s="120"/>
      <c r="CD208" s="120"/>
      <c r="CE208" s="120"/>
      <c r="CF208" s="100"/>
      <c r="CG208" s="100"/>
      <c r="CH208" s="100"/>
      <c r="CI208" s="100"/>
      <c r="CJ208" s="100"/>
      <c r="CK208" s="100"/>
      <c r="CL208" s="100"/>
      <c r="CM208" s="100"/>
      <c r="CN208" s="100"/>
      <c r="CO208" s="100"/>
      <c r="CP208" s="100"/>
      <c r="CQ208" s="100"/>
      <c r="CR208" s="100"/>
      <c r="CS208" s="100"/>
      <c r="CT208" s="100"/>
      <c r="CU208" s="100"/>
      <c r="CV208" s="100"/>
      <c r="CW208" s="100"/>
      <c r="CX208" s="100"/>
      <c r="CY208" s="100"/>
      <c r="CZ208" s="100"/>
      <c r="DA208" s="100"/>
      <c r="DB208" s="100"/>
      <c r="DC208" s="100"/>
      <c r="DD208" s="100"/>
      <c r="DE208" s="100"/>
      <c r="DF208" s="100"/>
      <c r="DG208" s="100"/>
      <c r="DH208" s="100"/>
      <c r="DI208" s="100"/>
      <c r="DJ208" s="100"/>
      <c r="DK208" s="100"/>
      <c r="DL208" s="100"/>
      <c r="DM208" s="100"/>
      <c r="DN208" s="100"/>
      <c r="DO208" s="100"/>
      <c r="DP208" s="100"/>
    </row>
    <row r="209" customFormat="false" ht="12.8" hidden="false" customHeight="false" outlineLevel="0" collapsed="false">
      <c r="A209" s="120"/>
      <c r="B209" s="120"/>
      <c r="C209" s="120"/>
      <c r="D209" s="120"/>
      <c r="E209" s="120"/>
      <c r="F209" s="120"/>
      <c r="G209" s="193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00"/>
      <c r="AA209" s="100"/>
      <c r="AB209" s="100"/>
      <c r="AC209" s="100"/>
      <c r="AD209" s="100"/>
      <c r="AE209" s="100"/>
      <c r="AF209" s="100"/>
      <c r="AG209" s="163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100"/>
      <c r="AY209" s="100"/>
      <c r="AZ209" s="100"/>
      <c r="BA209" s="100"/>
      <c r="BB209" s="100"/>
      <c r="BC209" s="100"/>
      <c r="BD209" s="100"/>
      <c r="BE209" s="100"/>
      <c r="BF209" s="100"/>
      <c r="BG209" s="100"/>
      <c r="BH209" s="100"/>
      <c r="BI209" s="100"/>
      <c r="BJ209" s="100"/>
      <c r="BK209" s="100"/>
      <c r="BL209" s="100"/>
      <c r="BM209" s="100"/>
      <c r="BN209" s="100"/>
      <c r="BO209" s="100"/>
      <c r="BP209" s="100"/>
      <c r="BQ209" s="120"/>
      <c r="BR209" s="120"/>
      <c r="BS209" s="120"/>
      <c r="BT209" s="120"/>
      <c r="BU209" s="120"/>
      <c r="BV209" s="120"/>
      <c r="BW209" s="120"/>
      <c r="BX209" s="120"/>
      <c r="BY209" s="120"/>
      <c r="BZ209" s="120"/>
      <c r="CA209" s="120"/>
      <c r="CB209" s="120"/>
      <c r="CC209" s="120"/>
      <c r="CD209" s="120"/>
      <c r="CE209" s="120"/>
      <c r="CF209" s="100"/>
      <c r="CG209" s="100"/>
      <c r="CH209" s="100"/>
      <c r="CI209" s="100"/>
      <c r="CJ209" s="100"/>
      <c r="CK209" s="100"/>
      <c r="CL209" s="100"/>
      <c r="CM209" s="100"/>
      <c r="CN209" s="100"/>
      <c r="CO209" s="100"/>
      <c r="CP209" s="100"/>
      <c r="CQ209" s="100"/>
      <c r="CR209" s="100"/>
      <c r="CS209" s="100"/>
      <c r="CT209" s="100"/>
      <c r="CU209" s="100"/>
      <c r="CV209" s="100"/>
      <c r="CW209" s="100"/>
      <c r="CX209" s="100"/>
      <c r="CY209" s="100"/>
      <c r="CZ209" s="100"/>
      <c r="DA209" s="100"/>
      <c r="DB209" s="100"/>
      <c r="DC209" s="100"/>
      <c r="DD209" s="100"/>
      <c r="DE209" s="100"/>
      <c r="DF209" s="100"/>
      <c r="DG209" s="100"/>
      <c r="DH209" s="100"/>
      <c r="DI209" s="100"/>
      <c r="DJ209" s="100"/>
      <c r="DK209" s="100"/>
      <c r="DL209" s="100"/>
      <c r="DM209" s="100"/>
      <c r="DN209" s="100"/>
      <c r="DO209" s="100"/>
      <c r="DP209" s="100"/>
    </row>
    <row r="210" customFormat="false" ht="12.8" hidden="false" customHeight="false" outlineLevel="0" collapsed="false">
      <c r="A210" s="120"/>
      <c r="B210" s="120"/>
      <c r="C210" s="120"/>
      <c r="D210" s="120"/>
      <c r="E210" s="120"/>
      <c r="F210" s="120"/>
      <c r="G210" s="193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00"/>
      <c r="AA210" s="100"/>
      <c r="AB210" s="100"/>
      <c r="AC210" s="100"/>
      <c r="AD210" s="100"/>
      <c r="AE210" s="100"/>
      <c r="AF210" s="100"/>
      <c r="AG210" s="163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  <c r="AW210" s="100"/>
      <c r="AX210" s="100"/>
      <c r="AY210" s="100"/>
      <c r="AZ210" s="100"/>
      <c r="BA210" s="100"/>
      <c r="BB210" s="100"/>
      <c r="BC210" s="100"/>
      <c r="BD210" s="100"/>
      <c r="BE210" s="100"/>
      <c r="BF210" s="100"/>
      <c r="BG210" s="100"/>
      <c r="BH210" s="100"/>
      <c r="BI210" s="100"/>
      <c r="BJ210" s="100"/>
      <c r="BK210" s="100"/>
      <c r="BL210" s="100"/>
      <c r="BM210" s="100"/>
      <c r="BN210" s="100"/>
      <c r="BO210" s="100"/>
      <c r="BP210" s="100"/>
      <c r="BQ210" s="120"/>
      <c r="BR210" s="120"/>
      <c r="BS210" s="120"/>
      <c r="BT210" s="120"/>
      <c r="BU210" s="120"/>
      <c r="BV210" s="120"/>
      <c r="BW210" s="120"/>
      <c r="BX210" s="120"/>
      <c r="BY210" s="120"/>
      <c r="BZ210" s="120"/>
      <c r="CA210" s="120"/>
      <c r="CB210" s="120"/>
      <c r="CC210" s="120"/>
      <c r="CD210" s="120"/>
      <c r="CE210" s="120"/>
      <c r="CF210" s="100"/>
      <c r="CG210" s="100"/>
      <c r="CH210" s="100"/>
      <c r="CI210" s="100"/>
      <c r="CJ210" s="100"/>
      <c r="CK210" s="100"/>
      <c r="CL210" s="100"/>
      <c r="CM210" s="100"/>
      <c r="CN210" s="100"/>
      <c r="CO210" s="100"/>
      <c r="CP210" s="100"/>
      <c r="CQ210" s="100"/>
      <c r="CR210" s="100"/>
      <c r="CS210" s="100"/>
      <c r="CT210" s="100"/>
      <c r="CU210" s="100"/>
      <c r="CV210" s="100"/>
      <c r="CW210" s="100"/>
      <c r="CX210" s="100"/>
      <c r="CY210" s="100"/>
      <c r="CZ210" s="100"/>
      <c r="DA210" s="100"/>
      <c r="DB210" s="100"/>
      <c r="DC210" s="100"/>
      <c r="DD210" s="100"/>
      <c r="DE210" s="100"/>
      <c r="DF210" s="100"/>
      <c r="DG210" s="100"/>
      <c r="DH210" s="100"/>
      <c r="DI210" s="100"/>
      <c r="DJ210" s="100"/>
      <c r="DK210" s="100"/>
      <c r="DL210" s="100"/>
      <c r="DM210" s="100"/>
      <c r="DN210" s="100"/>
      <c r="DO210" s="100"/>
      <c r="DP210" s="100"/>
    </row>
    <row r="211" customFormat="false" ht="12.8" hidden="false" customHeight="false" outlineLevel="0" collapsed="false">
      <c r="A211" s="120"/>
      <c r="B211" s="120"/>
      <c r="C211" s="120"/>
      <c r="D211" s="120"/>
      <c r="E211" s="120"/>
      <c r="F211" s="120"/>
      <c r="G211" s="193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00"/>
      <c r="AA211" s="100"/>
      <c r="AB211" s="100"/>
      <c r="AC211" s="100"/>
      <c r="AD211" s="100"/>
      <c r="AE211" s="100"/>
      <c r="AF211" s="100"/>
      <c r="AG211" s="163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  <c r="AW211" s="100"/>
      <c r="AX211" s="100"/>
      <c r="AY211" s="100"/>
      <c r="AZ211" s="100"/>
      <c r="BA211" s="100"/>
      <c r="BB211" s="100"/>
      <c r="BC211" s="100"/>
      <c r="BD211" s="100"/>
      <c r="BE211" s="100"/>
      <c r="BF211" s="100"/>
      <c r="BG211" s="100"/>
      <c r="BH211" s="100"/>
      <c r="BI211" s="100"/>
      <c r="BJ211" s="100"/>
      <c r="BK211" s="100"/>
      <c r="BL211" s="100"/>
      <c r="BM211" s="100"/>
      <c r="BN211" s="100"/>
      <c r="BO211" s="100"/>
      <c r="BP211" s="100"/>
      <c r="BQ211" s="120"/>
      <c r="BR211" s="120"/>
      <c r="BS211" s="120"/>
      <c r="BT211" s="120"/>
      <c r="BU211" s="120"/>
      <c r="BV211" s="120"/>
      <c r="BW211" s="120"/>
      <c r="BX211" s="120"/>
      <c r="BY211" s="120"/>
      <c r="BZ211" s="120"/>
      <c r="CA211" s="120"/>
      <c r="CB211" s="120"/>
      <c r="CC211" s="120"/>
      <c r="CD211" s="120"/>
      <c r="CE211" s="120"/>
      <c r="CF211" s="100"/>
      <c r="CG211" s="100"/>
      <c r="CH211" s="100"/>
      <c r="CI211" s="100"/>
      <c r="CJ211" s="100"/>
      <c r="CK211" s="100"/>
      <c r="CL211" s="100"/>
      <c r="CM211" s="100"/>
      <c r="CN211" s="100"/>
      <c r="CO211" s="100"/>
      <c r="CP211" s="100"/>
      <c r="CQ211" s="100"/>
      <c r="CR211" s="100"/>
      <c r="CS211" s="100"/>
      <c r="CT211" s="100"/>
      <c r="CU211" s="100"/>
      <c r="CV211" s="100"/>
      <c r="CW211" s="100"/>
      <c r="CX211" s="100"/>
      <c r="CY211" s="100"/>
      <c r="CZ211" s="100"/>
      <c r="DA211" s="100"/>
      <c r="DB211" s="100"/>
      <c r="DC211" s="100"/>
      <c r="DD211" s="100"/>
      <c r="DE211" s="100"/>
      <c r="DF211" s="100"/>
      <c r="DG211" s="100"/>
      <c r="DH211" s="100"/>
      <c r="DI211" s="100"/>
      <c r="DJ211" s="100"/>
      <c r="DK211" s="100"/>
      <c r="DL211" s="100"/>
      <c r="DM211" s="100"/>
      <c r="DN211" s="100"/>
      <c r="DO211" s="100"/>
      <c r="DP211" s="100"/>
    </row>
    <row r="212" customFormat="false" ht="12.8" hidden="false" customHeight="false" outlineLevel="0" collapsed="false">
      <c r="A212" s="120"/>
      <c r="B212" s="120"/>
      <c r="C212" s="120"/>
      <c r="D212" s="120"/>
      <c r="E212" s="120"/>
      <c r="F212" s="120"/>
      <c r="G212" s="193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00"/>
      <c r="AA212" s="100"/>
      <c r="AB212" s="100"/>
      <c r="AC212" s="100"/>
      <c r="AD212" s="100"/>
      <c r="AE212" s="100"/>
      <c r="AF212" s="100"/>
      <c r="AG212" s="163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  <c r="AW212" s="100"/>
      <c r="AX212" s="100"/>
      <c r="AY212" s="100"/>
      <c r="AZ212" s="100"/>
      <c r="BA212" s="100"/>
      <c r="BB212" s="100"/>
      <c r="BC212" s="100"/>
      <c r="BD212" s="100"/>
      <c r="BE212" s="100"/>
      <c r="BF212" s="100"/>
      <c r="BG212" s="100"/>
      <c r="BH212" s="100"/>
      <c r="BI212" s="100"/>
      <c r="BJ212" s="100"/>
      <c r="BK212" s="100"/>
      <c r="BL212" s="100"/>
      <c r="BM212" s="100"/>
      <c r="BN212" s="100"/>
      <c r="BO212" s="100"/>
      <c r="BP212" s="100"/>
      <c r="BQ212" s="120"/>
      <c r="BR212" s="120"/>
      <c r="BS212" s="120"/>
      <c r="BT212" s="120"/>
      <c r="BU212" s="120"/>
      <c r="BV212" s="120"/>
      <c r="BW212" s="120"/>
      <c r="BX212" s="120"/>
      <c r="BY212" s="120"/>
      <c r="BZ212" s="120"/>
      <c r="CA212" s="120"/>
      <c r="CB212" s="120"/>
      <c r="CC212" s="120"/>
      <c r="CD212" s="120"/>
      <c r="CE212" s="120"/>
      <c r="CF212" s="100"/>
      <c r="CG212" s="100"/>
      <c r="CH212" s="100"/>
      <c r="CI212" s="100"/>
      <c r="CJ212" s="100"/>
      <c r="CK212" s="100"/>
      <c r="CL212" s="100"/>
      <c r="CM212" s="100"/>
      <c r="CN212" s="100"/>
      <c r="CO212" s="100"/>
      <c r="CP212" s="100"/>
      <c r="CQ212" s="100"/>
      <c r="CR212" s="100"/>
      <c r="CS212" s="100"/>
      <c r="CT212" s="100"/>
      <c r="CU212" s="100"/>
      <c r="CV212" s="100"/>
      <c r="CW212" s="100"/>
      <c r="CX212" s="100"/>
      <c r="CY212" s="100"/>
      <c r="CZ212" s="100"/>
      <c r="DA212" s="100"/>
      <c r="DB212" s="100"/>
      <c r="DC212" s="100"/>
      <c r="DD212" s="100"/>
      <c r="DE212" s="100"/>
      <c r="DF212" s="100"/>
      <c r="DG212" s="100"/>
      <c r="DH212" s="100"/>
      <c r="DI212" s="100"/>
      <c r="DJ212" s="100"/>
      <c r="DK212" s="100"/>
      <c r="DL212" s="100"/>
      <c r="DM212" s="100"/>
      <c r="DN212" s="100"/>
      <c r="DO212" s="100"/>
      <c r="DP212" s="100"/>
    </row>
    <row r="213" customFormat="false" ht="12.8" hidden="false" customHeight="false" outlineLevel="0" collapsed="false">
      <c r="A213" s="120"/>
      <c r="B213" s="120"/>
      <c r="C213" s="120"/>
      <c r="D213" s="120"/>
      <c r="E213" s="120"/>
      <c r="F213" s="120"/>
      <c r="G213" s="193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00"/>
      <c r="AA213" s="100"/>
      <c r="AB213" s="100"/>
      <c r="AC213" s="100"/>
      <c r="AD213" s="100"/>
      <c r="AE213" s="100"/>
      <c r="AF213" s="100"/>
      <c r="AG213" s="163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  <c r="BB213" s="100"/>
      <c r="BC213" s="100"/>
      <c r="BD213" s="100"/>
      <c r="BE213" s="100"/>
      <c r="BF213" s="100"/>
      <c r="BG213" s="100"/>
      <c r="BH213" s="100"/>
      <c r="BI213" s="100"/>
      <c r="BJ213" s="100"/>
      <c r="BK213" s="100"/>
      <c r="BL213" s="100"/>
      <c r="BM213" s="100"/>
      <c r="BN213" s="100"/>
      <c r="BO213" s="100"/>
      <c r="BP213" s="100"/>
      <c r="BQ213" s="120"/>
      <c r="BR213" s="120"/>
      <c r="BS213" s="120"/>
      <c r="BT213" s="120"/>
      <c r="BU213" s="120"/>
      <c r="BV213" s="120"/>
      <c r="BW213" s="120"/>
      <c r="BX213" s="120"/>
      <c r="BY213" s="120"/>
      <c r="BZ213" s="120"/>
      <c r="CA213" s="120"/>
      <c r="CB213" s="120"/>
      <c r="CC213" s="120"/>
      <c r="CD213" s="120"/>
      <c r="CE213" s="120"/>
      <c r="CF213" s="100"/>
      <c r="CG213" s="100"/>
      <c r="CH213" s="100"/>
      <c r="CI213" s="100"/>
      <c r="CJ213" s="100"/>
      <c r="CK213" s="100"/>
      <c r="CL213" s="100"/>
      <c r="CM213" s="100"/>
      <c r="CN213" s="100"/>
      <c r="CO213" s="100"/>
      <c r="CP213" s="100"/>
      <c r="CQ213" s="100"/>
      <c r="CR213" s="100"/>
      <c r="CS213" s="100"/>
      <c r="CT213" s="100"/>
      <c r="CU213" s="100"/>
      <c r="CV213" s="100"/>
      <c r="CW213" s="100"/>
      <c r="CX213" s="100"/>
      <c r="CY213" s="100"/>
      <c r="CZ213" s="100"/>
      <c r="DA213" s="100"/>
      <c r="DB213" s="100"/>
      <c r="DC213" s="100"/>
      <c r="DD213" s="100"/>
      <c r="DE213" s="100"/>
      <c r="DF213" s="100"/>
      <c r="DG213" s="100"/>
      <c r="DH213" s="100"/>
      <c r="DI213" s="100"/>
      <c r="DJ213" s="100"/>
      <c r="DK213" s="100"/>
      <c r="DL213" s="100"/>
      <c r="DM213" s="100"/>
      <c r="DN213" s="100"/>
      <c r="DO213" s="100"/>
      <c r="DP213" s="100"/>
    </row>
    <row r="214" customFormat="false" ht="12.8" hidden="false" customHeight="false" outlineLevel="0" collapsed="false">
      <c r="A214" s="120"/>
      <c r="B214" s="120"/>
      <c r="C214" s="120"/>
      <c r="D214" s="120"/>
      <c r="E214" s="120"/>
      <c r="F214" s="120"/>
      <c r="G214" s="193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00"/>
      <c r="AA214" s="100"/>
      <c r="AB214" s="100"/>
      <c r="AC214" s="100"/>
      <c r="AD214" s="100"/>
      <c r="AE214" s="100"/>
      <c r="AF214" s="100"/>
      <c r="AG214" s="163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  <c r="BB214" s="100"/>
      <c r="BC214" s="100"/>
      <c r="BD214" s="100"/>
      <c r="BE214" s="100"/>
      <c r="BF214" s="100"/>
      <c r="BG214" s="100"/>
      <c r="BH214" s="100"/>
      <c r="BI214" s="100"/>
      <c r="BJ214" s="100"/>
      <c r="BK214" s="100"/>
      <c r="BL214" s="100"/>
      <c r="BM214" s="100"/>
      <c r="BN214" s="100"/>
      <c r="BO214" s="100"/>
      <c r="BP214" s="100"/>
      <c r="BQ214" s="120"/>
      <c r="BR214" s="120"/>
      <c r="BS214" s="120"/>
      <c r="BT214" s="120"/>
      <c r="BU214" s="120"/>
      <c r="BV214" s="120"/>
      <c r="BW214" s="120"/>
      <c r="BX214" s="120"/>
      <c r="BY214" s="120"/>
      <c r="BZ214" s="120"/>
      <c r="CA214" s="120"/>
      <c r="CB214" s="120"/>
      <c r="CC214" s="120"/>
      <c r="CD214" s="120"/>
      <c r="CE214" s="120"/>
      <c r="CF214" s="100"/>
      <c r="CG214" s="100"/>
      <c r="CH214" s="100"/>
      <c r="CI214" s="100"/>
      <c r="CJ214" s="100"/>
      <c r="CK214" s="100"/>
      <c r="CL214" s="100"/>
      <c r="CM214" s="100"/>
      <c r="CN214" s="100"/>
      <c r="CO214" s="100"/>
      <c r="CP214" s="100"/>
      <c r="CQ214" s="100"/>
      <c r="CR214" s="100"/>
      <c r="CS214" s="100"/>
      <c r="CT214" s="100"/>
      <c r="CU214" s="100"/>
      <c r="CV214" s="100"/>
      <c r="CW214" s="100"/>
      <c r="CX214" s="100"/>
      <c r="CY214" s="100"/>
      <c r="CZ214" s="100"/>
      <c r="DA214" s="100"/>
      <c r="DB214" s="100"/>
      <c r="DC214" s="100"/>
      <c r="DD214" s="100"/>
      <c r="DE214" s="100"/>
      <c r="DF214" s="100"/>
      <c r="DG214" s="100"/>
      <c r="DH214" s="100"/>
      <c r="DI214" s="100"/>
      <c r="DJ214" s="100"/>
      <c r="DK214" s="100"/>
      <c r="DL214" s="100"/>
      <c r="DM214" s="100"/>
      <c r="DN214" s="100"/>
      <c r="DO214" s="100"/>
      <c r="DP214" s="100"/>
    </row>
    <row r="215" customFormat="false" ht="12.8" hidden="false" customHeight="false" outlineLevel="0" collapsed="false">
      <c r="A215" s="120"/>
      <c r="B215" s="120"/>
      <c r="C215" s="120"/>
      <c r="D215" s="120"/>
      <c r="E215" s="120"/>
      <c r="F215" s="120"/>
      <c r="G215" s="193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00"/>
      <c r="AA215" s="100"/>
      <c r="AB215" s="100"/>
      <c r="AC215" s="100"/>
      <c r="AD215" s="100"/>
      <c r="AE215" s="100"/>
      <c r="AF215" s="100"/>
      <c r="AG215" s="163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  <c r="AW215" s="100"/>
      <c r="AX215" s="100"/>
      <c r="AY215" s="100"/>
      <c r="AZ215" s="100"/>
      <c r="BA215" s="100"/>
      <c r="BB215" s="100"/>
      <c r="BC215" s="100"/>
      <c r="BD215" s="100"/>
      <c r="BE215" s="100"/>
      <c r="BF215" s="100"/>
      <c r="BG215" s="100"/>
      <c r="BH215" s="100"/>
      <c r="BI215" s="100"/>
      <c r="BJ215" s="100"/>
      <c r="BK215" s="100"/>
      <c r="BL215" s="100"/>
      <c r="BM215" s="100"/>
      <c r="BN215" s="100"/>
      <c r="BO215" s="100"/>
      <c r="BP215" s="100"/>
      <c r="BQ215" s="120"/>
      <c r="BR215" s="120"/>
      <c r="BS215" s="120"/>
      <c r="BT215" s="120"/>
      <c r="BU215" s="120"/>
      <c r="BV215" s="120"/>
      <c r="BW215" s="120"/>
      <c r="BX215" s="120"/>
      <c r="BY215" s="120"/>
      <c r="BZ215" s="120"/>
      <c r="CA215" s="120"/>
      <c r="CB215" s="120"/>
      <c r="CC215" s="120"/>
      <c r="CD215" s="120"/>
      <c r="CE215" s="120"/>
      <c r="CF215" s="100"/>
      <c r="CG215" s="100"/>
      <c r="CH215" s="100"/>
      <c r="CI215" s="100"/>
      <c r="CJ215" s="100"/>
      <c r="CK215" s="100"/>
      <c r="CL215" s="100"/>
      <c r="CM215" s="100"/>
      <c r="CN215" s="100"/>
      <c r="CO215" s="100"/>
      <c r="CP215" s="100"/>
      <c r="CQ215" s="100"/>
      <c r="CR215" s="100"/>
      <c r="CS215" s="100"/>
      <c r="CT215" s="100"/>
      <c r="CU215" s="100"/>
      <c r="CV215" s="100"/>
      <c r="CW215" s="100"/>
      <c r="CX215" s="100"/>
      <c r="CY215" s="100"/>
      <c r="CZ215" s="100"/>
      <c r="DA215" s="100"/>
      <c r="DB215" s="100"/>
      <c r="DC215" s="100"/>
      <c r="DD215" s="100"/>
      <c r="DE215" s="100"/>
      <c r="DF215" s="100"/>
      <c r="DG215" s="100"/>
      <c r="DH215" s="100"/>
      <c r="DI215" s="100"/>
      <c r="DJ215" s="100"/>
      <c r="DK215" s="100"/>
      <c r="DL215" s="100"/>
      <c r="DM215" s="100"/>
      <c r="DN215" s="100"/>
      <c r="DO215" s="100"/>
      <c r="DP215" s="100"/>
    </row>
    <row r="216" customFormat="false" ht="12.8" hidden="false" customHeight="false" outlineLevel="0" collapsed="false">
      <c r="A216" s="120"/>
      <c r="B216" s="120"/>
      <c r="C216" s="120"/>
      <c r="D216" s="120"/>
      <c r="E216" s="120"/>
      <c r="F216" s="120"/>
      <c r="G216" s="193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00"/>
      <c r="AA216" s="100"/>
      <c r="AB216" s="100"/>
      <c r="AC216" s="100"/>
      <c r="AD216" s="100"/>
      <c r="AE216" s="100"/>
      <c r="AF216" s="100"/>
      <c r="AG216" s="163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  <c r="BB216" s="100"/>
      <c r="BC216" s="100"/>
      <c r="BD216" s="100"/>
      <c r="BE216" s="100"/>
      <c r="BF216" s="100"/>
      <c r="BG216" s="100"/>
      <c r="BH216" s="100"/>
      <c r="BI216" s="100"/>
      <c r="BJ216" s="100"/>
      <c r="BK216" s="100"/>
      <c r="BL216" s="100"/>
      <c r="BM216" s="100"/>
      <c r="BN216" s="100"/>
      <c r="BO216" s="100"/>
      <c r="BP216" s="100"/>
      <c r="BQ216" s="120"/>
      <c r="BR216" s="120"/>
      <c r="BS216" s="120"/>
      <c r="BT216" s="120"/>
      <c r="BU216" s="120"/>
      <c r="BV216" s="120"/>
      <c r="BW216" s="120"/>
      <c r="BX216" s="120"/>
      <c r="BY216" s="120"/>
      <c r="BZ216" s="120"/>
      <c r="CA216" s="120"/>
      <c r="CB216" s="120"/>
      <c r="CC216" s="120"/>
      <c r="CD216" s="120"/>
      <c r="CE216" s="120"/>
      <c r="CF216" s="100"/>
      <c r="CG216" s="100"/>
      <c r="CH216" s="100"/>
      <c r="CI216" s="100"/>
      <c r="CJ216" s="100"/>
      <c r="CK216" s="100"/>
      <c r="CL216" s="100"/>
      <c r="CM216" s="100"/>
      <c r="CN216" s="100"/>
      <c r="CO216" s="100"/>
      <c r="CP216" s="100"/>
      <c r="CQ216" s="100"/>
      <c r="CR216" s="100"/>
      <c r="CS216" s="100"/>
      <c r="CT216" s="100"/>
      <c r="CU216" s="100"/>
      <c r="CV216" s="100"/>
      <c r="CW216" s="100"/>
      <c r="CX216" s="100"/>
      <c r="CY216" s="100"/>
      <c r="CZ216" s="100"/>
      <c r="DA216" s="100"/>
      <c r="DB216" s="100"/>
      <c r="DC216" s="100"/>
      <c r="DD216" s="100"/>
      <c r="DE216" s="100"/>
      <c r="DF216" s="100"/>
      <c r="DG216" s="100"/>
      <c r="DH216" s="100"/>
      <c r="DI216" s="100"/>
      <c r="DJ216" s="100"/>
      <c r="DK216" s="100"/>
      <c r="DL216" s="100"/>
      <c r="DM216" s="100"/>
      <c r="DN216" s="100"/>
      <c r="DO216" s="100"/>
      <c r="DP216" s="100"/>
    </row>
    <row r="217" customFormat="false" ht="12.8" hidden="false" customHeight="false" outlineLevel="0" collapsed="false">
      <c r="A217" s="120"/>
      <c r="B217" s="120"/>
      <c r="C217" s="120"/>
      <c r="D217" s="120"/>
      <c r="E217" s="120"/>
      <c r="F217" s="120"/>
      <c r="G217" s="193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00"/>
      <c r="AA217" s="100"/>
      <c r="AB217" s="100"/>
      <c r="AC217" s="100"/>
      <c r="AD217" s="100"/>
      <c r="AE217" s="100"/>
      <c r="AF217" s="100"/>
      <c r="AG217" s="163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  <c r="BB217" s="100"/>
      <c r="BC217" s="100"/>
      <c r="BD217" s="100"/>
      <c r="BE217" s="100"/>
      <c r="BF217" s="100"/>
      <c r="BG217" s="100"/>
      <c r="BH217" s="100"/>
      <c r="BI217" s="100"/>
      <c r="BJ217" s="100"/>
      <c r="BK217" s="100"/>
      <c r="BL217" s="100"/>
      <c r="BM217" s="100"/>
      <c r="BN217" s="100"/>
      <c r="BO217" s="100"/>
      <c r="BP217" s="100"/>
      <c r="BQ217" s="120"/>
      <c r="BR217" s="120"/>
      <c r="BS217" s="120"/>
      <c r="BT217" s="120"/>
      <c r="BU217" s="120"/>
      <c r="BV217" s="120"/>
      <c r="BW217" s="120"/>
      <c r="BX217" s="120"/>
      <c r="BY217" s="120"/>
      <c r="BZ217" s="120"/>
      <c r="CA217" s="120"/>
      <c r="CB217" s="120"/>
      <c r="CC217" s="120"/>
      <c r="CD217" s="120"/>
      <c r="CE217" s="120"/>
      <c r="CF217" s="100"/>
      <c r="CG217" s="100"/>
      <c r="CH217" s="100"/>
      <c r="CI217" s="100"/>
      <c r="CJ217" s="100"/>
      <c r="CK217" s="100"/>
      <c r="CL217" s="100"/>
      <c r="CM217" s="100"/>
      <c r="CN217" s="100"/>
      <c r="CO217" s="100"/>
      <c r="CP217" s="100"/>
      <c r="CQ217" s="100"/>
      <c r="CR217" s="100"/>
      <c r="CS217" s="100"/>
      <c r="CT217" s="100"/>
      <c r="CU217" s="100"/>
      <c r="CV217" s="100"/>
      <c r="CW217" s="100"/>
      <c r="CX217" s="100"/>
      <c r="CY217" s="100"/>
      <c r="CZ217" s="100"/>
      <c r="DA217" s="100"/>
      <c r="DB217" s="100"/>
      <c r="DC217" s="100"/>
      <c r="DD217" s="100"/>
      <c r="DE217" s="100"/>
      <c r="DF217" s="100"/>
      <c r="DG217" s="100"/>
      <c r="DH217" s="100"/>
      <c r="DI217" s="100"/>
      <c r="DJ217" s="100"/>
      <c r="DK217" s="100"/>
      <c r="DL217" s="100"/>
      <c r="DM217" s="100"/>
      <c r="DN217" s="100"/>
      <c r="DO217" s="100"/>
      <c r="DP217" s="100"/>
    </row>
    <row r="218" customFormat="false" ht="12.8" hidden="false" customHeight="false" outlineLevel="0" collapsed="false">
      <c r="A218" s="120"/>
      <c r="B218" s="120"/>
      <c r="C218" s="120"/>
      <c r="D218" s="120"/>
      <c r="E218" s="120"/>
      <c r="F218" s="120"/>
      <c r="G218" s="193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00"/>
      <c r="AA218" s="100"/>
      <c r="AB218" s="100"/>
      <c r="AC218" s="100"/>
      <c r="AD218" s="100"/>
      <c r="AE218" s="100"/>
      <c r="AF218" s="100"/>
      <c r="AG218" s="163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  <c r="AS218" s="100"/>
      <c r="AT218" s="100"/>
      <c r="AU218" s="100"/>
      <c r="AV218" s="100"/>
      <c r="AW218" s="100"/>
      <c r="AX218" s="100"/>
      <c r="AY218" s="100"/>
      <c r="AZ218" s="100"/>
      <c r="BA218" s="100"/>
      <c r="BB218" s="100"/>
      <c r="BC218" s="100"/>
      <c r="BD218" s="100"/>
      <c r="BE218" s="100"/>
      <c r="BF218" s="100"/>
      <c r="BG218" s="100"/>
      <c r="BH218" s="100"/>
      <c r="BI218" s="100"/>
      <c r="BJ218" s="100"/>
      <c r="BK218" s="100"/>
      <c r="BL218" s="100"/>
      <c r="BM218" s="100"/>
      <c r="BN218" s="100"/>
      <c r="BO218" s="100"/>
      <c r="BP218" s="100"/>
      <c r="BQ218" s="120"/>
      <c r="BR218" s="120"/>
      <c r="BS218" s="120"/>
      <c r="BT218" s="120"/>
      <c r="BU218" s="120"/>
      <c r="BV218" s="120"/>
      <c r="BW218" s="120"/>
      <c r="BX218" s="120"/>
      <c r="BY218" s="120"/>
      <c r="BZ218" s="120"/>
      <c r="CA218" s="120"/>
      <c r="CB218" s="120"/>
      <c r="CC218" s="120"/>
      <c r="CD218" s="120"/>
      <c r="CE218" s="120"/>
      <c r="CF218" s="100"/>
      <c r="CG218" s="100"/>
      <c r="CH218" s="100"/>
      <c r="CI218" s="100"/>
      <c r="CJ218" s="100"/>
      <c r="CK218" s="100"/>
      <c r="CL218" s="100"/>
      <c r="CM218" s="100"/>
      <c r="CN218" s="100"/>
      <c r="CO218" s="100"/>
      <c r="CP218" s="100"/>
      <c r="CQ218" s="100"/>
      <c r="CR218" s="100"/>
      <c r="CS218" s="100"/>
      <c r="CT218" s="100"/>
      <c r="CU218" s="100"/>
      <c r="CV218" s="100"/>
      <c r="CW218" s="100"/>
      <c r="CX218" s="100"/>
      <c r="CY218" s="100"/>
      <c r="CZ218" s="100"/>
      <c r="DA218" s="100"/>
      <c r="DB218" s="100"/>
      <c r="DC218" s="100"/>
      <c r="DD218" s="100"/>
      <c r="DE218" s="100"/>
      <c r="DF218" s="100"/>
      <c r="DG218" s="100"/>
      <c r="DH218" s="100"/>
      <c r="DI218" s="100"/>
      <c r="DJ218" s="100"/>
      <c r="DK218" s="100"/>
      <c r="DL218" s="100"/>
      <c r="DM218" s="100"/>
      <c r="DN218" s="100"/>
      <c r="DO218" s="100"/>
      <c r="DP218" s="100"/>
    </row>
    <row r="219" customFormat="false" ht="12.8" hidden="false" customHeight="false" outlineLevel="0" collapsed="false">
      <c r="A219" s="120"/>
      <c r="B219" s="120"/>
      <c r="C219" s="120"/>
      <c r="D219" s="120"/>
      <c r="E219" s="120"/>
      <c r="F219" s="120"/>
      <c r="G219" s="193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00"/>
      <c r="AA219" s="100"/>
      <c r="AB219" s="100"/>
      <c r="AC219" s="100"/>
      <c r="AD219" s="100"/>
      <c r="AE219" s="100"/>
      <c r="AF219" s="100"/>
      <c r="AG219" s="163"/>
      <c r="AH219" s="100"/>
      <c r="AI219" s="100"/>
      <c r="AJ219" s="100"/>
      <c r="AK219" s="100"/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  <c r="AW219" s="100"/>
      <c r="AX219" s="100"/>
      <c r="AY219" s="100"/>
      <c r="AZ219" s="100"/>
      <c r="BA219" s="100"/>
      <c r="BB219" s="100"/>
      <c r="BC219" s="100"/>
      <c r="BD219" s="100"/>
      <c r="BE219" s="100"/>
      <c r="BF219" s="100"/>
      <c r="BG219" s="100"/>
      <c r="BH219" s="100"/>
      <c r="BI219" s="100"/>
      <c r="BJ219" s="100"/>
      <c r="BK219" s="100"/>
      <c r="BL219" s="100"/>
      <c r="BM219" s="100"/>
      <c r="BN219" s="100"/>
      <c r="BO219" s="100"/>
      <c r="BP219" s="100"/>
      <c r="BQ219" s="120"/>
      <c r="BR219" s="120"/>
      <c r="BS219" s="120"/>
      <c r="BT219" s="120"/>
      <c r="BU219" s="120"/>
      <c r="BV219" s="120"/>
      <c r="BW219" s="120"/>
      <c r="BX219" s="120"/>
      <c r="BY219" s="120"/>
      <c r="BZ219" s="120"/>
      <c r="CA219" s="120"/>
      <c r="CB219" s="120"/>
      <c r="CC219" s="120"/>
      <c r="CD219" s="120"/>
      <c r="CE219" s="120"/>
      <c r="CF219" s="100"/>
      <c r="CG219" s="100"/>
      <c r="CH219" s="100"/>
      <c r="CI219" s="100"/>
      <c r="CJ219" s="100"/>
      <c r="CK219" s="100"/>
      <c r="CL219" s="100"/>
      <c r="CM219" s="100"/>
      <c r="CN219" s="100"/>
      <c r="CO219" s="100"/>
      <c r="CP219" s="100"/>
      <c r="CQ219" s="100"/>
      <c r="CR219" s="100"/>
      <c r="CS219" s="100"/>
      <c r="CT219" s="100"/>
      <c r="CU219" s="100"/>
      <c r="CV219" s="100"/>
      <c r="CW219" s="100"/>
      <c r="CX219" s="100"/>
      <c r="CY219" s="100"/>
      <c r="CZ219" s="100"/>
      <c r="DA219" s="100"/>
      <c r="DB219" s="100"/>
      <c r="DC219" s="100"/>
      <c r="DD219" s="100"/>
      <c r="DE219" s="100"/>
      <c r="DF219" s="100"/>
      <c r="DG219" s="100"/>
      <c r="DH219" s="100"/>
      <c r="DI219" s="100"/>
      <c r="DJ219" s="100"/>
      <c r="DK219" s="100"/>
      <c r="DL219" s="100"/>
      <c r="DM219" s="100"/>
      <c r="DN219" s="100"/>
      <c r="DO219" s="100"/>
      <c r="DP219" s="100"/>
    </row>
    <row r="220" customFormat="false" ht="12.8" hidden="false" customHeight="false" outlineLevel="0" collapsed="false">
      <c r="A220" s="120"/>
      <c r="B220" s="120"/>
      <c r="C220" s="120"/>
      <c r="D220" s="120"/>
      <c r="E220" s="120"/>
      <c r="F220" s="120"/>
      <c r="G220" s="193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00"/>
      <c r="AA220" s="100"/>
      <c r="AB220" s="100"/>
      <c r="AC220" s="100"/>
      <c r="AD220" s="100"/>
      <c r="AE220" s="100"/>
      <c r="AF220" s="100"/>
      <c r="AG220" s="163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  <c r="AW220" s="100"/>
      <c r="AX220" s="100"/>
      <c r="AY220" s="100"/>
      <c r="AZ220" s="100"/>
      <c r="BA220" s="100"/>
      <c r="BB220" s="100"/>
      <c r="BC220" s="100"/>
      <c r="BD220" s="100"/>
      <c r="BE220" s="100"/>
      <c r="BF220" s="100"/>
      <c r="BG220" s="100"/>
      <c r="BH220" s="100"/>
      <c r="BI220" s="100"/>
      <c r="BJ220" s="100"/>
      <c r="BK220" s="100"/>
      <c r="BL220" s="100"/>
      <c r="BM220" s="100"/>
      <c r="BN220" s="100"/>
      <c r="BO220" s="100"/>
      <c r="BP220" s="100"/>
      <c r="BQ220" s="120"/>
      <c r="BR220" s="120"/>
      <c r="BS220" s="120"/>
      <c r="BT220" s="120"/>
      <c r="BU220" s="120"/>
      <c r="BV220" s="120"/>
      <c r="BW220" s="120"/>
      <c r="BX220" s="120"/>
      <c r="BY220" s="120"/>
      <c r="BZ220" s="120"/>
      <c r="CA220" s="120"/>
      <c r="CB220" s="120"/>
      <c r="CC220" s="120"/>
      <c r="CD220" s="120"/>
      <c r="CE220" s="120"/>
      <c r="CF220" s="100"/>
      <c r="CG220" s="100"/>
      <c r="CH220" s="100"/>
      <c r="CI220" s="100"/>
      <c r="CJ220" s="100"/>
      <c r="CK220" s="100"/>
      <c r="CL220" s="100"/>
      <c r="CM220" s="100"/>
      <c r="CN220" s="100"/>
      <c r="CO220" s="100"/>
      <c r="CP220" s="100"/>
      <c r="CQ220" s="100"/>
      <c r="CR220" s="100"/>
      <c r="CS220" s="100"/>
      <c r="CT220" s="100"/>
      <c r="CU220" s="100"/>
      <c r="CV220" s="100"/>
      <c r="CW220" s="100"/>
      <c r="CX220" s="100"/>
      <c r="CY220" s="100"/>
      <c r="CZ220" s="100"/>
      <c r="DA220" s="100"/>
      <c r="DB220" s="100"/>
      <c r="DC220" s="100"/>
      <c r="DD220" s="100"/>
      <c r="DE220" s="100"/>
      <c r="DF220" s="100"/>
      <c r="DG220" s="100"/>
      <c r="DH220" s="100"/>
      <c r="DI220" s="100"/>
      <c r="DJ220" s="100"/>
      <c r="DK220" s="100"/>
      <c r="DL220" s="100"/>
      <c r="DM220" s="100"/>
      <c r="DN220" s="100"/>
      <c r="DO220" s="100"/>
      <c r="DP220" s="100"/>
    </row>
    <row r="221" customFormat="false" ht="12.8" hidden="false" customHeight="false" outlineLevel="0" collapsed="false">
      <c r="A221" s="120"/>
      <c r="B221" s="120"/>
      <c r="C221" s="120"/>
      <c r="D221" s="120"/>
      <c r="E221" s="120"/>
      <c r="F221" s="120"/>
      <c r="G221" s="193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00"/>
      <c r="AA221" s="100"/>
      <c r="AB221" s="100"/>
      <c r="AC221" s="100"/>
      <c r="AD221" s="100"/>
      <c r="AE221" s="100"/>
      <c r="AF221" s="100"/>
      <c r="AG221" s="163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  <c r="AW221" s="100"/>
      <c r="AX221" s="100"/>
      <c r="AY221" s="100"/>
      <c r="AZ221" s="100"/>
      <c r="BA221" s="100"/>
      <c r="BB221" s="100"/>
      <c r="BC221" s="100"/>
      <c r="BD221" s="100"/>
      <c r="BE221" s="100"/>
      <c r="BF221" s="100"/>
      <c r="BG221" s="100"/>
      <c r="BH221" s="100"/>
      <c r="BI221" s="100"/>
      <c r="BJ221" s="100"/>
      <c r="BK221" s="100"/>
      <c r="BL221" s="100"/>
      <c r="BM221" s="100"/>
      <c r="BN221" s="100"/>
      <c r="BO221" s="100"/>
      <c r="BP221" s="100"/>
      <c r="BQ221" s="120"/>
      <c r="BR221" s="120"/>
      <c r="BS221" s="120"/>
      <c r="BT221" s="120"/>
      <c r="BU221" s="120"/>
      <c r="BV221" s="120"/>
      <c r="BW221" s="120"/>
      <c r="BX221" s="120"/>
      <c r="BY221" s="120"/>
      <c r="BZ221" s="120"/>
      <c r="CA221" s="120"/>
      <c r="CB221" s="120"/>
      <c r="CC221" s="120"/>
      <c r="CD221" s="120"/>
      <c r="CE221" s="120"/>
      <c r="CF221" s="100"/>
      <c r="CG221" s="100"/>
      <c r="CH221" s="100"/>
      <c r="CI221" s="100"/>
      <c r="CJ221" s="100"/>
      <c r="CK221" s="100"/>
      <c r="CL221" s="100"/>
      <c r="CM221" s="100"/>
      <c r="CN221" s="100"/>
      <c r="CO221" s="100"/>
      <c r="CP221" s="100"/>
      <c r="CQ221" s="100"/>
      <c r="CR221" s="100"/>
      <c r="CS221" s="100"/>
      <c r="CT221" s="100"/>
      <c r="CU221" s="100"/>
      <c r="CV221" s="100"/>
      <c r="CW221" s="100"/>
      <c r="CX221" s="100"/>
      <c r="CY221" s="100"/>
      <c r="CZ221" s="100"/>
      <c r="DA221" s="100"/>
      <c r="DB221" s="100"/>
      <c r="DC221" s="100"/>
      <c r="DD221" s="100"/>
      <c r="DE221" s="100"/>
      <c r="DF221" s="100"/>
      <c r="DG221" s="100"/>
      <c r="DH221" s="100"/>
      <c r="DI221" s="100"/>
      <c r="DJ221" s="100"/>
      <c r="DK221" s="100"/>
      <c r="DL221" s="100"/>
      <c r="DM221" s="100"/>
      <c r="DN221" s="100"/>
      <c r="DO221" s="100"/>
      <c r="DP221" s="100"/>
    </row>
    <row r="222" customFormat="false" ht="12.8" hidden="false" customHeight="false" outlineLevel="0" collapsed="false">
      <c r="A222" s="120"/>
      <c r="B222" s="120"/>
      <c r="C222" s="120"/>
      <c r="D222" s="120"/>
      <c r="E222" s="120"/>
      <c r="F222" s="120"/>
      <c r="G222" s="193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00"/>
      <c r="AA222" s="100"/>
      <c r="AB222" s="100"/>
      <c r="AC222" s="100"/>
      <c r="AD222" s="100"/>
      <c r="AE222" s="100"/>
      <c r="AF222" s="100"/>
      <c r="AG222" s="163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0"/>
      <c r="AS222" s="100"/>
      <c r="AT222" s="100"/>
      <c r="AU222" s="100"/>
      <c r="AV222" s="100"/>
      <c r="AW222" s="100"/>
      <c r="AX222" s="100"/>
      <c r="AY222" s="100"/>
      <c r="AZ222" s="100"/>
      <c r="BA222" s="100"/>
      <c r="BB222" s="100"/>
      <c r="BC222" s="100"/>
      <c r="BD222" s="100"/>
      <c r="BE222" s="100"/>
      <c r="BF222" s="100"/>
      <c r="BG222" s="100"/>
      <c r="BH222" s="100"/>
      <c r="BI222" s="100"/>
      <c r="BJ222" s="100"/>
      <c r="BK222" s="100"/>
      <c r="BL222" s="100"/>
      <c r="BM222" s="100"/>
      <c r="BN222" s="100"/>
      <c r="BO222" s="100"/>
      <c r="BP222" s="100"/>
      <c r="BQ222" s="120"/>
      <c r="BR222" s="120"/>
      <c r="BS222" s="120"/>
      <c r="BT222" s="120"/>
      <c r="BU222" s="120"/>
      <c r="BV222" s="120"/>
      <c r="BW222" s="120"/>
      <c r="BX222" s="120"/>
      <c r="BY222" s="120"/>
      <c r="BZ222" s="120"/>
      <c r="CA222" s="120"/>
      <c r="CB222" s="120"/>
      <c r="CC222" s="120"/>
      <c r="CD222" s="120"/>
      <c r="CE222" s="120"/>
      <c r="CF222" s="100"/>
      <c r="CG222" s="100"/>
      <c r="CH222" s="100"/>
      <c r="CI222" s="100"/>
      <c r="CJ222" s="100"/>
      <c r="CK222" s="100"/>
      <c r="CL222" s="100"/>
      <c r="CM222" s="100"/>
      <c r="CN222" s="100"/>
      <c r="CO222" s="100"/>
      <c r="CP222" s="100"/>
      <c r="CQ222" s="100"/>
      <c r="CR222" s="100"/>
      <c r="CS222" s="100"/>
      <c r="CT222" s="100"/>
      <c r="CU222" s="100"/>
      <c r="CV222" s="100"/>
      <c r="CW222" s="100"/>
      <c r="CX222" s="100"/>
      <c r="CY222" s="100"/>
      <c r="CZ222" s="100"/>
      <c r="DA222" s="100"/>
      <c r="DB222" s="100"/>
      <c r="DC222" s="100"/>
      <c r="DD222" s="100"/>
      <c r="DE222" s="100"/>
      <c r="DF222" s="100"/>
      <c r="DG222" s="100"/>
      <c r="DH222" s="100"/>
      <c r="DI222" s="100"/>
      <c r="DJ222" s="100"/>
      <c r="DK222" s="100"/>
      <c r="DL222" s="100"/>
      <c r="DM222" s="100"/>
      <c r="DN222" s="100"/>
      <c r="DO222" s="100"/>
      <c r="DP222" s="100"/>
    </row>
    <row r="223" customFormat="false" ht="12.8" hidden="false" customHeight="false" outlineLevel="0" collapsed="false">
      <c r="A223" s="120"/>
      <c r="B223" s="120"/>
      <c r="C223" s="120"/>
      <c r="D223" s="120"/>
      <c r="E223" s="120"/>
      <c r="F223" s="120"/>
      <c r="G223" s="193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00"/>
      <c r="AA223" s="100"/>
      <c r="AB223" s="100"/>
      <c r="AC223" s="100"/>
      <c r="AD223" s="100"/>
      <c r="AE223" s="100"/>
      <c r="AF223" s="100"/>
      <c r="AG223" s="163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  <c r="AW223" s="100"/>
      <c r="AX223" s="100"/>
      <c r="AY223" s="100"/>
      <c r="AZ223" s="100"/>
      <c r="BA223" s="100"/>
      <c r="BB223" s="100"/>
      <c r="BC223" s="100"/>
      <c r="BD223" s="100"/>
      <c r="BE223" s="100"/>
      <c r="BF223" s="100"/>
      <c r="BG223" s="100"/>
      <c r="BH223" s="100"/>
      <c r="BI223" s="100"/>
      <c r="BJ223" s="100"/>
      <c r="BK223" s="100"/>
      <c r="BL223" s="100"/>
      <c r="BM223" s="100"/>
      <c r="BN223" s="100"/>
      <c r="BO223" s="100"/>
      <c r="BP223" s="100"/>
      <c r="BQ223" s="120"/>
      <c r="BR223" s="120"/>
      <c r="BS223" s="120"/>
      <c r="BT223" s="120"/>
      <c r="BU223" s="120"/>
      <c r="BV223" s="120"/>
      <c r="BW223" s="120"/>
      <c r="BX223" s="120"/>
      <c r="BY223" s="120"/>
      <c r="BZ223" s="120"/>
      <c r="CA223" s="120"/>
      <c r="CB223" s="120"/>
      <c r="CC223" s="120"/>
      <c r="CD223" s="120"/>
      <c r="CE223" s="120"/>
      <c r="CF223" s="100"/>
      <c r="CG223" s="100"/>
      <c r="CH223" s="100"/>
      <c r="CI223" s="100"/>
      <c r="CJ223" s="100"/>
      <c r="CK223" s="100"/>
      <c r="CL223" s="100"/>
      <c r="CM223" s="100"/>
      <c r="CN223" s="100"/>
      <c r="CO223" s="100"/>
      <c r="CP223" s="100"/>
      <c r="CQ223" s="100"/>
      <c r="CR223" s="100"/>
      <c r="CS223" s="100"/>
      <c r="CT223" s="100"/>
      <c r="CU223" s="100"/>
      <c r="CV223" s="100"/>
      <c r="CW223" s="100"/>
      <c r="CX223" s="100"/>
      <c r="CY223" s="100"/>
      <c r="CZ223" s="100"/>
      <c r="DA223" s="100"/>
      <c r="DB223" s="100"/>
      <c r="DC223" s="100"/>
      <c r="DD223" s="100"/>
      <c r="DE223" s="100"/>
      <c r="DF223" s="100"/>
      <c r="DG223" s="100"/>
      <c r="DH223" s="100"/>
      <c r="DI223" s="100"/>
      <c r="DJ223" s="100"/>
      <c r="DK223" s="100"/>
      <c r="DL223" s="100"/>
      <c r="DM223" s="100"/>
      <c r="DN223" s="100"/>
      <c r="DO223" s="100"/>
      <c r="DP223" s="100"/>
    </row>
    <row r="224" customFormat="false" ht="12.8" hidden="false" customHeight="false" outlineLevel="0" collapsed="false">
      <c r="A224" s="120"/>
      <c r="B224" s="120"/>
      <c r="C224" s="120"/>
      <c r="D224" s="120"/>
      <c r="E224" s="120"/>
      <c r="F224" s="120"/>
      <c r="G224" s="193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00"/>
      <c r="AA224" s="100"/>
      <c r="AB224" s="100"/>
      <c r="AC224" s="100"/>
      <c r="AD224" s="100"/>
      <c r="AE224" s="100"/>
      <c r="AF224" s="100"/>
      <c r="AG224" s="163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  <c r="AW224" s="100"/>
      <c r="AX224" s="100"/>
      <c r="AY224" s="100"/>
      <c r="AZ224" s="100"/>
      <c r="BA224" s="100"/>
      <c r="BB224" s="100"/>
      <c r="BC224" s="100"/>
      <c r="BD224" s="100"/>
      <c r="BE224" s="100"/>
      <c r="BF224" s="100"/>
      <c r="BG224" s="100"/>
      <c r="BH224" s="100"/>
      <c r="BI224" s="100"/>
      <c r="BJ224" s="100"/>
      <c r="BK224" s="100"/>
      <c r="BL224" s="100"/>
      <c r="BM224" s="100"/>
      <c r="BN224" s="100"/>
      <c r="BO224" s="100"/>
      <c r="BP224" s="100"/>
      <c r="BQ224" s="120"/>
      <c r="BR224" s="120"/>
      <c r="BS224" s="120"/>
      <c r="BT224" s="120"/>
      <c r="BU224" s="120"/>
      <c r="BV224" s="120"/>
      <c r="BW224" s="120"/>
      <c r="BX224" s="120"/>
      <c r="BY224" s="120"/>
      <c r="BZ224" s="120"/>
      <c r="CA224" s="120"/>
      <c r="CB224" s="120"/>
      <c r="CC224" s="120"/>
      <c r="CD224" s="120"/>
      <c r="CE224" s="120"/>
      <c r="CF224" s="100"/>
      <c r="CG224" s="100"/>
      <c r="CH224" s="100"/>
      <c r="CI224" s="100"/>
      <c r="CJ224" s="100"/>
      <c r="CK224" s="100"/>
      <c r="CL224" s="100"/>
      <c r="CM224" s="100"/>
      <c r="CN224" s="100"/>
      <c r="CO224" s="100"/>
      <c r="CP224" s="100"/>
      <c r="CQ224" s="100"/>
      <c r="CR224" s="100"/>
      <c r="CS224" s="100"/>
      <c r="CT224" s="100"/>
      <c r="CU224" s="100"/>
      <c r="CV224" s="100"/>
      <c r="CW224" s="100"/>
      <c r="CX224" s="100"/>
      <c r="CY224" s="100"/>
      <c r="CZ224" s="100"/>
      <c r="DA224" s="100"/>
      <c r="DB224" s="100"/>
      <c r="DC224" s="100"/>
      <c r="DD224" s="100"/>
      <c r="DE224" s="100"/>
      <c r="DF224" s="100"/>
      <c r="DG224" s="100"/>
      <c r="DH224" s="100"/>
      <c r="DI224" s="100"/>
      <c r="DJ224" s="100"/>
      <c r="DK224" s="100"/>
      <c r="DL224" s="100"/>
      <c r="DM224" s="100"/>
      <c r="DN224" s="100"/>
      <c r="DO224" s="100"/>
      <c r="DP224" s="100"/>
    </row>
    <row r="225" customFormat="false" ht="12.8" hidden="false" customHeight="false" outlineLevel="0" collapsed="false">
      <c r="A225" s="120"/>
      <c r="B225" s="120"/>
      <c r="C225" s="120"/>
      <c r="D225" s="120"/>
      <c r="E225" s="120"/>
      <c r="F225" s="120"/>
      <c r="G225" s="193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00"/>
      <c r="AA225" s="100"/>
      <c r="AB225" s="100"/>
      <c r="AC225" s="100"/>
      <c r="AD225" s="100"/>
      <c r="AE225" s="100"/>
      <c r="AF225" s="100"/>
      <c r="AG225" s="163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  <c r="AW225" s="100"/>
      <c r="AX225" s="100"/>
      <c r="AY225" s="100"/>
      <c r="AZ225" s="100"/>
      <c r="BA225" s="100"/>
      <c r="BB225" s="100"/>
      <c r="BC225" s="100"/>
      <c r="BD225" s="100"/>
      <c r="BE225" s="100"/>
      <c r="BF225" s="100"/>
      <c r="BG225" s="100"/>
      <c r="BH225" s="100"/>
      <c r="BI225" s="100"/>
      <c r="BJ225" s="100"/>
      <c r="BK225" s="100"/>
      <c r="BL225" s="100"/>
      <c r="BM225" s="100"/>
      <c r="BN225" s="100"/>
      <c r="BO225" s="100"/>
      <c r="BP225" s="100"/>
      <c r="BQ225" s="120"/>
      <c r="BR225" s="120"/>
      <c r="BS225" s="120"/>
      <c r="BT225" s="120"/>
      <c r="BU225" s="120"/>
      <c r="BV225" s="120"/>
      <c r="BW225" s="120"/>
      <c r="BX225" s="120"/>
      <c r="BY225" s="120"/>
      <c r="BZ225" s="120"/>
      <c r="CA225" s="120"/>
      <c r="CB225" s="120"/>
      <c r="CC225" s="120"/>
      <c r="CD225" s="120"/>
      <c r="CE225" s="120"/>
      <c r="CF225" s="100"/>
      <c r="CG225" s="100"/>
      <c r="CH225" s="100"/>
      <c r="CI225" s="100"/>
      <c r="CJ225" s="100"/>
      <c r="CK225" s="100"/>
      <c r="CL225" s="100"/>
      <c r="CM225" s="100"/>
      <c r="CN225" s="100"/>
      <c r="CO225" s="100"/>
      <c r="CP225" s="100"/>
      <c r="CQ225" s="100"/>
      <c r="CR225" s="100"/>
      <c r="CS225" s="100"/>
      <c r="CT225" s="100"/>
      <c r="CU225" s="100"/>
      <c r="CV225" s="100"/>
      <c r="CW225" s="100"/>
      <c r="CX225" s="100"/>
      <c r="CY225" s="100"/>
      <c r="CZ225" s="100"/>
      <c r="DA225" s="100"/>
      <c r="DB225" s="100"/>
      <c r="DC225" s="100"/>
      <c r="DD225" s="100"/>
      <c r="DE225" s="100"/>
      <c r="DF225" s="100"/>
      <c r="DG225" s="100"/>
      <c r="DH225" s="100"/>
      <c r="DI225" s="100"/>
      <c r="DJ225" s="100"/>
      <c r="DK225" s="100"/>
      <c r="DL225" s="100"/>
      <c r="DM225" s="100"/>
      <c r="DN225" s="100"/>
      <c r="DO225" s="100"/>
      <c r="DP225" s="100"/>
    </row>
    <row r="226" customFormat="false" ht="12.8" hidden="false" customHeight="false" outlineLevel="0" collapsed="false">
      <c r="A226" s="120"/>
      <c r="B226" s="120"/>
      <c r="C226" s="120"/>
      <c r="D226" s="120"/>
      <c r="E226" s="120"/>
      <c r="F226" s="120"/>
      <c r="G226" s="193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00"/>
      <c r="AA226" s="100"/>
      <c r="AB226" s="100"/>
      <c r="AC226" s="100"/>
      <c r="AD226" s="100"/>
      <c r="AE226" s="100"/>
      <c r="AF226" s="100"/>
      <c r="AG226" s="163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  <c r="AS226" s="100"/>
      <c r="AT226" s="100"/>
      <c r="AU226" s="100"/>
      <c r="AV226" s="100"/>
      <c r="AW226" s="100"/>
      <c r="AX226" s="100"/>
      <c r="AY226" s="100"/>
      <c r="AZ226" s="100"/>
      <c r="BA226" s="100"/>
      <c r="BB226" s="100"/>
      <c r="BC226" s="100"/>
      <c r="BD226" s="100"/>
      <c r="BE226" s="100"/>
      <c r="BF226" s="100"/>
      <c r="BG226" s="100"/>
      <c r="BH226" s="100"/>
      <c r="BI226" s="100"/>
      <c r="BJ226" s="100"/>
      <c r="BK226" s="100"/>
      <c r="BL226" s="100"/>
      <c r="BM226" s="100"/>
      <c r="BN226" s="100"/>
      <c r="BO226" s="100"/>
      <c r="BP226" s="100"/>
      <c r="BQ226" s="120"/>
      <c r="BR226" s="120"/>
      <c r="BS226" s="120"/>
      <c r="BT226" s="120"/>
      <c r="BU226" s="120"/>
      <c r="BV226" s="120"/>
      <c r="BW226" s="120"/>
      <c r="BX226" s="120"/>
      <c r="BY226" s="120"/>
      <c r="BZ226" s="120"/>
      <c r="CA226" s="120"/>
      <c r="CB226" s="120"/>
      <c r="CC226" s="120"/>
      <c r="CD226" s="120"/>
      <c r="CE226" s="120"/>
      <c r="CF226" s="100"/>
      <c r="CG226" s="100"/>
      <c r="CH226" s="100"/>
      <c r="CI226" s="100"/>
      <c r="CJ226" s="100"/>
      <c r="CK226" s="100"/>
      <c r="CL226" s="100"/>
      <c r="CM226" s="100"/>
      <c r="CN226" s="100"/>
      <c r="CO226" s="100"/>
      <c r="CP226" s="100"/>
      <c r="CQ226" s="100"/>
      <c r="CR226" s="100"/>
      <c r="CS226" s="100"/>
      <c r="CT226" s="100"/>
      <c r="CU226" s="100"/>
      <c r="CV226" s="100"/>
      <c r="CW226" s="100"/>
      <c r="CX226" s="100"/>
      <c r="CY226" s="100"/>
      <c r="CZ226" s="100"/>
      <c r="DA226" s="100"/>
      <c r="DB226" s="100"/>
      <c r="DC226" s="100"/>
      <c r="DD226" s="100"/>
      <c r="DE226" s="100"/>
      <c r="DF226" s="100"/>
      <c r="DG226" s="100"/>
      <c r="DH226" s="100"/>
      <c r="DI226" s="100"/>
      <c r="DJ226" s="100"/>
      <c r="DK226" s="100"/>
      <c r="DL226" s="100"/>
      <c r="DM226" s="100"/>
      <c r="DN226" s="100"/>
      <c r="DO226" s="100"/>
      <c r="DP226" s="100"/>
    </row>
    <row r="227" customFormat="false" ht="12.8" hidden="false" customHeight="false" outlineLevel="0" collapsed="false">
      <c r="A227" s="120"/>
      <c r="B227" s="120"/>
      <c r="C227" s="120"/>
      <c r="D227" s="120"/>
      <c r="E227" s="120"/>
      <c r="F227" s="120"/>
      <c r="G227" s="193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00"/>
      <c r="AA227" s="100"/>
      <c r="AB227" s="100"/>
      <c r="AC227" s="100"/>
      <c r="AD227" s="100"/>
      <c r="AE227" s="100"/>
      <c r="AF227" s="100"/>
      <c r="AG227" s="163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0"/>
      <c r="AS227" s="100"/>
      <c r="AT227" s="100"/>
      <c r="AU227" s="100"/>
      <c r="AV227" s="100"/>
      <c r="AW227" s="100"/>
      <c r="AX227" s="100"/>
      <c r="AY227" s="100"/>
      <c r="AZ227" s="100"/>
      <c r="BA227" s="100"/>
      <c r="BB227" s="100"/>
      <c r="BC227" s="100"/>
      <c r="BD227" s="100"/>
      <c r="BE227" s="100"/>
      <c r="BF227" s="100"/>
      <c r="BG227" s="100"/>
      <c r="BH227" s="100"/>
      <c r="BI227" s="100"/>
      <c r="BJ227" s="100"/>
      <c r="BK227" s="100"/>
      <c r="BL227" s="100"/>
      <c r="BM227" s="100"/>
      <c r="BN227" s="100"/>
      <c r="BO227" s="100"/>
      <c r="BP227" s="100"/>
      <c r="BQ227" s="120"/>
      <c r="BR227" s="120"/>
      <c r="BS227" s="120"/>
      <c r="BT227" s="120"/>
      <c r="BU227" s="120"/>
      <c r="BV227" s="120"/>
      <c r="BW227" s="120"/>
      <c r="BX227" s="120"/>
      <c r="BY227" s="120"/>
      <c r="BZ227" s="120"/>
      <c r="CA227" s="120"/>
      <c r="CB227" s="120"/>
      <c r="CC227" s="120"/>
      <c r="CD227" s="120"/>
      <c r="CE227" s="120"/>
      <c r="CF227" s="100"/>
      <c r="CG227" s="100"/>
      <c r="CH227" s="100"/>
      <c r="CI227" s="100"/>
      <c r="CJ227" s="100"/>
      <c r="CK227" s="100"/>
      <c r="CL227" s="100"/>
      <c r="CM227" s="100"/>
      <c r="CN227" s="100"/>
      <c r="CO227" s="100"/>
      <c r="CP227" s="100"/>
      <c r="CQ227" s="100"/>
      <c r="CR227" s="100"/>
      <c r="CS227" s="100"/>
      <c r="CT227" s="100"/>
      <c r="CU227" s="100"/>
      <c r="CV227" s="100"/>
      <c r="CW227" s="100"/>
      <c r="CX227" s="100"/>
      <c r="CY227" s="100"/>
      <c r="CZ227" s="100"/>
      <c r="DA227" s="100"/>
      <c r="DB227" s="100"/>
      <c r="DC227" s="100"/>
      <c r="DD227" s="100"/>
      <c r="DE227" s="100"/>
      <c r="DF227" s="100"/>
      <c r="DG227" s="100"/>
      <c r="DH227" s="100"/>
      <c r="DI227" s="100"/>
      <c r="DJ227" s="100"/>
      <c r="DK227" s="100"/>
      <c r="DL227" s="100"/>
      <c r="DM227" s="100"/>
      <c r="DN227" s="100"/>
      <c r="DO227" s="100"/>
      <c r="DP227" s="100"/>
    </row>
    <row r="228" customFormat="false" ht="12.8" hidden="false" customHeight="false" outlineLevel="0" collapsed="false">
      <c r="A228" s="120"/>
      <c r="B228" s="120"/>
      <c r="C228" s="120"/>
      <c r="D228" s="120"/>
      <c r="E228" s="120"/>
      <c r="F228" s="120"/>
      <c r="G228" s="193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00"/>
      <c r="AA228" s="100"/>
      <c r="AB228" s="100"/>
      <c r="AC228" s="100"/>
      <c r="AD228" s="100"/>
      <c r="AE228" s="100"/>
      <c r="AF228" s="100"/>
      <c r="AG228" s="163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0"/>
      <c r="BK228" s="100"/>
      <c r="BL228" s="100"/>
      <c r="BM228" s="100"/>
      <c r="BN228" s="100"/>
      <c r="BO228" s="100"/>
      <c r="BP228" s="100"/>
      <c r="BQ228" s="120"/>
      <c r="BR228" s="120"/>
      <c r="BS228" s="120"/>
      <c r="BT228" s="120"/>
      <c r="BU228" s="120"/>
      <c r="BV228" s="120"/>
      <c r="BW228" s="120"/>
      <c r="BX228" s="120"/>
      <c r="BY228" s="120"/>
      <c r="BZ228" s="120"/>
      <c r="CA228" s="120"/>
      <c r="CB228" s="120"/>
      <c r="CC228" s="120"/>
      <c r="CD228" s="120"/>
      <c r="CE228" s="120"/>
      <c r="CF228" s="100"/>
      <c r="CG228" s="100"/>
      <c r="CH228" s="100"/>
      <c r="CI228" s="100"/>
      <c r="CJ228" s="100"/>
      <c r="CK228" s="100"/>
      <c r="CL228" s="100"/>
      <c r="CM228" s="100"/>
      <c r="CN228" s="100"/>
      <c r="CO228" s="100"/>
      <c r="CP228" s="100"/>
      <c r="CQ228" s="100"/>
      <c r="CR228" s="100"/>
      <c r="CS228" s="100"/>
      <c r="CT228" s="100"/>
      <c r="CU228" s="100"/>
      <c r="CV228" s="100"/>
      <c r="CW228" s="100"/>
      <c r="CX228" s="100"/>
      <c r="CY228" s="100"/>
      <c r="CZ228" s="100"/>
      <c r="DA228" s="100"/>
      <c r="DB228" s="100"/>
      <c r="DC228" s="100"/>
      <c r="DD228" s="100"/>
      <c r="DE228" s="100"/>
      <c r="DF228" s="100"/>
      <c r="DG228" s="100"/>
      <c r="DH228" s="100"/>
      <c r="DI228" s="100"/>
      <c r="DJ228" s="100"/>
      <c r="DK228" s="100"/>
      <c r="DL228" s="100"/>
      <c r="DM228" s="100"/>
      <c r="DN228" s="100"/>
      <c r="DO228" s="100"/>
      <c r="DP228" s="100"/>
    </row>
    <row r="229" customFormat="false" ht="12.8" hidden="false" customHeight="false" outlineLevel="0" collapsed="false">
      <c r="A229" s="120"/>
      <c r="B229" s="120"/>
      <c r="C229" s="120"/>
      <c r="D229" s="120"/>
      <c r="E229" s="120"/>
      <c r="F229" s="120"/>
      <c r="G229" s="193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00"/>
      <c r="AA229" s="100"/>
      <c r="AB229" s="100"/>
      <c r="AC229" s="100"/>
      <c r="AD229" s="100"/>
      <c r="AE229" s="100"/>
      <c r="AF229" s="100"/>
      <c r="AG229" s="163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0"/>
      <c r="AS229" s="100"/>
      <c r="AT229" s="100"/>
      <c r="AU229" s="100"/>
      <c r="AV229" s="100"/>
      <c r="AW229" s="100"/>
      <c r="AX229" s="100"/>
      <c r="AY229" s="100"/>
      <c r="AZ229" s="100"/>
      <c r="BA229" s="100"/>
      <c r="BB229" s="100"/>
      <c r="BC229" s="100"/>
      <c r="BD229" s="100"/>
      <c r="BE229" s="100"/>
      <c r="BF229" s="100"/>
      <c r="BG229" s="100"/>
      <c r="BH229" s="100"/>
      <c r="BI229" s="100"/>
      <c r="BJ229" s="100"/>
      <c r="BK229" s="100"/>
      <c r="BL229" s="100"/>
      <c r="BM229" s="100"/>
      <c r="BN229" s="100"/>
      <c r="BO229" s="100"/>
      <c r="BP229" s="100"/>
      <c r="BQ229" s="120"/>
      <c r="BR229" s="120"/>
      <c r="BS229" s="120"/>
      <c r="BT229" s="120"/>
      <c r="BU229" s="120"/>
      <c r="BV229" s="120"/>
      <c r="BW229" s="120"/>
      <c r="BX229" s="120"/>
      <c r="BY229" s="120"/>
      <c r="BZ229" s="120"/>
      <c r="CA229" s="120"/>
      <c r="CB229" s="120"/>
      <c r="CC229" s="120"/>
      <c r="CD229" s="120"/>
      <c r="CE229" s="120"/>
      <c r="CF229" s="100"/>
      <c r="CG229" s="100"/>
      <c r="CH229" s="100"/>
      <c r="CI229" s="100"/>
      <c r="CJ229" s="100"/>
      <c r="CK229" s="100"/>
      <c r="CL229" s="100"/>
      <c r="CM229" s="100"/>
      <c r="CN229" s="100"/>
      <c r="CO229" s="100"/>
      <c r="CP229" s="100"/>
      <c r="CQ229" s="100"/>
      <c r="CR229" s="100"/>
      <c r="CS229" s="100"/>
      <c r="CT229" s="100"/>
      <c r="CU229" s="100"/>
      <c r="CV229" s="100"/>
      <c r="CW229" s="100"/>
      <c r="CX229" s="100"/>
      <c r="CY229" s="100"/>
      <c r="CZ229" s="100"/>
      <c r="DA229" s="100"/>
      <c r="DB229" s="100"/>
      <c r="DC229" s="100"/>
      <c r="DD229" s="100"/>
      <c r="DE229" s="100"/>
      <c r="DF229" s="100"/>
      <c r="DG229" s="100"/>
      <c r="DH229" s="100"/>
      <c r="DI229" s="100"/>
      <c r="DJ229" s="100"/>
      <c r="DK229" s="100"/>
      <c r="DL229" s="100"/>
      <c r="DM229" s="100"/>
      <c r="DN229" s="100"/>
      <c r="DO229" s="100"/>
      <c r="DP229" s="100"/>
    </row>
    <row r="230" customFormat="false" ht="12.8" hidden="false" customHeight="false" outlineLevel="0" collapsed="false">
      <c r="A230" s="120"/>
      <c r="B230" s="120"/>
      <c r="C230" s="120"/>
      <c r="D230" s="120"/>
      <c r="E230" s="120"/>
      <c r="F230" s="120"/>
      <c r="G230" s="193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00"/>
      <c r="AA230" s="100"/>
      <c r="AB230" s="100"/>
      <c r="AC230" s="100"/>
      <c r="AD230" s="100"/>
      <c r="AE230" s="100"/>
      <c r="AF230" s="100"/>
      <c r="AG230" s="163"/>
      <c r="AH230" s="100"/>
      <c r="AI230" s="100"/>
      <c r="AJ230" s="100"/>
      <c r="AK230" s="100"/>
      <c r="AL230" s="100"/>
      <c r="AM230" s="100"/>
      <c r="AN230" s="100"/>
      <c r="AO230" s="100"/>
      <c r="AP230" s="100"/>
      <c r="AQ230" s="100"/>
      <c r="AR230" s="100"/>
      <c r="AS230" s="100"/>
      <c r="AT230" s="100"/>
      <c r="AU230" s="100"/>
      <c r="AV230" s="100"/>
      <c r="AW230" s="100"/>
      <c r="AX230" s="100"/>
      <c r="AY230" s="100"/>
      <c r="AZ230" s="100"/>
      <c r="BA230" s="100"/>
      <c r="BB230" s="100"/>
      <c r="BC230" s="100"/>
      <c r="BD230" s="100"/>
      <c r="BE230" s="100"/>
      <c r="BF230" s="100"/>
      <c r="BG230" s="100"/>
      <c r="BH230" s="100"/>
      <c r="BI230" s="100"/>
      <c r="BJ230" s="100"/>
      <c r="BK230" s="100"/>
      <c r="BL230" s="100"/>
      <c r="BM230" s="100"/>
      <c r="BN230" s="100"/>
      <c r="BO230" s="100"/>
      <c r="BP230" s="100"/>
      <c r="BQ230" s="120"/>
      <c r="BR230" s="120"/>
      <c r="BS230" s="120"/>
      <c r="BT230" s="120"/>
      <c r="BU230" s="120"/>
      <c r="BV230" s="120"/>
      <c r="BW230" s="120"/>
      <c r="BX230" s="120"/>
      <c r="BY230" s="120"/>
      <c r="BZ230" s="120"/>
      <c r="CA230" s="120"/>
      <c r="CB230" s="120"/>
      <c r="CC230" s="120"/>
      <c r="CD230" s="120"/>
      <c r="CE230" s="120"/>
      <c r="CF230" s="100"/>
      <c r="CG230" s="100"/>
      <c r="CH230" s="100"/>
      <c r="CI230" s="100"/>
      <c r="CJ230" s="100"/>
      <c r="CK230" s="100"/>
      <c r="CL230" s="100"/>
      <c r="CM230" s="100"/>
      <c r="CN230" s="100"/>
      <c r="CO230" s="100"/>
      <c r="CP230" s="100"/>
      <c r="CQ230" s="100"/>
      <c r="CR230" s="100"/>
      <c r="CS230" s="100"/>
      <c r="CT230" s="100"/>
      <c r="CU230" s="100"/>
      <c r="CV230" s="100"/>
      <c r="CW230" s="100"/>
      <c r="CX230" s="100"/>
      <c r="CY230" s="100"/>
      <c r="CZ230" s="100"/>
      <c r="DA230" s="100"/>
      <c r="DB230" s="100"/>
      <c r="DC230" s="100"/>
      <c r="DD230" s="100"/>
      <c r="DE230" s="100"/>
      <c r="DF230" s="100"/>
      <c r="DG230" s="100"/>
      <c r="DH230" s="100"/>
      <c r="DI230" s="100"/>
      <c r="DJ230" s="100"/>
      <c r="DK230" s="100"/>
      <c r="DL230" s="100"/>
      <c r="DM230" s="100"/>
      <c r="DN230" s="100"/>
      <c r="DO230" s="100"/>
      <c r="DP230" s="100"/>
    </row>
    <row r="231" customFormat="false" ht="12.8" hidden="false" customHeight="false" outlineLevel="0" collapsed="false">
      <c r="A231" s="120"/>
      <c r="B231" s="120"/>
      <c r="C231" s="120"/>
      <c r="D231" s="120"/>
      <c r="E231" s="120"/>
      <c r="F231" s="120"/>
      <c r="G231" s="193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00"/>
      <c r="AA231" s="100"/>
      <c r="AB231" s="100"/>
      <c r="AC231" s="100"/>
      <c r="AD231" s="100"/>
      <c r="AE231" s="100"/>
      <c r="AF231" s="100"/>
      <c r="AG231" s="163"/>
      <c r="AH231" s="100"/>
      <c r="AI231" s="100"/>
      <c r="AJ231" s="100"/>
      <c r="AK231" s="100"/>
      <c r="AL231" s="100"/>
      <c r="AM231" s="100"/>
      <c r="AN231" s="100"/>
      <c r="AO231" s="100"/>
      <c r="AP231" s="100"/>
      <c r="AQ231" s="100"/>
      <c r="AR231" s="100"/>
      <c r="AS231" s="100"/>
      <c r="AT231" s="100"/>
      <c r="AU231" s="100"/>
      <c r="AV231" s="100"/>
      <c r="AW231" s="100"/>
      <c r="AX231" s="100"/>
      <c r="AY231" s="100"/>
      <c r="AZ231" s="100"/>
      <c r="BA231" s="100"/>
      <c r="BB231" s="100"/>
      <c r="BC231" s="100"/>
      <c r="BD231" s="100"/>
      <c r="BE231" s="100"/>
      <c r="BF231" s="100"/>
      <c r="BG231" s="100"/>
      <c r="BH231" s="100"/>
      <c r="BI231" s="100"/>
      <c r="BJ231" s="100"/>
      <c r="BK231" s="100"/>
      <c r="BL231" s="100"/>
      <c r="BM231" s="100"/>
      <c r="BN231" s="100"/>
      <c r="BO231" s="100"/>
      <c r="BP231" s="100"/>
      <c r="BQ231" s="120"/>
      <c r="BR231" s="120"/>
      <c r="BS231" s="120"/>
      <c r="BT231" s="120"/>
      <c r="BU231" s="120"/>
      <c r="BV231" s="120"/>
      <c r="BW231" s="120"/>
      <c r="BX231" s="120"/>
      <c r="BY231" s="120"/>
      <c r="BZ231" s="120"/>
      <c r="CA231" s="120"/>
      <c r="CB231" s="120"/>
      <c r="CC231" s="120"/>
      <c r="CD231" s="120"/>
      <c r="CE231" s="120"/>
      <c r="CF231" s="100"/>
      <c r="CG231" s="100"/>
      <c r="CH231" s="100"/>
      <c r="CI231" s="100"/>
      <c r="CJ231" s="100"/>
      <c r="CK231" s="100"/>
      <c r="CL231" s="100"/>
      <c r="CM231" s="100"/>
      <c r="CN231" s="100"/>
      <c r="CO231" s="100"/>
      <c r="CP231" s="100"/>
      <c r="CQ231" s="100"/>
      <c r="CR231" s="100"/>
      <c r="CS231" s="100"/>
      <c r="CT231" s="100"/>
      <c r="CU231" s="100"/>
      <c r="CV231" s="100"/>
      <c r="CW231" s="100"/>
      <c r="CX231" s="100"/>
      <c r="CY231" s="100"/>
      <c r="CZ231" s="100"/>
      <c r="DA231" s="100"/>
      <c r="DB231" s="100"/>
      <c r="DC231" s="100"/>
      <c r="DD231" s="100"/>
      <c r="DE231" s="100"/>
      <c r="DF231" s="100"/>
      <c r="DG231" s="100"/>
      <c r="DH231" s="100"/>
      <c r="DI231" s="100"/>
      <c r="DJ231" s="100"/>
      <c r="DK231" s="100"/>
      <c r="DL231" s="100"/>
      <c r="DM231" s="100"/>
      <c r="DN231" s="100"/>
      <c r="DO231" s="100"/>
      <c r="DP231" s="100"/>
    </row>
  </sheetData>
  <mergeCells count="48">
    <mergeCell ref="AH1:AN1"/>
    <mergeCell ref="BJ1:BP1"/>
    <mergeCell ref="BQ1:BW1"/>
    <mergeCell ref="CA1:CG1"/>
    <mergeCell ref="CO1:CU1"/>
    <mergeCell ref="Z2:AG2"/>
    <mergeCell ref="AH2:AN2"/>
    <mergeCell ref="AO2:AU2"/>
    <mergeCell ref="AV2:BB2"/>
    <mergeCell ref="BC2:BI2"/>
    <mergeCell ref="BJ2:BP2"/>
    <mergeCell ref="BQ2:BW2"/>
    <mergeCell ref="BX2:BZ2"/>
    <mergeCell ref="CA2:CG2"/>
    <mergeCell ref="CH2:CN2"/>
    <mergeCell ref="CO2:CU2"/>
    <mergeCell ref="CV2:DB2"/>
    <mergeCell ref="DC2:DI2"/>
    <mergeCell ref="DJ2:DP2"/>
    <mergeCell ref="N3:R3"/>
    <mergeCell ref="S3:U3"/>
    <mergeCell ref="W3:Y3"/>
    <mergeCell ref="AD3:AF3"/>
    <mergeCell ref="AH3:AI3"/>
    <mergeCell ref="AJ3:AN3"/>
    <mergeCell ref="AO3:AP3"/>
    <mergeCell ref="AQ3:AU3"/>
    <mergeCell ref="AV3:AW3"/>
    <mergeCell ref="AX3:BB3"/>
    <mergeCell ref="BC3:BD3"/>
    <mergeCell ref="BE3:BI3"/>
    <mergeCell ref="BJ3:BK3"/>
    <mergeCell ref="BL3:BP3"/>
    <mergeCell ref="BQ3:BR3"/>
    <mergeCell ref="BS3:BW3"/>
    <mergeCell ref="BX3:BY3"/>
    <mergeCell ref="CA3:CB3"/>
    <mergeCell ref="CC3:CG3"/>
    <mergeCell ref="CH3:CI3"/>
    <mergeCell ref="CJ3:CN3"/>
    <mergeCell ref="CO3:CP3"/>
    <mergeCell ref="CQ3:CU3"/>
    <mergeCell ref="CV3:CW3"/>
    <mergeCell ref="CX3:DB3"/>
    <mergeCell ref="DC3:DD3"/>
    <mergeCell ref="DE3:DI3"/>
    <mergeCell ref="DJ3:DK3"/>
    <mergeCell ref="DL3:DP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Y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10.73046875" defaultRowHeight="12.8" zeroHeight="false" outlineLevelRow="0" outlineLevelCol="0"/>
  <cols>
    <col collapsed="false" customWidth="true" hidden="false" outlineLevel="0" max="1" min="1" style="0" width="11.34"/>
    <col collapsed="false" customWidth="true" hidden="false" outlineLevel="0" max="2" min="2" style="0" width="13.86"/>
    <col collapsed="false" customWidth="true" hidden="false" outlineLevel="0" max="3" min="3" style="0" width="21.43"/>
    <col collapsed="false" customWidth="true" hidden="false" outlineLevel="0" max="4" min="4" style="0" width="18.9"/>
    <col collapsed="false" customWidth="true" hidden="false" outlineLevel="0" max="5" min="5" style="0" width="12.6"/>
    <col collapsed="false" customWidth="true" hidden="false" outlineLevel="0" max="6" min="6" style="0" width="15.12"/>
    <col collapsed="false" customWidth="true" hidden="false" outlineLevel="0" max="7" min="7" style="0" width="16.38"/>
    <col collapsed="false" customWidth="true" hidden="false" outlineLevel="0" max="8" min="8" style="0" width="12.6"/>
    <col collapsed="false" customWidth="true" hidden="false" outlineLevel="0" max="9" min="9" style="0" width="17.64"/>
    <col collapsed="false" customWidth="true" hidden="false" outlineLevel="0" max="12" min="10" style="0" width="12.6"/>
    <col collapsed="false" customWidth="true" hidden="false" outlineLevel="0" max="13" min="13" style="0" width="11.34"/>
    <col collapsed="false" customWidth="true" hidden="false" outlineLevel="0" max="14" min="14" style="0" width="16.38"/>
    <col collapsed="false" customWidth="true" hidden="false" outlineLevel="0" max="16" min="15" style="0" width="10.08"/>
    <col collapsed="false" customWidth="true" hidden="false" outlineLevel="0" max="17" min="17" style="0" width="12.6"/>
    <col collapsed="false" customWidth="true" hidden="false" outlineLevel="0" max="18" min="18" style="0" width="28.98"/>
    <col collapsed="false" customWidth="true" hidden="false" outlineLevel="0" max="19" min="19" style="0" width="11.34"/>
    <col collapsed="false" customWidth="true" hidden="false" outlineLevel="0" max="20" min="20" style="0" width="12.6"/>
    <col collapsed="false" customWidth="true" hidden="false" outlineLevel="0" max="21" min="21" style="0" width="21.43"/>
    <col collapsed="false" customWidth="true" hidden="false" outlineLevel="0" max="24" min="22" style="0" width="10.08"/>
    <col collapsed="false" customWidth="true" hidden="false" outlineLevel="0" max="25" min="25" style="0" width="37.81"/>
    <col collapsed="false" customWidth="true" hidden="false" outlineLevel="0" max="26" min="26" style="0" width="16.38"/>
    <col collapsed="false" customWidth="true" hidden="false" outlineLevel="0" max="27" min="27" style="0" width="12.6"/>
    <col collapsed="false" customWidth="true" hidden="false" outlineLevel="0" max="28" min="28" style="0" width="32.77"/>
    <col collapsed="false" customWidth="true" hidden="false" outlineLevel="0" max="29" min="29" style="0" width="15.12"/>
    <col collapsed="false" customWidth="true" hidden="false" outlineLevel="0" max="30" min="30" style="0" width="10.08"/>
    <col collapsed="false" customWidth="true" hidden="false" outlineLevel="0" max="35" min="31" style="0" width="8.82"/>
    <col collapsed="false" customWidth="true" hidden="false" outlineLevel="0" max="36" min="36" style="0" width="15.12"/>
    <col collapsed="false" customWidth="true" hidden="false" outlineLevel="0" max="40" min="37" style="0" width="10.08"/>
    <col collapsed="false" customWidth="true" hidden="false" outlineLevel="0" max="42" min="41" style="0" width="11.34"/>
    <col collapsed="false" customWidth="true" hidden="false" outlineLevel="0" max="43" min="43" style="0" width="15.12"/>
    <col collapsed="false" customWidth="true" hidden="false" outlineLevel="0" max="45" min="44" style="0" width="10.08"/>
    <col collapsed="false" customWidth="true" hidden="false" outlineLevel="0" max="49" min="46" style="0" width="11.34"/>
    <col collapsed="false" customWidth="true" hidden="false" outlineLevel="0" max="50" min="50" style="0" width="15.12"/>
    <col collapsed="false" customWidth="true" hidden="false" outlineLevel="0" max="52" min="51" style="0" width="10.08"/>
    <col collapsed="false" customWidth="true" hidden="false" outlineLevel="0" max="56" min="53" style="0" width="11.34"/>
    <col collapsed="false" customWidth="true" hidden="false" outlineLevel="0" max="57" min="57" style="0" width="15.12"/>
    <col collapsed="false" customWidth="true" hidden="false" outlineLevel="0" max="60" min="58" style="0" width="10.08"/>
    <col collapsed="false" customWidth="true" hidden="false" outlineLevel="0" max="63" min="61" style="0" width="11.34"/>
    <col collapsed="false" customWidth="true" hidden="false" outlineLevel="0" max="64" min="64" style="0" width="15.12"/>
    <col collapsed="false" customWidth="true" hidden="false" outlineLevel="0" max="65" min="65" style="0" width="10.08"/>
    <col collapsed="false" customWidth="true" hidden="false" outlineLevel="0" max="67" min="66" style="0" width="12.6"/>
    <col collapsed="false" customWidth="true" hidden="false" outlineLevel="0" max="68" min="68" style="0" width="13.86"/>
    <col collapsed="false" customWidth="true" hidden="false" outlineLevel="0" max="70" min="69" style="0" width="11.34"/>
    <col collapsed="false" customWidth="true" hidden="false" outlineLevel="0" max="71" min="71" style="0" width="15.12"/>
    <col collapsed="false" customWidth="true" hidden="false" outlineLevel="0" max="75" min="72" style="0" width="10.08"/>
    <col collapsed="false" customWidth="true" hidden="false" outlineLevel="0" max="77" min="76" style="0" width="11.34"/>
  </cols>
  <sheetData>
    <row r="1" customFormat="false" ht="12.8" hidden="false" customHeight="false" outlineLevel="0" collapsed="false">
      <c r="A1" s="120"/>
      <c r="B1" s="120"/>
      <c r="C1" s="120"/>
      <c r="D1" s="120"/>
      <c r="E1" s="120"/>
      <c r="F1" s="120"/>
      <c r="G1" s="143"/>
      <c r="H1" s="143"/>
      <c r="I1" s="143"/>
      <c r="J1" s="143"/>
      <c r="K1" s="143"/>
      <c r="L1" s="4"/>
      <c r="M1" s="4"/>
      <c r="N1" s="4"/>
      <c r="O1" s="4"/>
      <c r="P1" s="143"/>
      <c r="Q1" s="143"/>
      <c r="R1" s="14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144"/>
      <c r="AR1" s="144"/>
      <c r="AS1" s="144"/>
      <c r="AT1" s="144"/>
      <c r="AU1" s="144"/>
      <c r="AV1" s="144"/>
      <c r="AW1" s="4"/>
      <c r="AX1" s="144"/>
      <c r="AY1" s="4"/>
      <c r="AZ1" s="4"/>
      <c r="BA1" s="4"/>
      <c r="BB1" s="4"/>
      <c r="BC1" s="4"/>
      <c r="BD1" s="4"/>
      <c r="BE1" s="144"/>
      <c r="BF1" s="6"/>
      <c r="BG1" s="6"/>
      <c r="BH1" s="6"/>
      <c r="BI1" s="6"/>
      <c r="BJ1" s="6"/>
      <c r="BK1" s="6"/>
      <c r="BL1" s="14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</row>
    <row r="2" customFormat="false" ht="12.8" hidden="false" customHeight="false" outlineLevel="0" collapsed="false">
      <c r="A2" s="120"/>
      <c r="B2" s="120"/>
      <c r="C2" s="120"/>
      <c r="D2" s="120"/>
      <c r="E2" s="120"/>
      <c r="F2" s="120"/>
      <c r="G2" s="143"/>
      <c r="H2" s="143"/>
      <c r="I2" s="143"/>
      <c r="J2" s="143"/>
      <c r="K2" s="143"/>
      <c r="L2" s="10" t="s">
        <v>0</v>
      </c>
      <c r="M2" s="10"/>
      <c r="N2" s="10"/>
      <c r="O2" s="10"/>
      <c r="P2" s="10"/>
      <c r="Q2" s="10"/>
      <c r="R2" s="10"/>
      <c r="S2" s="10" t="s">
        <v>346</v>
      </c>
      <c r="T2" s="10"/>
      <c r="U2" s="10"/>
      <c r="V2" s="10"/>
      <c r="W2" s="10"/>
      <c r="X2" s="10"/>
      <c r="Y2" s="10"/>
      <c r="Z2" s="4"/>
      <c r="AA2" s="4"/>
      <c r="AB2" s="4"/>
      <c r="AC2" s="10" t="s">
        <v>1127</v>
      </c>
      <c r="AD2" s="10"/>
      <c r="AE2" s="10"/>
      <c r="AF2" s="10"/>
      <c r="AG2" s="10"/>
      <c r="AH2" s="10"/>
      <c r="AI2" s="10"/>
      <c r="AJ2" s="11" t="s">
        <v>527</v>
      </c>
      <c r="AK2" s="11"/>
      <c r="AL2" s="11"/>
      <c r="AM2" s="11"/>
      <c r="AN2" s="11"/>
      <c r="AO2" s="11"/>
      <c r="AP2" s="11"/>
      <c r="AQ2" s="145" t="s">
        <v>349</v>
      </c>
      <c r="AR2" s="145"/>
      <c r="AS2" s="145"/>
      <c r="AT2" s="145"/>
      <c r="AU2" s="145"/>
      <c r="AV2" s="145"/>
      <c r="AW2" s="145"/>
      <c r="AX2" s="211" t="s">
        <v>1056</v>
      </c>
      <c r="AY2" s="211"/>
      <c r="AZ2" s="211"/>
      <c r="BA2" s="211"/>
      <c r="BB2" s="211"/>
      <c r="BC2" s="211"/>
      <c r="BD2" s="211"/>
      <c r="BE2" s="145" t="s">
        <v>1128</v>
      </c>
      <c r="BF2" s="145"/>
      <c r="BG2" s="145"/>
      <c r="BH2" s="145"/>
      <c r="BI2" s="145"/>
      <c r="BJ2" s="145"/>
      <c r="BK2" s="145"/>
      <c r="BL2" s="106" t="s">
        <v>428</v>
      </c>
      <c r="BM2" s="106"/>
      <c r="BN2" s="106"/>
      <c r="BO2" s="106"/>
      <c r="BP2" s="106"/>
      <c r="BQ2" s="106"/>
      <c r="BR2" s="106"/>
      <c r="BS2" s="10" t="s">
        <v>431</v>
      </c>
      <c r="BT2" s="10"/>
      <c r="BU2" s="10"/>
      <c r="BV2" s="10"/>
      <c r="BW2" s="10"/>
      <c r="BX2" s="10"/>
      <c r="BY2" s="10"/>
    </row>
    <row r="3" customFormat="false" ht="12.8" hidden="false" customHeight="false" outlineLevel="0" collapsed="false">
      <c r="A3" s="120"/>
      <c r="B3" s="120"/>
      <c r="C3" s="120"/>
      <c r="D3" s="120"/>
      <c r="E3" s="120"/>
      <c r="F3" s="120"/>
      <c r="G3" s="143"/>
      <c r="H3" s="143"/>
      <c r="I3" s="143"/>
      <c r="J3" s="143"/>
      <c r="K3" s="143"/>
      <c r="L3" s="52"/>
      <c r="M3" s="10" t="s">
        <v>7</v>
      </c>
      <c r="N3" s="10" t="s">
        <v>8</v>
      </c>
      <c r="O3" s="10" t="s">
        <v>9</v>
      </c>
      <c r="P3" s="10"/>
      <c r="Q3" s="10"/>
      <c r="R3" s="10" t="s">
        <v>6</v>
      </c>
      <c r="S3" s="52"/>
      <c r="T3" s="52"/>
      <c r="U3" s="52"/>
      <c r="V3" s="10" t="s">
        <v>353</v>
      </c>
      <c r="W3" s="10"/>
      <c r="X3" s="10"/>
      <c r="Y3" s="159"/>
      <c r="Z3" s="145" t="s">
        <v>354</v>
      </c>
      <c r="AA3" s="145"/>
      <c r="AB3" s="145"/>
      <c r="AC3" s="212" t="s">
        <v>355</v>
      </c>
      <c r="AD3" s="212"/>
      <c r="AE3" s="124" t="s">
        <v>356</v>
      </c>
      <c r="AF3" s="124"/>
      <c r="AG3" s="124"/>
      <c r="AH3" s="124"/>
      <c r="AI3" s="124"/>
      <c r="AJ3" s="10" t="s">
        <v>355</v>
      </c>
      <c r="AK3" s="10"/>
      <c r="AL3" s="10" t="s">
        <v>356</v>
      </c>
      <c r="AM3" s="10"/>
      <c r="AN3" s="10"/>
      <c r="AO3" s="10"/>
      <c r="AP3" s="10"/>
      <c r="AQ3" s="145" t="s">
        <v>355</v>
      </c>
      <c r="AR3" s="145"/>
      <c r="AS3" s="145" t="s">
        <v>356</v>
      </c>
      <c r="AT3" s="145"/>
      <c r="AU3" s="145"/>
      <c r="AV3" s="145"/>
      <c r="AW3" s="145"/>
      <c r="AX3" s="145" t="s">
        <v>355</v>
      </c>
      <c r="AY3" s="145"/>
      <c r="AZ3" s="213" t="s">
        <v>356</v>
      </c>
      <c r="BA3" s="213"/>
      <c r="BB3" s="213"/>
      <c r="BC3" s="213"/>
      <c r="BD3" s="213"/>
      <c r="BE3" s="145" t="s">
        <v>355</v>
      </c>
      <c r="BF3" s="145"/>
      <c r="BG3" s="145" t="s">
        <v>356</v>
      </c>
      <c r="BH3" s="145"/>
      <c r="BI3" s="145"/>
      <c r="BJ3" s="145"/>
      <c r="BK3" s="145"/>
      <c r="BL3" s="106" t="s">
        <v>355</v>
      </c>
      <c r="BM3" s="106"/>
      <c r="BN3" s="198" t="s">
        <v>356</v>
      </c>
      <c r="BO3" s="198"/>
      <c r="BP3" s="198"/>
      <c r="BQ3" s="198"/>
      <c r="BR3" s="198"/>
      <c r="BS3" s="10" t="s">
        <v>355</v>
      </c>
      <c r="BT3" s="10"/>
      <c r="BU3" s="10" t="s">
        <v>356</v>
      </c>
      <c r="BV3" s="10"/>
      <c r="BW3" s="10"/>
      <c r="BX3" s="10"/>
      <c r="BY3" s="10"/>
    </row>
    <row r="4" customFormat="false" ht="12.8" hidden="false" customHeight="false" outlineLevel="0" collapsed="false">
      <c r="A4" s="16" t="s">
        <v>12</v>
      </c>
      <c r="B4" s="16" t="s">
        <v>13</v>
      </c>
      <c r="C4" s="16" t="s">
        <v>14</v>
      </c>
      <c r="D4" s="16" t="s">
        <v>15</v>
      </c>
      <c r="E4" s="16" t="s">
        <v>16</v>
      </c>
      <c r="F4" s="16" t="s">
        <v>17</v>
      </c>
      <c r="G4" s="148" t="s">
        <v>357</v>
      </c>
      <c r="H4" s="148" t="s">
        <v>540</v>
      </c>
      <c r="I4" s="21" t="s">
        <v>358</v>
      </c>
      <c r="J4" s="21" t="s">
        <v>359</v>
      </c>
      <c r="K4" s="199" t="s">
        <v>360</v>
      </c>
      <c r="L4" s="21" t="s">
        <v>43</v>
      </c>
      <c r="M4" s="21" t="s">
        <v>45</v>
      </c>
      <c r="N4" s="21" t="s">
        <v>47</v>
      </c>
      <c r="O4" s="21" t="s">
        <v>48</v>
      </c>
      <c r="P4" s="21" t="s">
        <v>50</v>
      </c>
      <c r="Q4" s="21" t="s">
        <v>51</v>
      </c>
      <c r="R4" s="21" t="s">
        <v>42</v>
      </c>
      <c r="S4" s="148" t="s">
        <v>15</v>
      </c>
      <c r="T4" s="148" t="s">
        <v>361</v>
      </c>
      <c r="U4" s="148" t="s">
        <v>362</v>
      </c>
      <c r="V4" s="148" t="s">
        <v>364</v>
      </c>
      <c r="W4" s="148" t="s">
        <v>365</v>
      </c>
      <c r="X4" s="148" t="s">
        <v>366</v>
      </c>
      <c r="Y4" s="199" t="s">
        <v>367</v>
      </c>
      <c r="Z4" s="126" t="s">
        <v>15</v>
      </c>
      <c r="AA4" s="105" t="s">
        <v>361</v>
      </c>
      <c r="AB4" s="145" t="s">
        <v>368</v>
      </c>
      <c r="AC4" s="214" t="s">
        <v>369</v>
      </c>
      <c r="AD4" s="148" t="s">
        <v>370</v>
      </c>
      <c r="AE4" s="150" t="s">
        <v>371</v>
      </c>
      <c r="AF4" s="150" t="s">
        <v>372</v>
      </c>
      <c r="AG4" s="150" t="s">
        <v>373</v>
      </c>
      <c r="AH4" s="150" t="s">
        <v>374</v>
      </c>
      <c r="AI4" s="150" t="s">
        <v>439</v>
      </c>
      <c r="AJ4" s="148" t="s">
        <v>369</v>
      </c>
      <c r="AK4" s="148" t="s">
        <v>370</v>
      </c>
      <c r="AL4" s="150" t="s">
        <v>371</v>
      </c>
      <c r="AM4" s="150" t="s">
        <v>372</v>
      </c>
      <c r="AN4" s="150" t="s">
        <v>373</v>
      </c>
      <c r="AO4" s="150" t="s">
        <v>374</v>
      </c>
      <c r="AP4" s="150" t="s">
        <v>439</v>
      </c>
      <c r="AQ4" s="105" t="s">
        <v>369</v>
      </c>
      <c r="AR4" s="105" t="s">
        <v>370</v>
      </c>
      <c r="AS4" s="39" t="s">
        <v>371</v>
      </c>
      <c r="AT4" s="39" t="s">
        <v>372</v>
      </c>
      <c r="AU4" s="39" t="s">
        <v>373</v>
      </c>
      <c r="AV4" s="39" t="s">
        <v>374</v>
      </c>
      <c r="AW4" s="39" t="s">
        <v>439</v>
      </c>
      <c r="AX4" s="105" t="s">
        <v>369</v>
      </c>
      <c r="AY4" s="108" t="s">
        <v>370</v>
      </c>
      <c r="AZ4" s="39" t="s">
        <v>371</v>
      </c>
      <c r="BA4" s="39" t="s">
        <v>372</v>
      </c>
      <c r="BB4" s="39" t="s">
        <v>373</v>
      </c>
      <c r="BC4" s="39" t="s">
        <v>374</v>
      </c>
      <c r="BD4" s="215" t="s">
        <v>439</v>
      </c>
      <c r="BE4" s="105" t="s">
        <v>369</v>
      </c>
      <c r="BF4" s="105" t="s">
        <v>370</v>
      </c>
      <c r="BG4" s="39" t="s">
        <v>371</v>
      </c>
      <c r="BH4" s="39" t="s">
        <v>372</v>
      </c>
      <c r="BI4" s="39" t="s">
        <v>373</v>
      </c>
      <c r="BJ4" s="39" t="s">
        <v>374</v>
      </c>
      <c r="BK4" s="39" t="s">
        <v>439</v>
      </c>
      <c r="BL4" s="216" t="s">
        <v>369</v>
      </c>
      <c r="BM4" s="108" t="s">
        <v>370</v>
      </c>
      <c r="BN4" s="39" t="s">
        <v>371</v>
      </c>
      <c r="BO4" s="39" t="s">
        <v>372</v>
      </c>
      <c r="BP4" s="39" t="s">
        <v>373</v>
      </c>
      <c r="BQ4" s="39" t="s">
        <v>374</v>
      </c>
      <c r="BR4" s="39" t="s">
        <v>439</v>
      </c>
      <c r="BS4" s="105" t="s">
        <v>369</v>
      </c>
      <c r="BT4" s="148" t="s">
        <v>370</v>
      </c>
      <c r="BU4" s="150" t="s">
        <v>371</v>
      </c>
      <c r="BV4" s="150" t="s">
        <v>372</v>
      </c>
      <c r="BW4" s="150" t="s">
        <v>373</v>
      </c>
      <c r="BX4" s="150" t="s">
        <v>374</v>
      </c>
      <c r="BY4" s="150" t="s">
        <v>439</v>
      </c>
    </row>
    <row r="5" customFormat="false" ht="12.8" hidden="false" customHeight="false" outlineLevel="0" collapsed="false">
      <c r="A5" s="17" t="s">
        <v>199</v>
      </c>
      <c r="B5" s="17" t="s">
        <v>98</v>
      </c>
      <c r="C5" s="17" t="s">
        <v>203</v>
      </c>
      <c r="D5" s="17" t="s">
        <v>204</v>
      </c>
      <c r="E5" s="130" t="s">
        <v>89</v>
      </c>
      <c r="F5" s="17" t="s">
        <v>205</v>
      </c>
      <c r="G5" s="153" t="s">
        <v>1129</v>
      </c>
      <c r="H5" s="148" t="s">
        <v>92</v>
      </c>
      <c r="I5" s="128" t="n">
        <v>200</v>
      </c>
      <c r="J5" s="203" t="n">
        <v>6</v>
      </c>
      <c r="K5" s="203" t="n">
        <f aca="false">IF(T5,1,0)+IF(AA5,1,0)+AD5+AK5+AR5+AY5+BF5+BM5+BT5</f>
        <v>0</v>
      </c>
      <c r="L5" s="217"/>
      <c r="M5" s="217"/>
      <c r="N5" s="217"/>
      <c r="O5" s="217"/>
      <c r="P5" s="217"/>
      <c r="Q5" s="217"/>
      <c r="R5" s="217"/>
      <c r="S5" s="28" t="s">
        <v>1130</v>
      </c>
      <c r="T5" s="218" t="n">
        <v>14</v>
      </c>
      <c r="U5" s="20" t="s">
        <v>590</v>
      </c>
      <c r="V5" s="20"/>
      <c r="W5" s="219" t="n">
        <v>40</v>
      </c>
      <c r="X5" s="20" t="n">
        <v>20</v>
      </c>
      <c r="Y5" s="220" t="s">
        <v>1131</v>
      </c>
      <c r="Z5" s="218"/>
      <c r="AA5" s="218"/>
      <c r="AB5" s="218"/>
      <c r="AC5" s="128" t="n">
        <v>9</v>
      </c>
      <c r="AD5" s="128" t="n">
        <v>2</v>
      </c>
      <c r="AE5" s="128" t="s">
        <v>455</v>
      </c>
      <c r="AF5" s="128" t="s">
        <v>465</v>
      </c>
      <c r="AG5" s="128" t="s">
        <v>465</v>
      </c>
      <c r="AH5" s="128" t="s">
        <v>465</v>
      </c>
      <c r="AI5" s="128" t="s">
        <v>465</v>
      </c>
      <c r="AJ5" s="128" t="n">
        <v>9</v>
      </c>
      <c r="AK5" s="128" t="n">
        <v>2</v>
      </c>
      <c r="AL5" s="131" t="s">
        <v>451</v>
      </c>
      <c r="AM5" s="131" t="s">
        <v>383</v>
      </c>
      <c r="AN5" s="131" t="s">
        <v>573</v>
      </c>
      <c r="AO5" s="131" t="s">
        <v>574</v>
      </c>
      <c r="AP5" s="131" t="s">
        <v>378</v>
      </c>
      <c r="AQ5" s="128" t="n">
        <v>9</v>
      </c>
      <c r="AR5" s="128" t="n">
        <v>1</v>
      </c>
      <c r="AS5" s="131" t="s">
        <v>410</v>
      </c>
      <c r="AT5" s="131" t="s">
        <v>574</v>
      </c>
      <c r="AU5" s="131" t="s">
        <v>467</v>
      </c>
      <c r="AV5" s="131" t="s">
        <v>468</v>
      </c>
      <c r="AW5" s="131" t="s">
        <v>380</v>
      </c>
      <c r="AX5" s="199" t="n">
        <v>9</v>
      </c>
      <c r="AY5" s="199" t="n">
        <v>1</v>
      </c>
      <c r="AZ5" s="131" t="s">
        <v>391</v>
      </c>
      <c r="BA5" s="131" t="s">
        <v>384</v>
      </c>
      <c r="BB5" s="131" t="s">
        <v>574</v>
      </c>
      <c r="BC5" s="131" t="s">
        <v>616</v>
      </c>
      <c r="BD5" s="131" t="s">
        <v>615</v>
      </c>
      <c r="BE5" s="160"/>
      <c r="BF5" s="160"/>
      <c r="BG5" s="160"/>
      <c r="BH5" s="160"/>
      <c r="BI5" s="160"/>
      <c r="BJ5" s="160"/>
      <c r="BK5" s="160"/>
      <c r="BL5" s="39" t="n">
        <v>9</v>
      </c>
      <c r="BM5" s="128" t="n">
        <v>1</v>
      </c>
      <c r="BN5" s="131" t="s">
        <v>451</v>
      </c>
      <c r="BO5" s="131" t="s">
        <v>383</v>
      </c>
      <c r="BP5" s="131" t="s">
        <v>573</v>
      </c>
      <c r="BQ5" s="131" t="s">
        <v>574</v>
      </c>
      <c r="BR5" s="131" t="s">
        <v>378</v>
      </c>
      <c r="BS5" s="131"/>
      <c r="BT5" s="128"/>
      <c r="BU5" s="131"/>
      <c r="BV5" s="131"/>
      <c r="BW5" s="131"/>
      <c r="BX5" s="131"/>
      <c r="BY5" s="131"/>
    </row>
    <row r="6" customFormat="false" ht="12.8" hidden="false" customHeight="false" outlineLevel="0" collapsed="false">
      <c r="A6" s="17" t="s">
        <v>199</v>
      </c>
      <c r="B6" s="17" t="s">
        <v>93</v>
      </c>
      <c r="C6" s="130" t="s">
        <v>211</v>
      </c>
      <c r="D6" s="17" t="s">
        <v>212</v>
      </c>
      <c r="E6" s="130" t="s">
        <v>89</v>
      </c>
      <c r="F6" s="17" t="s">
        <v>148</v>
      </c>
      <c r="G6" s="17" t="s">
        <v>1132</v>
      </c>
      <c r="H6" s="148" t="s">
        <v>92</v>
      </c>
      <c r="I6" s="128" t="n">
        <v>200</v>
      </c>
      <c r="J6" s="18" t="n">
        <v>6</v>
      </c>
      <c r="K6" s="203" t="n">
        <f aca="false">IF(T6,1,0)+IF(AA6,1,0)+AD6+AK6+AR6+AY6+BF6+BM6+BT6</f>
        <v>0</v>
      </c>
      <c r="L6" s="18"/>
      <c r="M6" s="18"/>
      <c r="N6" s="18"/>
      <c r="O6" s="18"/>
      <c r="P6" s="18"/>
      <c r="Q6" s="18"/>
      <c r="R6" s="18"/>
      <c r="S6" s="23" t="s">
        <v>1130</v>
      </c>
      <c r="T6" s="199" t="n">
        <v>14</v>
      </c>
      <c r="U6" s="21" t="s">
        <v>590</v>
      </c>
      <c r="V6" s="128"/>
      <c r="W6" s="214" t="n">
        <v>40</v>
      </c>
      <c r="X6" s="128" t="n">
        <v>20</v>
      </c>
      <c r="Y6" s="199" t="s">
        <v>1131</v>
      </c>
      <c r="Z6" s="199"/>
      <c r="AA6" s="199"/>
      <c r="AB6" s="199"/>
      <c r="AC6" s="128" t="n">
        <v>9</v>
      </c>
      <c r="AD6" s="128" t="n">
        <v>2</v>
      </c>
      <c r="AE6" s="128" t="s">
        <v>455</v>
      </c>
      <c r="AF6" s="128" t="s">
        <v>465</v>
      </c>
      <c r="AG6" s="128" t="s">
        <v>465</v>
      </c>
      <c r="AH6" s="128" t="s">
        <v>465</v>
      </c>
      <c r="AI6" s="128" t="s">
        <v>465</v>
      </c>
      <c r="AJ6" s="128" t="n">
        <v>9</v>
      </c>
      <c r="AK6" s="128" t="n">
        <v>2</v>
      </c>
      <c r="AL6" s="131" t="s">
        <v>451</v>
      </c>
      <c r="AM6" s="131" t="s">
        <v>383</v>
      </c>
      <c r="AN6" s="131" t="s">
        <v>573</v>
      </c>
      <c r="AO6" s="131" t="s">
        <v>574</v>
      </c>
      <c r="AP6" s="131" t="s">
        <v>378</v>
      </c>
      <c r="AQ6" s="128" t="n">
        <v>9</v>
      </c>
      <c r="AR6" s="128" t="n">
        <v>1</v>
      </c>
      <c r="AS6" s="131" t="s">
        <v>410</v>
      </c>
      <c r="AT6" s="131" t="s">
        <v>574</v>
      </c>
      <c r="AU6" s="131" t="s">
        <v>467</v>
      </c>
      <c r="AV6" s="131" t="s">
        <v>468</v>
      </c>
      <c r="AW6" s="131" t="s">
        <v>380</v>
      </c>
      <c r="AX6" s="199" t="n">
        <v>9</v>
      </c>
      <c r="AY6" s="199" t="n">
        <v>1</v>
      </c>
      <c r="AZ6" s="131" t="s">
        <v>391</v>
      </c>
      <c r="BA6" s="131" t="s">
        <v>384</v>
      </c>
      <c r="BB6" s="131" t="s">
        <v>574</v>
      </c>
      <c r="BC6" s="131" t="s">
        <v>616</v>
      </c>
      <c r="BD6" s="131" t="s">
        <v>615</v>
      </c>
      <c r="BE6" s="131"/>
      <c r="BF6" s="131"/>
      <c r="BG6" s="131"/>
      <c r="BH6" s="131"/>
      <c r="BI6" s="131"/>
      <c r="BJ6" s="131"/>
      <c r="BK6" s="131"/>
      <c r="BL6" s="39" t="n">
        <v>9</v>
      </c>
      <c r="BM6" s="128" t="n">
        <v>1</v>
      </c>
      <c r="BN6" s="131" t="s">
        <v>451</v>
      </c>
      <c r="BO6" s="131" t="s">
        <v>383</v>
      </c>
      <c r="BP6" s="131" t="s">
        <v>573</v>
      </c>
      <c r="BQ6" s="131" t="s">
        <v>574</v>
      </c>
      <c r="BR6" s="131" t="s">
        <v>378</v>
      </c>
      <c r="BS6" s="131"/>
      <c r="BT6" s="128"/>
      <c r="BU6" s="131"/>
      <c r="BV6" s="131"/>
      <c r="BW6" s="131"/>
      <c r="BX6" s="131"/>
      <c r="BY6" s="131"/>
    </row>
    <row r="7" customFormat="false" ht="12.8" hidden="false" customHeight="false" outlineLevel="0" collapsed="false">
      <c r="A7" s="17" t="s">
        <v>51</v>
      </c>
      <c r="B7" s="17" t="s">
        <v>98</v>
      </c>
      <c r="C7" s="17" t="s">
        <v>110</v>
      </c>
      <c r="D7" s="17" t="s">
        <v>111</v>
      </c>
      <c r="E7" s="130" t="s">
        <v>89</v>
      </c>
      <c r="F7" s="17" t="s">
        <v>112</v>
      </c>
      <c r="G7" s="17" t="s">
        <v>1133</v>
      </c>
      <c r="H7" s="150"/>
      <c r="I7" s="128" t="n">
        <v>1500</v>
      </c>
      <c r="J7" s="18" t="n">
        <v>2</v>
      </c>
      <c r="K7" s="203" t="n">
        <f aca="false">IF(T7,1,0)+IF(AA7,1,0)+AD7+AK7+AR7+AY7+BF7+BM7+BT7</f>
        <v>0</v>
      </c>
      <c r="L7" s="57" t="n">
        <v>0.35</v>
      </c>
      <c r="M7" s="57"/>
      <c r="N7" s="57"/>
      <c r="O7" s="57"/>
      <c r="P7" s="57"/>
      <c r="Q7" s="57"/>
      <c r="R7" s="57"/>
      <c r="S7" s="23" t="s">
        <v>1134</v>
      </c>
      <c r="T7" s="199" t="n">
        <v>14</v>
      </c>
      <c r="U7" s="128"/>
      <c r="V7" s="128" t="n">
        <v>75</v>
      </c>
      <c r="W7" s="214" t="n">
        <v>20</v>
      </c>
      <c r="X7" s="128"/>
      <c r="Y7" s="199" t="s">
        <v>1135</v>
      </c>
      <c r="Z7" s="199"/>
      <c r="AA7" s="199"/>
      <c r="AB7" s="199"/>
      <c r="AC7" s="128"/>
      <c r="AD7" s="128"/>
      <c r="AE7" s="128"/>
      <c r="AF7" s="128"/>
      <c r="AG7" s="128"/>
      <c r="AH7" s="128"/>
      <c r="AI7" s="128"/>
      <c r="AJ7" s="131"/>
      <c r="AK7" s="128"/>
      <c r="AL7" s="131"/>
      <c r="AM7" s="131"/>
      <c r="AN7" s="131"/>
      <c r="AO7" s="131"/>
      <c r="AP7" s="131"/>
      <c r="AQ7" s="131"/>
      <c r="AR7" s="128"/>
      <c r="AS7" s="131"/>
      <c r="AT7" s="131"/>
      <c r="AU7" s="131"/>
      <c r="AV7" s="131"/>
      <c r="AW7" s="131"/>
      <c r="AX7" s="199" t="n">
        <v>10</v>
      </c>
      <c r="AY7" s="199" t="n">
        <v>1</v>
      </c>
      <c r="AZ7" s="131" t="s">
        <v>382</v>
      </c>
      <c r="BA7" s="131" t="s">
        <v>384</v>
      </c>
      <c r="BB7" s="131" t="s">
        <v>574</v>
      </c>
      <c r="BC7" s="131" t="s">
        <v>616</v>
      </c>
      <c r="BD7" s="131" t="s">
        <v>615</v>
      </c>
      <c r="BE7" s="131"/>
      <c r="BF7" s="131"/>
      <c r="BG7" s="131"/>
      <c r="BH7" s="131"/>
      <c r="BI7" s="131"/>
      <c r="BJ7" s="131"/>
      <c r="BK7" s="131"/>
      <c r="BL7" s="39" t="n">
        <v>10</v>
      </c>
      <c r="BM7" s="128" t="n">
        <v>1</v>
      </c>
      <c r="BN7" s="131" t="s">
        <v>572</v>
      </c>
      <c r="BO7" s="131" t="s">
        <v>383</v>
      </c>
      <c r="BP7" s="131" t="s">
        <v>573</v>
      </c>
      <c r="BQ7" s="131" t="s">
        <v>574</v>
      </c>
      <c r="BR7" s="131" t="s">
        <v>378</v>
      </c>
      <c r="BS7" s="131"/>
      <c r="BT7" s="128"/>
      <c r="BU7" s="131"/>
      <c r="BV7" s="131"/>
      <c r="BW7" s="131"/>
      <c r="BX7" s="131"/>
      <c r="BY7" s="131"/>
    </row>
    <row r="8" customFormat="false" ht="12.8" hidden="false" customHeight="false" outlineLevel="0" collapsed="false">
      <c r="A8" s="17" t="s">
        <v>51</v>
      </c>
      <c r="B8" s="17" t="s">
        <v>98</v>
      </c>
      <c r="C8" s="17" t="s">
        <v>104</v>
      </c>
      <c r="D8" s="17" t="s">
        <v>105</v>
      </c>
      <c r="E8" s="130" t="s">
        <v>89</v>
      </c>
      <c r="F8" s="17" t="s">
        <v>106</v>
      </c>
      <c r="G8" s="17" t="s">
        <v>1136</v>
      </c>
      <c r="H8" s="150"/>
      <c r="I8" s="128" t="n">
        <v>1500</v>
      </c>
      <c r="J8" s="18" t="n">
        <v>2</v>
      </c>
      <c r="K8" s="203" t="n">
        <f aca="false">IF(T8,1,0)+IF(AA8,1,0)+AD8+AK8+AR8+AY8+BF8+BM8+BT8</f>
        <v>0</v>
      </c>
      <c r="L8" s="57"/>
      <c r="M8" s="57"/>
      <c r="N8" s="57"/>
      <c r="O8" s="57" t="n">
        <v>0.3</v>
      </c>
      <c r="P8" s="57"/>
      <c r="Q8" s="57"/>
      <c r="R8" s="57"/>
      <c r="S8" s="131"/>
      <c r="T8" s="128"/>
      <c r="U8" s="20"/>
      <c r="V8" s="20"/>
      <c r="W8" s="128"/>
      <c r="X8" s="128"/>
      <c r="Y8" s="199"/>
      <c r="Z8" s="199"/>
      <c r="AA8" s="199"/>
      <c r="AB8" s="199"/>
      <c r="AC8" s="128"/>
      <c r="AD8" s="128"/>
      <c r="AE8" s="128"/>
      <c r="AF8" s="128"/>
      <c r="AG8" s="128"/>
      <c r="AH8" s="128"/>
      <c r="AI8" s="128"/>
      <c r="AJ8" s="131"/>
      <c r="AK8" s="128"/>
      <c r="AL8" s="131"/>
      <c r="AM8" s="131"/>
      <c r="AN8" s="131"/>
      <c r="AO8" s="131"/>
      <c r="AP8" s="131"/>
      <c r="AQ8" s="131"/>
      <c r="AR8" s="128"/>
      <c r="AS8" s="131"/>
      <c r="AT8" s="131"/>
      <c r="AU8" s="131"/>
      <c r="AV8" s="131"/>
      <c r="AW8" s="131"/>
      <c r="AX8" s="199" t="n">
        <v>8</v>
      </c>
      <c r="AY8" s="199" t="n">
        <v>1</v>
      </c>
      <c r="AZ8" s="131" t="s">
        <v>398</v>
      </c>
      <c r="BA8" s="131" t="s">
        <v>399</v>
      </c>
      <c r="BB8" s="131" t="s">
        <v>378</v>
      </c>
      <c r="BC8" s="131" t="s">
        <v>615</v>
      </c>
      <c r="BD8" s="131"/>
      <c r="BE8" s="131"/>
      <c r="BF8" s="131"/>
      <c r="BG8" s="131"/>
      <c r="BH8" s="131"/>
      <c r="BI8" s="131"/>
      <c r="BJ8" s="131"/>
      <c r="BK8" s="131"/>
      <c r="BL8" s="39" t="n">
        <v>8</v>
      </c>
      <c r="BM8" s="39" t="n">
        <v>1</v>
      </c>
      <c r="BN8" s="114" t="s">
        <v>385</v>
      </c>
      <c r="BO8" s="114" t="s">
        <v>377</v>
      </c>
      <c r="BP8" s="114" t="s">
        <v>386</v>
      </c>
      <c r="BQ8" s="114" t="s">
        <v>378</v>
      </c>
      <c r="BR8" s="131"/>
      <c r="BS8" s="131"/>
      <c r="BT8" s="128"/>
      <c r="BU8" s="131"/>
      <c r="BV8" s="131"/>
      <c r="BW8" s="131"/>
      <c r="BX8" s="131"/>
      <c r="BY8" s="131"/>
    </row>
    <row r="9" customFormat="false" ht="12.8" hidden="false" customHeight="false" outlineLevel="0" collapsed="false">
      <c r="A9" s="17" t="s">
        <v>51</v>
      </c>
      <c r="B9" s="17" t="s">
        <v>98</v>
      </c>
      <c r="C9" s="17" t="s">
        <v>104</v>
      </c>
      <c r="D9" s="17" t="s">
        <v>108</v>
      </c>
      <c r="E9" s="130" t="s">
        <v>87</v>
      </c>
      <c r="F9" s="17" t="s">
        <v>109</v>
      </c>
      <c r="G9" s="17" t="s">
        <v>1136</v>
      </c>
      <c r="H9" s="150"/>
      <c r="I9" s="128" t="n">
        <v>1500</v>
      </c>
      <c r="J9" s="18" t="n">
        <v>2</v>
      </c>
      <c r="K9" s="203" t="n">
        <f aca="false">IF(T9,1,0)+IF(AA9,1,0)+AD9+AK9+AR9+AY9+BF9+BM9+BT9</f>
        <v>0</v>
      </c>
      <c r="L9" s="57"/>
      <c r="M9" s="57"/>
      <c r="N9" s="57"/>
      <c r="O9" s="57"/>
      <c r="P9" s="57"/>
      <c r="Q9" s="57"/>
      <c r="R9" s="57"/>
      <c r="S9" s="131"/>
      <c r="T9" s="128"/>
      <c r="U9" s="128"/>
      <c r="V9" s="128"/>
      <c r="W9" s="128"/>
      <c r="X9" s="128"/>
      <c r="Y9" s="199"/>
      <c r="Z9" s="199"/>
      <c r="AA9" s="199"/>
      <c r="AB9" s="199"/>
      <c r="AC9" s="128"/>
      <c r="AD9" s="128"/>
      <c r="AE9" s="128"/>
      <c r="AF9" s="128"/>
      <c r="AG9" s="128"/>
      <c r="AH9" s="128"/>
      <c r="AI9" s="128"/>
      <c r="AJ9" s="131"/>
      <c r="AK9" s="128"/>
      <c r="AL9" s="131"/>
      <c r="AM9" s="131"/>
      <c r="AN9" s="131"/>
      <c r="AO9" s="131"/>
      <c r="AP9" s="131"/>
      <c r="AQ9" s="131"/>
      <c r="AR9" s="128"/>
      <c r="AS9" s="131"/>
      <c r="AT9" s="131"/>
      <c r="AU9" s="131"/>
      <c r="AV9" s="131"/>
      <c r="AW9" s="131"/>
      <c r="AX9" s="131"/>
      <c r="AY9" s="199"/>
      <c r="AZ9" s="131"/>
      <c r="BA9" s="131"/>
      <c r="BB9" s="131"/>
      <c r="BC9" s="131"/>
      <c r="BD9" s="131"/>
      <c r="BE9" s="131"/>
      <c r="BF9" s="131"/>
      <c r="BG9" s="131"/>
      <c r="BH9" s="131"/>
      <c r="BI9" s="131"/>
      <c r="BJ9" s="131"/>
      <c r="BK9" s="131"/>
      <c r="BL9" s="112"/>
      <c r="BM9" s="39"/>
      <c r="BN9" s="114"/>
      <c r="BO9" s="114"/>
      <c r="BP9" s="114"/>
      <c r="BQ9" s="114"/>
      <c r="BR9" s="131"/>
      <c r="BS9" s="131"/>
      <c r="BT9" s="128"/>
      <c r="BU9" s="131"/>
      <c r="BV9" s="131"/>
      <c r="BW9" s="131"/>
      <c r="BX9" s="131"/>
      <c r="BY9" s="131"/>
    </row>
    <row r="10" customFormat="false" ht="12.8" hidden="false" customHeight="false" outlineLevel="0" collapsed="false">
      <c r="A10" s="17" t="s">
        <v>51</v>
      </c>
      <c r="B10" s="17" t="s">
        <v>98</v>
      </c>
      <c r="C10" s="17" t="s">
        <v>99</v>
      </c>
      <c r="D10" s="17" t="s">
        <v>100</v>
      </c>
      <c r="E10" s="130" t="s">
        <v>89</v>
      </c>
      <c r="F10" s="17" t="s">
        <v>101</v>
      </c>
      <c r="G10" s="17" t="s">
        <v>1137</v>
      </c>
      <c r="H10" s="150"/>
      <c r="I10" s="128" t="n">
        <v>1500</v>
      </c>
      <c r="J10" s="18" t="n">
        <v>0</v>
      </c>
      <c r="K10" s="203" t="n">
        <f aca="false">IF(T10,1,0)+IF(AA10,1,0)+AD10+AK10+AR10+AY10+BF10+BM10+BT10</f>
        <v>0</v>
      </c>
      <c r="L10" s="57"/>
      <c r="M10" s="57" t="n">
        <v>-0.3</v>
      </c>
      <c r="N10" s="57"/>
      <c r="O10" s="57"/>
      <c r="P10" s="57"/>
      <c r="Q10" s="57"/>
      <c r="R10" s="57"/>
      <c r="S10" s="131"/>
      <c r="T10" s="128"/>
      <c r="U10" s="128"/>
      <c r="V10" s="128"/>
      <c r="W10" s="128"/>
      <c r="X10" s="128"/>
      <c r="Y10" s="199"/>
      <c r="Z10" s="199"/>
      <c r="AA10" s="199"/>
      <c r="AB10" s="199"/>
      <c r="AC10" s="128"/>
      <c r="AD10" s="128"/>
      <c r="AE10" s="128"/>
      <c r="AF10" s="128"/>
      <c r="AG10" s="128"/>
      <c r="AH10" s="128"/>
      <c r="AI10" s="128"/>
      <c r="AJ10" s="131"/>
      <c r="AK10" s="128"/>
      <c r="AL10" s="131"/>
      <c r="AM10" s="131"/>
      <c r="AN10" s="131"/>
      <c r="AO10" s="131"/>
      <c r="AP10" s="131"/>
      <c r="AQ10" s="131"/>
      <c r="AR10" s="128"/>
      <c r="AS10" s="131"/>
      <c r="AT10" s="131"/>
      <c r="AU10" s="131"/>
      <c r="AV10" s="131"/>
      <c r="AW10" s="131"/>
      <c r="AX10" s="131"/>
      <c r="AY10" s="199"/>
      <c r="AZ10" s="131"/>
      <c r="BA10" s="131"/>
      <c r="BB10" s="131"/>
      <c r="BC10" s="131"/>
      <c r="BD10" s="131"/>
      <c r="BE10" s="131"/>
      <c r="BF10" s="131"/>
      <c r="BG10" s="131"/>
      <c r="BH10" s="131"/>
      <c r="BI10" s="131"/>
      <c r="BJ10" s="131"/>
      <c r="BK10" s="131"/>
      <c r="BL10" s="112"/>
      <c r="BM10" s="39"/>
      <c r="BN10" s="114"/>
      <c r="BO10" s="114"/>
      <c r="BP10" s="114"/>
      <c r="BQ10" s="114"/>
      <c r="BR10" s="131"/>
      <c r="BS10" s="131"/>
      <c r="BT10" s="128"/>
      <c r="BU10" s="131"/>
      <c r="BV10" s="131"/>
      <c r="BW10" s="131"/>
      <c r="BX10" s="131"/>
      <c r="BY10" s="131"/>
    </row>
    <row r="11" customFormat="false" ht="12.8" hidden="false" customHeight="false" outlineLevel="0" collapsed="false">
      <c r="A11" s="36" t="s">
        <v>52</v>
      </c>
      <c r="B11" s="36" t="s">
        <v>98</v>
      </c>
      <c r="C11" s="35" t="s">
        <v>140</v>
      </c>
      <c r="D11" s="36" t="s">
        <v>144</v>
      </c>
      <c r="E11" s="58" t="s">
        <v>88</v>
      </c>
      <c r="F11" s="36" t="s">
        <v>145</v>
      </c>
      <c r="G11" s="17" t="s">
        <v>1138</v>
      </c>
      <c r="H11" s="150"/>
      <c r="I11" s="128" t="n">
        <v>3500</v>
      </c>
      <c r="J11" s="18" t="n">
        <v>2</v>
      </c>
      <c r="K11" s="203" t="n">
        <f aca="false">IF(T11,1,0)+IF(AA11,1,0)+AD11+AK11+AR11+AY11+BF11+BM11+BT11</f>
        <v>0</v>
      </c>
      <c r="L11" s="57" t="n">
        <v>0.35</v>
      </c>
      <c r="M11" s="57"/>
      <c r="N11" s="57" t="n">
        <v>-0.3</v>
      </c>
      <c r="O11" s="57"/>
      <c r="P11" s="57"/>
      <c r="Q11" s="57"/>
      <c r="R11" s="57"/>
      <c r="S11" s="131"/>
      <c r="T11" s="128"/>
      <c r="U11" s="128"/>
      <c r="V11" s="128"/>
      <c r="W11" s="128"/>
      <c r="X11" s="128"/>
      <c r="Y11" s="199"/>
      <c r="Z11" s="199"/>
      <c r="AA11" s="199"/>
      <c r="AB11" s="199"/>
      <c r="AC11" s="128"/>
      <c r="AD11" s="128"/>
      <c r="AE11" s="128"/>
      <c r="AF11" s="128"/>
      <c r="AG11" s="128"/>
      <c r="AH11" s="128"/>
      <c r="AI11" s="128"/>
      <c r="AJ11" s="131"/>
      <c r="AK11" s="128"/>
      <c r="AL11" s="131"/>
      <c r="AM11" s="131"/>
      <c r="AN11" s="131"/>
      <c r="AO11" s="131"/>
      <c r="AP11" s="131"/>
      <c r="AQ11" s="131"/>
      <c r="AR11" s="128"/>
      <c r="AS11" s="131"/>
      <c r="AT11" s="131"/>
      <c r="AU11" s="131"/>
      <c r="AV11" s="131"/>
      <c r="AW11" s="131"/>
      <c r="AX11" s="131"/>
      <c r="AY11" s="199"/>
      <c r="AZ11" s="131"/>
      <c r="BA11" s="131"/>
      <c r="BB11" s="131"/>
      <c r="BC11" s="131"/>
      <c r="BD11" s="131"/>
      <c r="BE11" s="199" t="n">
        <v>10</v>
      </c>
      <c r="BF11" s="199" t="n">
        <v>1</v>
      </c>
      <c r="BG11" s="131" t="s">
        <v>382</v>
      </c>
      <c r="BH11" s="131" t="s">
        <v>384</v>
      </c>
      <c r="BI11" s="131" t="s">
        <v>574</v>
      </c>
      <c r="BJ11" s="131" t="s">
        <v>616</v>
      </c>
      <c r="BK11" s="131" t="s">
        <v>615</v>
      </c>
      <c r="BL11" s="39" t="n">
        <v>10</v>
      </c>
      <c r="BM11" s="128" t="n">
        <v>1</v>
      </c>
      <c r="BN11" s="131" t="s">
        <v>572</v>
      </c>
      <c r="BO11" s="131" t="s">
        <v>383</v>
      </c>
      <c r="BP11" s="131" t="s">
        <v>573</v>
      </c>
      <c r="BQ11" s="131" t="s">
        <v>574</v>
      </c>
      <c r="BR11" s="131" t="s">
        <v>378</v>
      </c>
      <c r="BS11" s="131"/>
      <c r="BT11" s="128"/>
      <c r="BU11" s="131"/>
      <c r="BV11" s="131"/>
      <c r="BW11" s="131"/>
      <c r="BX11" s="131"/>
      <c r="BY11" s="131"/>
    </row>
    <row r="12" customFormat="false" ht="12.8" hidden="false" customHeight="false" outlineLevel="0" collapsed="false">
      <c r="A12" s="16" t="s">
        <v>52</v>
      </c>
      <c r="B12" s="16" t="s">
        <v>98</v>
      </c>
      <c r="C12" s="16" t="s">
        <v>132</v>
      </c>
      <c r="D12" s="16" t="s">
        <v>138</v>
      </c>
      <c r="E12" s="156" t="s">
        <v>88</v>
      </c>
      <c r="F12" s="176" t="s">
        <v>139</v>
      </c>
      <c r="G12" s="17" t="s">
        <v>1133</v>
      </c>
      <c r="H12" s="150"/>
      <c r="I12" s="128" t="n">
        <v>3500</v>
      </c>
      <c r="J12" s="18" t="n">
        <v>2</v>
      </c>
      <c r="K12" s="203" t="n">
        <f aca="false">IF(T12,1,0)+IF(AA12,1,0)+AD12+AK12+AR12+AY12+BF12+BM12+BT12</f>
        <v>0</v>
      </c>
      <c r="L12" s="57"/>
      <c r="M12" s="57"/>
      <c r="N12" s="57"/>
      <c r="O12" s="57"/>
      <c r="P12" s="57"/>
      <c r="Q12" s="57"/>
      <c r="R12" s="57"/>
      <c r="S12" s="131"/>
      <c r="T12" s="128"/>
      <c r="U12" s="128"/>
      <c r="V12" s="128"/>
      <c r="W12" s="128"/>
      <c r="X12" s="128"/>
      <c r="Y12" s="199"/>
      <c r="Z12" s="199"/>
      <c r="AA12" s="199"/>
      <c r="AB12" s="199"/>
      <c r="AC12" s="128"/>
      <c r="AD12" s="128"/>
      <c r="AE12" s="128"/>
      <c r="AF12" s="128"/>
      <c r="AG12" s="128"/>
      <c r="AH12" s="128"/>
      <c r="AI12" s="128"/>
      <c r="AJ12" s="131"/>
      <c r="AK12" s="128"/>
      <c r="AL12" s="131"/>
      <c r="AM12" s="131"/>
      <c r="AN12" s="131"/>
      <c r="AO12" s="131"/>
      <c r="AP12" s="131"/>
      <c r="AQ12" s="131"/>
      <c r="AR12" s="128"/>
      <c r="AS12" s="131"/>
      <c r="AT12" s="131"/>
      <c r="AU12" s="131"/>
      <c r="AV12" s="131"/>
      <c r="AW12" s="131"/>
      <c r="AX12" s="131"/>
      <c r="AY12" s="199"/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  <c r="BK12" s="131"/>
      <c r="BL12" s="112"/>
      <c r="BM12" s="39"/>
      <c r="BN12" s="114"/>
      <c r="BO12" s="114"/>
      <c r="BP12" s="114"/>
      <c r="BQ12" s="114"/>
      <c r="BR12" s="131"/>
      <c r="BS12" s="131"/>
      <c r="BT12" s="128"/>
      <c r="BU12" s="131"/>
      <c r="BV12" s="131"/>
      <c r="BW12" s="131"/>
      <c r="BX12" s="131"/>
      <c r="BY12" s="131"/>
    </row>
    <row r="13" customFormat="false" ht="12.8" hidden="false" customHeight="false" outlineLevel="0" collapsed="false">
      <c r="A13" s="16" t="s">
        <v>52</v>
      </c>
      <c r="B13" s="16" t="s">
        <v>98</v>
      </c>
      <c r="C13" s="16" t="s">
        <v>132</v>
      </c>
      <c r="D13" s="16" t="s">
        <v>138</v>
      </c>
      <c r="E13" s="156" t="s">
        <v>88</v>
      </c>
      <c r="F13" s="176" t="s">
        <v>139</v>
      </c>
      <c r="G13" s="17" t="s">
        <v>1139</v>
      </c>
      <c r="H13" s="150"/>
      <c r="I13" s="128" t="n">
        <v>3500</v>
      </c>
      <c r="J13" s="18" t="n">
        <v>2</v>
      </c>
      <c r="K13" s="203" t="n">
        <f aca="false">IF(T13,1,0)+IF(AA13,1,0)+AD13+AK13+AR13+AY13+BF13+BM13+BT13</f>
        <v>0</v>
      </c>
      <c r="L13" s="57"/>
      <c r="M13" s="57"/>
      <c r="N13" s="57"/>
      <c r="O13" s="57"/>
      <c r="P13" s="57"/>
      <c r="Q13" s="57"/>
      <c r="R13" s="57"/>
      <c r="S13" s="131"/>
      <c r="T13" s="128"/>
      <c r="U13" s="128"/>
      <c r="V13" s="128"/>
      <c r="W13" s="128"/>
      <c r="X13" s="128"/>
      <c r="Y13" s="199"/>
      <c r="Z13" s="199"/>
      <c r="AA13" s="199"/>
      <c r="AB13" s="199"/>
      <c r="AC13" s="128"/>
      <c r="AD13" s="128"/>
      <c r="AE13" s="128"/>
      <c r="AF13" s="128"/>
      <c r="AG13" s="128"/>
      <c r="AH13" s="128"/>
      <c r="AI13" s="128"/>
      <c r="AJ13" s="131"/>
      <c r="AK13" s="128"/>
      <c r="AL13" s="131"/>
      <c r="AM13" s="131"/>
      <c r="AN13" s="131"/>
      <c r="AO13" s="131"/>
      <c r="AP13" s="131"/>
      <c r="AQ13" s="131"/>
      <c r="AR13" s="128"/>
      <c r="AS13" s="131"/>
      <c r="AT13" s="131"/>
      <c r="AU13" s="131"/>
      <c r="AV13" s="131"/>
      <c r="AW13" s="131"/>
      <c r="AX13" s="131"/>
      <c r="AY13" s="199"/>
      <c r="AZ13" s="131"/>
      <c r="BA13" s="131"/>
      <c r="BB13" s="131"/>
      <c r="BC13" s="131"/>
      <c r="BD13" s="131"/>
      <c r="BE13" s="131"/>
      <c r="BF13" s="131"/>
      <c r="BG13" s="131"/>
      <c r="BH13" s="131"/>
      <c r="BI13" s="131"/>
      <c r="BJ13" s="131"/>
      <c r="BK13" s="131"/>
      <c r="BL13" s="112"/>
      <c r="BM13" s="39"/>
      <c r="BN13" s="114"/>
      <c r="BO13" s="114"/>
      <c r="BP13" s="114"/>
      <c r="BQ13" s="114"/>
      <c r="BR13" s="131"/>
      <c r="BS13" s="131"/>
      <c r="BT13" s="128"/>
      <c r="BU13" s="131"/>
      <c r="BV13" s="131"/>
      <c r="BW13" s="131"/>
      <c r="BX13" s="131"/>
      <c r="BY13" s="131"/>
    </row>
    <row r="14" customFormat="false" ht="12.8" hidden="false" customHeight="false" outlineLevel="0" collapsed="false">
      <c r="A14" s="16" t="s">
        <v>53</v>
      </c>
      <c r="B14" s="16" t="s">
        <v>98</v>
      </c>
      <c r="C14" s="16" t="s">
        <v>217</v>
      </c>
      <c r="D14" s="16" t="s">
        <v>218</v>
      </c>
      <c r="E14" s="156" t="s">
        <v>89</v>
      </c>
      <c r="F14" s="16" t="s">
        <v>188</v>
      </c>
      <c r="G14" s="17" t="s">
        <v>1137</v>
      </c>
      <c r="H14" s="150"/>
      <c r="I14" s="128" t="n">
        <v>5500</v>
      </c>
      <c r="J14" s="18" t="n">
        <v>2</v>
      </c>
      <c r="K14" s="203" t="n">
        <f aca="false">IF(T14,1,0)+IF(AA14,1,0)+AD14+AK14+AR14+AY14+BF14+BM14+BT14</f>
        <v>0</v>
      </c>
      <c r="L14" s="57"/>
      <c r="M14" s="57" t="n">
        <v>-0.3</v>
      </c>
      <c r="N14" s="57"/>
      <c r="O14" s="57"/>
      <c r="P14" s="57"/>
      <c r="Q14" s="57"/>
      <c r="R14" s="57"/>
      <c r="S14" s="131"/>
      <c r="T14" s="128"/>
      <c r="U14" s="128"/>
      <c r="V14" s="128"/>
      <c r="W14" s="128"/>
      <c r="X14" s="128"/>
      <c r="Y14" s="199"/>
      <c r="Z14" s="199"/>
      <c r="AA14" s="199"/>
      <c r="AB14" s="199"/>
      <c r="AC14" s="128"/>
      <c r="AD14" s="128"/>
      <c r="AE14" s="128"/>
      <c r="AF14" s="128"/>
      <c r="AG14" s="128"/>
      <c r="AH14" s="128"/>
      <c r="AI14" s="128"/>
      <c r="AJ14" s="131"/>
      <c r="AK14" s="128"/>
      <c r="AL14" s="131"/>
      <c r="AM14" s="131"/>
      <c r="AN14" s="131"/>
      <c r="AO14" s="131"/>
      <c r="AP14" s="131"/>
      <c r="AQ14" s="131"/>
      <c r="AR14" s="128"/>
      <c r="AS14" s="131"/>
      <c r="AT14" s="131"/>
      <c r="AU14" s="131"/>
      <c r="AV14" s="131"/>
      <c r="AW14" s="131"/>
      <c r="AX14" s="199" t="n">
        <v>8</v>
      </c>
      <c r="AY14" s="199" t="n">
        <v>1</v>
      </c>
      <c r="AZ14" s="131" t="s">
        <v>391</v>
      </c>
      <c r="BA14" s="131" t="s">
        <v>411</v>
      </c>
      <c r="BB14" s="131" t="s">
        <v>574</v>
      </c>
      <c r="BC14" s="131" t="s">
        <v>616</v>
      </c>
      <c r="BD14" s="131" t="s">
        <v>615</v>
      </c>
      <c r="BE14" s="131"/>
      <c r="BF14" s="131"/>
      <c r="BG14" s="131"/>
      <c r="BH14" s="131"/>
      <c r="BI14" s="131"/>
      <c r="BJ14" s="131"/>
      <c r="BK14" s="131"/>
      <c r="BL14" s="39" t="n">
        <v>8</v>
      </c>
      <c r="BM14" s="128" t="n">
        <v>1</v>
      </c>
      <c r="BN14" s="131" t="s">
        <v>451</v>
      </c>
      <c r="BO14" s="131" t="s">
        <v>410</v>
      </c>
      <c r="BP14" s="131" t="s">
        <v>573</v>
      </c>
      <c r="BQ14" s="131" t="s">
        <v>574</v>
      </c>
      <c r="BR14" s="131" t="s">
        <v>378</v>
      </c>
      <c r="BS14" s="131"/>
      <c r="BT14" s="128"/>
      <c r="BU14" s="131"/>
      <c r="BV14" s="131"/>
      <c r="BW14" s="131"/>
      <c r="BX14" s="131"/>
      <c r="BY14" s="131"/>
    </row>
    <row r="15" customFormat="false" ht="12.8" hidden="false" customHeight="false" outlineLevel="0" collapsed="false">
      <c r="A15" s="16" t="s">
        <v>53</v>
      </c>
      <c r="B15" s="17" t="s">
        <v>81</v>
      </c>
      <c r="C15" s="17" t="s">
        <v>246</v>
      </c>
      <c r="D15" s="16" t="s">
        <v>222</v>
      </c>
      <c r="E15" s="156" t="s">
        <v>89</v>
      </c>
      <c r="F15" s="16" t="s">
        <v>188</v>
      </c>
      <c r="G15" s="17" t="s">
        <v>1140</v>
      </c>
      <c r="H15" s="150"/>
      <c r="I15" s="128" t="n">
        <v>5500</v>
      </c>
      <c r="J15" s="18" t="n">
        <v>0</v>
      </c>
      <c r="K15" s="203" t="n">
        <f aca="false">IF(T15,1,0)+IF(AA15,1,0)+AD15+AK15+AR15+AY15+BF15+BM15+BT15</f>
        <v>0</v>
      </c>
      <c r="L15" s="57"/>
      <c r="M15" s="57"/>
      <c r="N15" s="57"/>
      <c r="O15" s="57"/>
      <c r="P15" s="57" t="n">
        <v>0.15</v>
      </c>
      <c r="Q15" s="57"/>
      <c r="R15" s="57" t="n">
        <v>-0.2</v>
      </c>
      <c r="S15" s="131"/>
      <c r="T15" s="128"/>
      <c r="U15" s="128"/>
      <c r="V15" s="128"/>
      <c r="W15" s="128"/>
      <c r="X15" s="128"/>
      <c r="Y15" s="199"/>
      <c r="Z15" s="199"/>
      <c r="AA15" s="199"/>
      <c r="AB15" s="199"/>
      <c r="AC15" s="128"/>
      <c r="AD15" s="128"/>
      <c r="AE15" s="128"/>
      <c r="AF15" s="128"/>
      <c r="AG15" s="128"/>
      <c r="AH15" s="128"/>
      <c r="AI15" s="128"/>
      <c r="AJ15" s="131"/>
      <c r="AK15" s="128"/>
      <c r="AL15" s="131"/>
      <c r="AM15" s="131"/>
      <c r="AN15" s="131"/>
      <c r="AO15" s="131"/>
      <c r="AP15" s="131"/>
      <c r="AQ15" s="131"/>
      <c r="AR15" s="128"/>
      <c r="AS15" s="131"/>
      <c r="AT15" s="131"/>
      <c r="AU15" s="131"/>
      <c r="AV15" s="131"/>
      <c r="AW15" s="131"/>
      <c r="AX15" s="131"/>
      <c r="AY15" s="199"/>
      <c r="AZ15" s="131"/>
      <c r="BA15" s="131"/>
      <c r="BB15" s="131"/>
      <c r="BC15" s="131"/>
      <c r="BD15" s="131"/>
      <c r="BE15" s="131"/>
      <c r="BF15" s="131"/>
      <c r="BG15" s="131"/>
      <c r="BH15" s="131"/>
      <c r="BI15" s="131"/>
      <c r="BJ15" s="131"/>
      <c r="BK15" s="131"/>
      <c r="BL15" s="131"/>
      <c r="BM15" s="128"/>
      <c r="BN15" s="131"/>
      <c r="BO15" s="131"/>
      <c r="BP15" s="131"/>
      <c r="BQ15" s="131"/>
      <c r="BR15" s="131"/>
      <c r="BS15" s="131"/>
      <c r="BT15" s="128"/>
      <c r="BU15" s="131"/>
      <c r="BV15" s="131"/>
      <c r="BW15" s="131"/>
      <c r="BX15" s="131"/>
      <c r="BY15" s="131"/>
    </row>
    <row r="16" customFormat="false" ht="12.8" hidden="false" customHeight="false" outlineLevel="0" collapsed="false">
      <c r="A16" s="16" t="s">
        <v>53</v>
      </c>
      <c r="B16" s="17" t="s">
        <v>113</v>
      </c>
      <c r="C16" s="16" t="s">
        <v>223</v>
      </c>
      <c r="D16" s="17" t="s">
        <v>225</v>
      </c>
      <c r="E16" s="130" t="s">
        <v>87</v>
      </c>
      <c r="F16" s="16" t="s">
        <v>126</v>
      </c>
      <c r="G16" s="17" t="s">
        <v>1141</v>
      </c>
      <c r="H16" s="150"/>
      <c r="I16" s="128" t="n">
        <v>5500</v>
      </c>
      <c r="J16" s="18" t="n">
        <v>2</v>
      </c>
      <c r="K16" s="203" t="n">
        <f aca="false">IF(T16,1,0)+IF(AA16,1,0)+AD16+AK16+AR16+AY16+BF16+BM16+BT16</f>
        <v>0</v>
      </c>
      <c r="L16" s="57"/>
      <c r="M16" s="57"/>
      <c r="N16" s="57"/>
      <c r="O16" s="57"/>
      <c r="P16" s="57" t="n">
        <v>0.3</v>
      </c>
      <c r="Q16" s="57" t="n">
        <v>0.3</v>
      </c>
      <c r="R16" s="57"/>
      <c r="S16" s="131"/>
      <c r="T16" s="128"/>
      <c r="U16" s="128"/>
      <c r="V16" s="128"/>
      <c r="W16" s="128"/>
      <c r="X16" s="128"/>
      <c r="Y16" s="199"/>
      <c r="Z16" s="21" t="s">
        <v>687</v>
      </c>
      <c r="AA16" s="128" t="n">
        <v>8</v>
      </c>
      <c r="AB16" s="148" t="s">
        <v>688</v>
      </c>
      <c r="AC16" s="128"/>
      <c r="AD16" s="128"/>
      <c r="AE16" s="128"/>
      <c r="AF16" s="128"/>
      <c r="AG16" s="128"/>
      <c r="AH16" s="128"/>
      <c r="AI16" s="128"/>
      <c r="AJ16" s="131"/>
      <c r="AK16" s="128"/>
      <c r="AL16" s="131"/>
      <c r="AM16" s="131"/>
      <c r="AN16" s="131"/>
      <c r="AO16" s="131"/>
      <c r="AP16" s="131"/>
      <c r="AQ16" s="131"/>
      <c r="AR16" s="128"/>
      <c r="AS16" s="131"/>
      <c r="AT16" s="131"/>
      <c r="AU16" s="131"/>
      <c r="AV16" s="131"/>
      <c r="AW16" s="131"/>
      <c r="AX16" s="131"/>
      <c r="AY16" s="199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1"/>
      <c r="BK16" s="131"/>
      <c r="BL16" s="131"/>
      <c r="BM16" s="128"/>
      <c r="BN16" s="131"/>
      <c r="BO16" s="131"/>
      <c r="BP16" s="131"/>
      <c r="BQ16" s="131"/>
      <c r="BR16" s="131"/>
      <c r="BS16" s="128" t="n">
        <v>8</v>
      </c>
      <c r="BT16" s="128" t="n">
        <v>1</v>
      </c>
      <c r="BU16" s="131" t="s">
        <v>451</v>
      </c>
      <c r="BV16" s="131" t="s">
        <v>410</v>
      </c>
      <c r="BW16" s="131" t="s">
        <v>573</v>
      </c>
      <c r="BX16" s="131" t="s">
        <v>574</v>
      </c>
      <c r="BY16" s="131" t="s">
        <v>378</v>
      </c>
    </row>
    <row r="17" customFormat="false" ht="12.8" hidden="false" customHeight="false" outlineLevel="0" collapsed="false">
      <c r="A17" s="16" t="s">
        <v>258</v>
      </c>
      <c r="B17" s="17" t="s">
        <v>81</v>
      </c>
      <c r="C17" s="16" t="s">
        <v>288</v>
      </c>
      <c r="D17" s="16" t="s">
        <v>289</v>
      </c>
      <c r="E17" s="156" t="s">
        <v>89</v>
      </c>
      <c r="F17" s="16" t="s">
        <v>148</v>
      </c>
      <c r="G17" s="17" t="s">
        <v>1139</v>
      </c>
      <c r="H17" s="150"/>
      <c r="I17" s="128" t="n">
        <v>7000</v>
      </c>
      <c r="J17" s="18" t="n">
        <v>1</v>
      </c>
      <c r="K17" s="203" t="n">
        <f aca="false">IF(T17,1,0)+IF(AA17,1,0)+AD17+AK17+AR17+AY17+BF17+BM17+BT17</f>
        <v>0</v>
      </c>
      <c r="L17" s="57"/>
      <c r="M17" s="57" t="n">
        <v>-0.3</v>
      </c>
      <c r="N17" s="57"/>
      <c r="O17" s="57"/>
      <c r="P17" s="57"/>
      <c r="Q17" s="57"/>
      <c r="R17" s="57"/>
      <c r="S17" s="23" t="s">
        <v>1142</v>
      </c>
      <c r="T17" s="128" t="n">
        <v>12</v>
      </c>
      <c r="U17" s="21" t="s">
        <v>1143</v>
      </c>
      <c r="V17" s="128"/>
      <c r="W17" s="128"/>
      <c r="X17" s="128"/>
      <c r="Y17" s="199" t="s">
        <v>1144</v>
      </c>
      <c r="Z17" s="128"/>
      <c r="AA17" s="128"/>
      <c r="AB17" s="150"/>
      <c r="AC17" s="128"/>
      <c r="AD17" s="128"/>
      <c r="AE17" s="128"/>
      <c r="AF17" s="128"/>
      <c r="AG17" s="128"/>
      <c r="AH17" s="128"/>
      <c r="AI17" s="128"/>
      <c r="AJ17" s="131"/>
      <c r="AK17" s="128"/>
      <c r="AL17" s="131"/>
      <c r="AM17" s="131"/>
      <c r="AN17" s="131"/>
      <c r="AO17" s="131"/>
      <c r="AP17" s="131"/>
      <c r="AQ17" s="131"/>
      <c r="AR17" s="128"/>
      <c r="AS17" s="131"/>
      <c r="AT17" s="131"/>
      <c r="AU17" s="131"/>
      <c r="AV17" s="131"/>
      <c r="AW17" s="131"/>
      <c r="AX17" s="131"/>
      <c r="AY17" s="199"/>
      <c r="AZ17" s="131"/>
      <c r="BA17" s="131"/>
      <c r="BB17" s="131"/>
      <c r="BC17" s="131"/>
      <c r="BD17" s="131"/>
      <c r="BE17" s="131"/>
      <c r="BF17" s="131"/>
      <c r="BG17" s="131"/>
      <c r="BH17" s="131"/>
      <c r="BI17" s="131"/>
      <c r="BJ17" s="131"/>
      <c r="BK17" s="131"/>
      <c r="BL17" s="131"/>
      <c r="BM17" s="128"/>
      <c r="BN17" s="131"/>
      <c r="BO17" s="131"/>
      <c r="BP17" s="131"/>
      <c r="BQ17" s="131"/>
      <c r="BR17" s="131"/>
      <c r="BS17" s="128"/>
      <c r="BT17" s="128"/>
      <c r="BU17" s="131"/>
      <c r="BV17" s="131"/>
      <c r="BW17" s="131"/>
      <c r="BX17" s="131"/>
      <c r="BY17" s="131"/>
    </row>
    <row r="20" customFormat="false" ht="12.8" hidden="false" customHeight="false" outlineLevel="0" collapsed="false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</row>
  </sheetData>
  <mergeCells count="26">
    <mergeCell ref="L2:R2"/>
    <mergeCell ref="S2:Y2"/>
    <mergeCell ref="AC2:AI2"/>
    <mergeCell ref="AJ2:AP2"/>
    <mergeCell ref="AQ2:AW2"/>
    <mergeCell ref="AX2:BD2"/>
    <mergeCell ref="BE2:BK2"/>
    <mergeCell ref="BL2:BR2"/>
    <mergeCell ref="BS2:BY2"/>
    <mergeCell ref="O3:Q3"/>
    <mergeCell ref="V3:X3"/>
    <mergeCell ref="Z3:AB3"/>
    <mergeCell ref="AC3:AD3"/>
    <mergeCell ref="AE3:AI3"/>
    <mergeCell ref="AJ3:AK3"/>
    <mergeCell ref="AL3:AP3"/>
    <mergeCell ref="AQ3:AR3"/>
    <mergeCell ref="AS3:AW3"/>
    <mergeCell ref="AX3:AY3"/>
    <mergeCell ref="AZ3:BD3"/>
    <mergeCell ref="BE3:BF3"/>
    <mergeCell ref="BG3:BK3"/>
    <mergeCell ref="BL3:BM3"/>
    <mergeCell ref="BN3:BR3"/>
    <mergeCell ref="BS3:BT3"/>
    <mergeCell ref="BU3:BY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10.73046875" defaultRowHeight="12.8" zeroHeight="false" outlineLevelRow="0" outlineLevelCol="0"/>
  <cols>
    <col collapsed="false" customWidth="true" hidden="false" outlineLevel="0" max="1" min="1" style="0" width="10.08"/>
    <col collapsed="false" customWidth="true" hidden="false" outlineLevel="0" max="2" min="2" style="0" width="12.6"/>
    <col collapsed="false" customWidth="true" hidden="false" outlineLevel="0" max="3" min="3" style="0" width="10.08"/>
    <col collapsed="false" customWidth="true" hidden="false" outlineLevel="0" max="4" min="4" style="0" width="21.43"/>
    <col collapsed="false" customWidth="true" hidden="false" outlineLevel="0" max="5" min="5" style="0" width="12.6"/>
    <col collapsed="false" customWidth="true" hidden="false" outlineLevel="0" max="6" min="6" style="0" width="15.12"/>
    <col collapsed="false" customWidth="true" hidden="false" outlineLevel="0" max="7" min="7" style="0" width="18.9"/>
    <col collapsed="false" customWidth="true" hidden="false" outlineLevel="0" max="8" min="8" style="0" width="12.6"/>
    <col collapsed="false" customWidth="true" hidden="false" outlineLevel="0" max="9" min="9" style="0" width="17.64"/>
    <col collapsed="false" customWidth="true" hidden="false" outlineLevel="0" max="11" min="10" style="0" width="12.6"/>
    <col collapsed="false" customWidth="true" hidden="false" outlineLevel="0" max="13" min="12" style="0" width="10.08"/>
    <col collapsed="false" customWidth="true" hidden="false" outlineLevel="0" max="15" min="14" style="0" width="12.6"/>
    <col collapsed="false" customWidth="true" hidden="false" outlineLevel="0" max="16" min="16" style="0" width="10.08"/>
    <col collapsed="false" customWidth="true" hidden="false" outlineLevel="0" max="17" min="17" style="0" width="12.6"/>
    <col collapsed="false" customWidth="true" hidden="false" outlineLevel="0" max="18" min="18" style="0" width="25.21"/>
    <col collapsed="false" customWidth="true" hidden="false" outlineLevel="0" max="20" min="19" style="0" width="15.12"/>
    <col collapsed="false" customWidth="true" hidden="false" outlineLevel="0" max="21" min="21" style="0" width="10.08"/>
    <col collapsed="false" customWidth="true" hidden="false" outlineLevel="0" max="26" min="22" style="0" width="11.34"/>
    <col collapsed="false" customWidth="true" hidden="false" outlineLevel="0" max="27" min="27" style="0" width="15.12"/>
    <col collapsed="false" customWidth="true" hidden="false" outlineLevel="0" max="28" min="28" style="0" width="10.08"/>
    <col collapsed="false" customWidth="true" hidden="false" outlineLevel="0" max="33" min="29" style="0" width="11.34"/>
    <col collapsed="false" customWidth="true" hidden="false" outlineLevel="0" max="34" min="34" style="0" width="15.12"/>
    <col collapsed="false" customWidth="true" hidden="false" outlineLevel="0" max="35" min="35" style="0" width="10.08"/>
    <col collapsed="false" customWidth="true" hidden="false" outlineLevel="0" max="36" min="36" style="0" width="23.95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4"/>
      <c r="U1" s="6"/>
      <c r="V1" s="6"/>
      <c r="W1" s="6"/>
      <c r="X1" s="6"/>
      <c r="Y1" s="6"/>
      <c r="Z1" s="6"/>
      <c r="AA1" s="4"/>
      <c r="AB1" s="4"/>
      <c r="AC1" s="4"/>
      <c r="AD1" s="6"/>
      <c r="AE1" s="6"/>
      <c r="AF1" s="6"/>
      <c r="AG1" s="4"/>
      <c r="AH1" s="4"/>
      <c r="AI1" s="4"/>
      <c r="AJ1" s="4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10" t="s">
        <v>1145</v>
      </c>
      <c r="U2" s="10"/>
      <c r="V2" s="10"/>
      <c r="W2" s="10"/>
      <c r="X2" s="10"/>
      <c r="Y2" s="10"/>
      <c r="Z2" s="10"/>
      <c r="AA2" s="9" t="s">
        <v>1146</v>
      </c>
      <c r="AB2" s="9"/>
      <c r="AC2" s="9"/>
      <c r="AD2" s="9"/>
      <c r="AE2" s="9"/>
      <c r="AF2" s="9"/>
      <c r="AG2" s="9"/>
      <c r="AH2" s="10" t="s">
        <v>1147</v>
      </c>
      <c r="AI2" s="10"/>
      <c r="AJ2" s="10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221"/>
      <c r="H3" s="221"/>
      <c r="I3" s="221"/>
      <c r="J3" s="221"/>
      <c r="K3" s="221"/>
      <c r="L3" s="10" t="s">
        <v>41</v>
      </c>
      <c r="M3" s="10"/>
      <c r="N3" s="10"/>
      <c r="O3" s="10"/>
      <c r="P3" s="10"/>
      <c r="Q3" s="221"/>
      <c r="R3" s="221"/>
      <c r="S3" s="221"/>
      <c r="T3" s="222" t="s">
        <v>355</v>
      </c>
      <c r="U3" s="222"/>
      <c r="V3" s="222" t="s">
        <v>356</v>
      </c>
      <c r="W3" s="222"/>
      <c r="X3" s="222"/>
      <c r="Y3" s="222"/>
      <c r="Z3" s="222"/>
      <c r="AA3" s="222" t="s">
        <v>355</v>
      </c>
      <c r="AB3" s="222"/>
      <c r="AC3" s="223" t="s">
        <v>356</v>
      </c>
      <c r="AD3" s="223"/>
      <c r="AE3" s="223"/>
      <c r="AF3" s="223"/>
      <c r="AG3" s="223"/>
      <c r="AH3" s="222" t="s">
        <v>355</v>
      </c>
      <c r="AI3" s="222"/>
      <c r="AJ3" s="222" t="s">
        <v>356</v>
      </c>
    </row>
    <row r="4" customFormat="false" ht="12.8" hidden="false" customHeight="false" outlineLevel="0" collapsed="false">
      <c r="A4" s="16" t="s">
        <v>12</v>
      </c>
      <c r="B4" s="16" t="s">
        <v>13</v>
      </c>
      <c r="C4" s="16" t="s">
        <v>14</v>
      </c>
      <c r="D4" s="16" t="s">
        <v>15</v>
      </c>
      <c r="E4" s="16" t="s">
        <v>16</v>
      </c>
      <c r="F4" s="16" t="s">
        <v>17</v>
      </c>
      <c r="G4" s="21" t="s">
        <v>357</v>
      </c>
      <c r="H4" s="148" t="s">
        <v>540</v>
      </c>
      <c r="I4" s="21" t="s">
        <v>358</v>
      </c>
      <c r="J4" s="21" t="s">
        <v>359</v>
      </c>
      <c r="K4" s="21" t="s">
        <v>360</v>
      </c>
      <c r="L4" s="20" t="s">
        <v>1148</v>
      </c>
      <c r="M4" s="20" t="s">
        <v>1149</v>
      </c>
      <c r="N4" s="20" t="s">
        <v>1150</v>
      </c>
      <c r="O4" s="20" t="s">
        <v>1151</v>
      </c>
      <c r="P4" s="20" t="s">
        <v>1152</v>
      </c>
      <c r="Q4" s="21" t="s">
        <v>1153</v>
      </c>
      <c r="R4" s="21" t="s">
        <v>1154</v>
      </c>
      <c r="S4" s="21" t="s">
        <v>1155</v>
      </c>
      <c r="T4" s="151" t="s">
        <v>369</v>
      </c>
      <c r="U4" s="21" t="s">
        <v>370</v>
      </c>
      <c r="V4" s="128" t="s">
        <v>371</v>
      </c>
      <c r="W4" s="128" t="s">
        <v>372</v>
      </c>
      <c r="X4" s="128" t="s">
        <v>373</v>
      </c>
      <c r="Y4" s="128" t="s">
        <v>374</v>
      </c>
      <c r="Z4" s="128" t="s">
        <v>439</v>
      </c>
      <c r="AA4" s="17" t="s">
        <v>369</v>
      </c>
      <c r="AB4" s="21" t="s">
        <v>370</v>
      </c>
      <c r="AC4" s="128" t="s">
        <v>371</v>
      </c>
      <c r="AD4" s="128" t="s">
        <v>372</v>
      </c>
      <c r="AE4" s="128" t="s">
        <v>373</v>
      </c>
      <c r="AF4" s="128" t="s">
        <v>374</v>
      </c>
      <c r="AG4" s="128" t="s">
        <v>439</v>
      </c>
      <c r="AH4" s="17" t="s">
        <v>369</v>
      </c>
      <c r="AI4" s="21" t="s">
        <v>370</v>
      </c>
      <c r="AJ4" s="128" t="s">
        <v>371</v>
      </c>
    </row>
    <row r="5" customFormat="false" ht="12.8" hidden="false" customHeight="false" outlineLevel="0" collapsed="false">
      <c r="A5" s="16" t="s">
        <v>52</v>
      </c>
      <c r="B5" s="17" t="s">
        <v>93</v>
      </c>
      <c r="C5" s="156" t="s">
        <v>195</v>
      </c>
      <c r="D5" s="16" t="s">
        <v>196</v>
      </c>
      <c r="E5" s="130" t="s">
        <v>89</v>
      </c>
      <c r="F5" s="17" t="s">
        <v>197</v>
      </c>
      <c r="G5" s="21" t="s">
        <v>1156</v>
      </c>
      <c r="H5" s="148" t="s">
        <v>92</v>
      </c>
      <c r="I5" s="128" t="n">
        <v>1500</v>
      </c>
      <c r="J5" s="18" t="n">
        <v>4</v>
      </c>
      <c r="K5" s="18" t="n">
        <f aca="false">U5+AB5+AI5</f>
        <v>0</v>
      </c>
      <c r="L5" s="128" t="n">
        <v>1500</v>
      </c>
      <c r="M5" s="128" t="n">
        <v>1500</v>
      </c>
      <c r="N5" s="128" t="n">
        <v>1</v>
      </c>
      <c r="O5" s="128" t="n">
        <f aca="false">M5*N5</f>
        <v>0</v>
      </c>
      <c r="P5" s="128" t="n">
        <f aca="false">L5-O5</f>
        <v>0</v>
      </c>
      <c r="Q5" s="128" t="n">
        <v>300</v>
      </c>
      <c r="R5" s="128" t="n">
        <v>10000</v>
      </c>
      <c r="S5" s="128" t="n">
        <v>2</v>
      </c>
      <c r="T5" s="128" t="n">
        <v>9</v>
      </c>
      <c r="U5" s="128" t="n">
        <v>3</v>
      </c>
      <c r="V5" s="131" t="s">
        <v>1157</v>
      </c>
      <c r="W5" s="131"/>
      <c r="X5" s="131"/>
      <c r="Y5" s="131"/>
      <c r="Z5" s="131"/>
      <c r="AA5" s="131"/>
      <c r="AB5" s="128"/>
      <c r="AC5" s="131"/>
      <c r="AD5" s="131"/>
      <c r="AE5" s="131"/>
      <c r="AF5" s="131"/>
      <c r="AG5" s="131"/>
      <c r="AH5" s="128" t="n">
        <v>9</v>
      </c>
      <c r="AI5" s="128" t="n">
        <v>2</v>
      </c>
      <c r="AJ5" s="131" t="s">
        <v>1158</v>
      </c>
    </row>
    <row r="6" customFormat="false" ht="12.8" hidden="false" customHeight="false" outlineLevel="0" collapsed="false">
      <c r="A6" s="16" t="s">
        <v>53</v>
      </c>
      <c r="B6" s="17" t="s">
        <v>93</v>
      </c>
      <c r="C6" s="156" t="s">
        <v>256</v>
      </c>
      <c r="D6" s="16" t="s">
        <v>257</v>
      </c>
      <c r="E6" s="130" t="s">
        <v>89</v>
      </c>
      <c r="F6" s="17" t="s">
        <v>197</v>
      </c>
      <c r="G6" s="21" t="s">
        <v>1156</v>
      </c>
      <c r="H6" s="148" t="s">
        <v>92</v>
      </c>
      <c r="I6" s="128" t="n">
        <v>3000</v>
      </c>
      <c r="J6" s="18" t="n">
        <v>5</v>
      </c>
      <c r="K6" s="18" t="n">
        <f aca="false">U6+AB6+AI6</f>
        <v>0</v>
      </c>
      <c r="L6" s="128" t="n">
        <v>8000</v>
      </c>
      <c r="M6" s="128" t="n">
        <v>8000</v>
      </c>
      <c r="N6" s="128" t="n">
        <v>1</v>
      </c>
      <c r="O6" s="128" t="n">
        <f aca="false">M6*N6</f>
        <v>0</v>
      </c>
      <c r="P6" s="128" t="n">
        <f aca="false">L6-O6</f>
        <v>0</v>
      </c>
      <c r="Q6" s="128" t="n">
        <v>1000</v>
      </c>
      <c r="R6" s="128" t="n">
        <v>34000</v>
      </c>
      <c r="S6" s="128" t="n">
        <v>4</v>
      </c>
      <c r="T6" s="128" t="n">
        <v>8</v>
      </c>
      <c r="U6" s="128" t="n">
        <v>4</v>
      </c>
      <c r="V6" s="131" t="s">
        <v>1157</v>
      </c>
      <c r="W6" s="131"/>
      <c r="X6" s="131"/>
      <c r="Y6" s="131"/>
      <c r="Z6" s="131"/>
      <c r="AA6" s="131"/>
      <c r="AB6" s="128"/>
      <c r="AC6" s="131"/>
      <c r="AD6" s="131"/>
      <c r="AE6" s="131"/>
      <c r="AF6" s="131"/>
      <c r="AG6" s="131"/>
      <c r="AH6" s="128" t="n">
        <v>8</v>
      </c>
      <c r="AI6" s="128" t="n">
        <v>3</v>
      </c>
      <c r="AJ6" s="131" t="s">
        <v>1159</v>
      </c>
    </row>
    <row r="7" customFormat="false" ht="12.8" hidden="false" customHeight="false" outlineLevel="0" collapsed="false">
      <c r="A7" s="16" t="s">
        <v>258</v>
      </c>
      <c r="B7" s="17" t="s">
        <v>93</v>
      </c>
      <c r="C7" s="156" t="s">
        <v>306</v>
      </c>
      <c r="D7" s="16" t="s">
        <v>307</v>
      </c>
      <c r="E7" s="130" t="s">
        <v>89</v>
      </c>
      <c r="F7" s="17" t="s">
        <v>197</v>
      </c>
      <c r="G7" s="21" t="s">
        <v>1156</v>
      </c>
      <c r="H7" s="148" t="s">
        <v>92</v>
      </c>
      <c r="I7" s="128" t="n">
        <v>6500</v>
      </c>
      <c r="J7" s="18" t="n">
        <v>5</v>
      </c>
      <c r="K7" s="18" t="n">
        <f aca="false">U7+AB7+AI7</f>
        <v>0</v>
      </c>
      <c r="L7" s="128" t="n">
        <v>95000</v>
      </c>
      <c r="M7" s="128" t="n">
        <v>95000</v>
      </c>
      <c r="N7" s="128" t="n">
        <v>1</v>
      </c>
      <c r="O7" s="128" t="n">
        <f aca="false">M7*N7</f>
        <v>0</v>
      </c>
      <c r="P7" s="128" t="n">
        <f aca="false">L7-O7</f>
        <v>0</v>
      </c>
      <c r="Q7" s="128" t="n">
        <v>3500</v>
      </c>
      <c r="R7" s="128" t="n">
        <v>80000</v>
      </c>
      <c r="S7" s="128" t="n">
        <v>6</v>
      </c>
      <c r="T7" s="128" t="n">
        <v>8</v>
      </c>
      <c r="U7" s="128" t="n">
        <v>4</v>
      </c>
      <c r="V7" s="131" t="s">
        <v>1160</v>
      </c>
      <c r="W7" s="131"/>
      <c r="X7" s="131"/>
      <c r="Y7" s="131"/>
      <c r="Z7" s="131"/>
      <c r="AA7" s="131"/>
      <c r="AB7" s="128"/>
      <c r="AC7" s="131"/>
      <c r="AD7" s="131"/>
      <c r="AE7" s="131"/>
      <c r="AF7" s="131"/>
      <c r="AG7" s="131"/>
      <c r="AH7" s="128" t="n">
        <v>8</v>
      </c>
      <c r="AI7" s="128" t="n">
        <v>3</v>
      </c>
      <c r="AJ7" s="131" t="s">
        <v>1159</v>
      </c>
    </row>
    <row r="8" customFormat="false" ht="12.8" hidden="false" customHeight="false" outlineLevel="0" collapsed="false">
      <c r="A8" s="16" t="s">
        <v>53</v>
      </c>
      <c r="B8" s="17" t="s">
        <v>93</v>
      </c>
      <c r="C8" s="130" t="s">
        <v>250</v>
      </c>
      <c r="D8" s="17" t="s">
        <v>251</v>
      </c>
      <c r="E8" s="156" t="s">
        <v>89</v>
      </c>
      <c r="F8" s="16" t="s">
        <v>148</v>
      </c>
      <c r="G8" s="52"/>
      <c r="H8" s="150"/>
      <c r="I8" s="128" t="n">
        <v>5500</v>
      </c>
      <c r="J8" s="18" t="n">
        <v>2</v>
      </c>
      <c r="K8" s="18" t="n">
        <f aca="false">U8+AB8+AI8</f>
        <v>0</v>
      </c>
      <c r="L8" s="128" t="n">
        <v>18000</v>
      </c>
      <c r="M8" s="128" t="n">
        <v>1500</v>
      </c>
      <c r="N8" s="128" t="n">
        <v>4</v>
      </c>
      <c r="O8" s="128" t="n">
        <f aca="false">M8*N8</f>
        <v>0</v>
      </c>
      <c r="P8" s="128" t="n">
        <f aca="false">L8-O8</f>
        <v>0</v>
      </c>
      <c r="Q8" s="52"/>
      <c r="R8" s="52"/>
      <c r="S8" s="52"/>
      <c r="T8" s="52"/>
      <c r="U8" s="52"/>
      <c r="V8" s="52"/>
      <c r="W8" s="52"/>
      <c r="X8" s="52"/>
      <c r="Y8" s="52"/>
      <c r="Z8" s="52"/>
      <c r="AA8" s="128" t="n">
        <v>6</v>
      </c>
      <c r="AB8" s="128" t="n">
        <v>2</v>
      </c>
      <c r="AC8" s="131" t="s">
        <v>410</v>
      </c>
      <c r="AD8" s="131" t="s">
        <v>453</v>
      </c>
      <c r="AE8" s="131" t="s">
        <v>489</v>
      </c>
      <c r="AF8" s="131" t="s">
        <v>447</v>
      </c>
      <c r="AG8" s="131" t="s">
        <v>380</v>
      </c>
      <c r="AH8" s="52"/>
      <c r="AI8" s="52"/>
      <c r="AJ8" s="52"/>
    </row>
    <row r="9" customFormat="false" ht="12.8" hidden="false" customHeight="false" outlineLevel="0" collapsed="false">
      <c r="A9" s="16" t="s">
        <v>53</v>
      </c>
      <c r="B9" s="17" t="s">
        <v>93</v>
      </c>
      <c r="C9" s="156" t="s">
        <v>250</v>
      </c>
      <c r="D9" s="17" t="s">
        <v>252</v>
      </c>
      <c r="E9" s="130" t="s">
        <v>87</v>
      </c>
      <c r="F9" s="17" t="s">
        <v>126</v>
      </c>
      <c r="G9" s="52"/>
      <c r="H9" s="52"/>
      <c r="I9" s="128" t="n">
        <v>5500</v>
      </c>
      <c r="J9" s="18" t="n">
        <v>1</v>
      </c>
      <c r="K9" s="18" t="n">
        <f aca="false">U9+AB9+AI9</f>
        <v>0</v>
      </c>
      <c r="L9" s="128" t="n">
        <v>13000</v>
      </c>
      <c r="M9" s="128" t="n">
        <v>1500</v>
      </c>
      <c r="N9" s="128" t="n">
        <v>2</v>
      </c>
      <c r="O9" s="128" t="n">
        <f aca="false">M9*N9</f>
        <v>0</v>
      </c>
      <c r="P9" s="128" t="n">
        <f aca="false">L9-O9</f>
        <v>0</v>
      </c>
      <c r="Q9" s="52"/>
      <c r="R9" s="52"/>
      <c r="S9" s="52"/>
      <c r="T9" s="52"/>
      <c r="U9" s="52"/>
      <c r="V9" s="52"/>
      <c r="W9" s="52"/>
      <c r="X9" s="52"/>
      <c r="Y9" s="52"/>
      <c r="Z9" s="52"/>
      <c r="AA9" s="128" t="n">
        <v>6</v>
      </c>
      <c r="AB9" s="128" t="n">
        <v>1</v>
      </c>
      <c r="AC9" s="131" t="s">
        <v>410</v>
      </c>
      <c r="AD9" s="131" t="s">
        <v>453</v>
      </c>
      <c r="AE9" s="131" t="s">
        <v>489</v>
      </c>
      <c r="AF9" s="131" t="s">
        <v>447</v>
      </c>
      <c r="AG9" s="131" t="s">
        <v>380</v>
      </c>
      <c r="AH9" s="52"/>
      <c r="AI9" s="52"/>
      <c r="AJ9" s="52"/>
    </row>
    <row r="10" customFormat="false" ht="12.8" hidden="false" customHeight="false" outlineLevel="0" collapsed="false">
      <c r="A10" s="16" t="s">
        <v>53</v>
      </c>
      <c r="B10" s="17" t="s">
        <v>93</v>
      </c>
      <c r="C10" s="156" t="s">
        <v>250</v>
      </c>
      <c r="D10" s="16" t="s">
        <v>254</v>
      </c>
      <c r="E10" s="156" t="s">
        <v>255</v>
      </c>
      <c r="F10" s="16" t="s">
        <v>237</v>
      </c>
      <c r="G10" s="52"/>
      <c r="H10" s="52"/>
      <c r="I10" s="128" t="n">
        <v>5500</v>
      </c>
      <c r="J10" s="18" t="n">
        <v>1</v>
      </c>
      <c r="K10" s="18" t="n">
        <f aca="false">U10+AB10+AI10</f>
        <v>0</v>
      </c>
      <c r="L10" s="128" t="n">
        <v>11500</v>
      </c>
      <c r="M10" s="128" t="n">
        <v>1500</v>
      </c>
      <c r="N10" s="128" t="n">
        <v>2</v>
      </c>
      <c r="O10" s="128" t="n">
        <f aca="false">M10*N10</f>
        <v>0</v>
      </c>
      <c r="P10" s="128" t="n">
        <f aca="false">L10-O10</f>
        <v>0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128" t="n">
        <v>6</v>
      </c>
      <c r="AB10" s="128" t="n">
        <v>1</v>
      </c>
      <c r="AC10" s="131" t="s">
        <v>410</v>
      </c>
      <c r="AD10" s="131" t="s">
        <v>453</v>
      </c>
      <c r="AE10" s="131" t="s">
        <v>489</v>
      </c>
      <c r="AF10" s="131" t="s">
        <v>447</v>
      </c>
      <c r="AG10" s="131" t="s">
        <v>380</v>
      </c>
      <c r="AH10" s="52"/>
      <c r="AI10" s="52"/>
      <c r="AJ10" s="52"/>
    </row>
    <row r="11" customFormat="false" ht="12.8" hidden="false" customHeight="false" outlineLevel="0" collapsed="false">
      <c r="A11" s="16" t="s">
        <v>258</v>
      </c>
      <c r="B11" s="17" t="s">
        <v>113</v>
      </c>
      <c r="C11" s="16" t="s">
        <v>272</v>
      </c>
      <c r="D11" s="16" t="s">
        <v>273</v>
      </c>
      <c r="E11" s="156" t="s">
        <v>89</v>
      </c>
      <c r="F11" s="16" t="s">
        <v>148</v>
      </c>
      <c r="G11" s="52"/>
      <c r="H11" s="148" t="s">
        <v>92</v>
      </c>
      <c r="I11" s="128" t="n">
        <v>7000</v>
      </c>
      <c r="J11" s="18" t="n">
        <v>2</v>
      </c>
      <c r="K11" s="18" t="n">
        <f aca="false">U11+AB11+AI11</f>
        <v>0</v>
      </c>
      <c r="L11" s="128" t="n">
        <v>36000</v>
      </c>
      <c r="M11" s="128" t="n">
        <v>8000</v>
      </c>
      <c r="N11" s="128" t="n">
        <v>1</v>
      </c>
      <c r="O11" s="128" t="n">
        <f aca="false">M11*N11</f>
        <v>0</v>
      </c>
      <c r="P11" s="128" t="n">
        <f aca="false">L11-O11</f>
        <v>0</v>
      </c>
      <c r="Q11" s="52"/>
      <c r="R11" s="52"/>
      <c r="S11" s="52"/>
      <c r="T11" s="128" t="n">
        <v>10</v>
      </c>
      <c r="U11" s="128" t="n">
        <v>2</v>
      </c>
      <c r="V11" s="131" t="s">
        <v>616</v>
      </c>
      <c r="W11" s="131" t="s">
        <v>617</v>
      </c>
      <c r="X11" s="131" t="s">
        <v>1161</v>
      </c>
      <c r="Y11" s="131" t="s">
        <v>1162</v>
      </c>
      <c r="Z11" s="131" t="s">
        <v>1163</v>
      </c>
      <c r="AA11" s="128" t="n">
        <v>10</v>
      </c>
      <c r="AB11" s="128" t="n">
        <v>1</v>
      </c>
      <c r="AC11" s="131" t="s">
        <v>383</v>
      </c>
      <c r="AD11" s="131" t="s">
        <v>574</v>
      </c>
      <c r="AE11" s="131" t="s">
        <v>467</v>
      </c>
      <c r="AF11" s="131" t="s">
        <v>468</v>
      </c>
      <c r="AG11" s="131" t="s">
        <v>380</v>
      </c>
      <c r="AH11" s="52"/>
      <c r="AI11" s="52"/>
      <c r="AJ11" s="52"/>
    </row>
    <row r="12" customFormat="false" ht="12.8" hidden="false" customHeight="false" outlineLevel="0" collapsed="false">
      <c r="A12" s="36" t="s">
        <v>258</v>
      </c>
      <c r="B12" s="35" t="s">
        <v>113</v>
      </c>
      <c r="C12" s="34" t="s">
        <v>268</v>
      </c>
      <c r="D12" s="35" t="s">
        <v>269</v>
      </c>
      <c r="E12" s="130" t="s">
        <v>89</v>
      </c>
      <c r="F12" s="36" t="s">
        <v>270</v>
      </c>
      <c r="G12" s="52"/>
      <c r="H12" s="150"/>
      <c r="I12" s="128" t="n">
        <v>7000</v>
      </c>
      <c r="J12" s="18" t="n">
        <v>0</v>
      </c>
      <c r="K12" s="18" t="n">
        <f aca="false">U12+AB12+AI12</f>
        <v>0</v>
      </c>
      <c r="L12" s="128" t="n">
        <v>26500</v>
      </c>
      <c r="M12" s="128" t="n">
        <v>1500</v>
      </c>
      <c r="N12" s="128" t="n">
        <v>1</v>
      </c>
      <c r="O12" s="128" t="n">
        <f aca="false">M12*N12</f>
        <v>0</v>
      </c>
      <c r="P12" s="128" t="n">
        <f aca="false">L12-O12</f>
        <v>0</v>
      </c>
      <c r="Q12" s="52"/>
      <c r="R12" s="52"/>
      <c r="S12" s="52"/>
      <c r="T12" s="128"/>
      <c r="U12" s="128"/>
      <c r="V12" s="131"/>
      <c r="W12" s="131"/>
      <c r="X12" s="131"/>
      <c r="Y12" s="131"/>
      <c r="Z12" s="131"/>
      <c r="AA12" s="128"/>
      <c r="AB12" s="128"/>
      <c r="AC12" s="131"/>
      <c r="AD12" s="131"/>
      <c r="AE12" s="131"/>
      <c r="AF12" s="131"/>
      <c r="AG12" s="131"/>
      <c r="AH12" s="52"/>
      <c r="AI12" s="52"/>
      <c r="AJ12" s="52"/>
    </row>
    <row r="13" customFormat="false" ht="12.8" hidden="false" customHeight="false" outlineLevel="0" collapsed="false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</row>
    <row r="14" customFormat="false" ht="12.8" hidden="false" customHeight="false" outlineLevel="0" collapsed="false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</row>
    <row r="15" customFormat="false" ht="12.8" hidden="false" customHeight="false" outlineLevel="0" collapsed="false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</row>
    <row r="16" customFormat="false" ht="12.8" hidden="false" customHeight="false" outlineLevel="0" collapsed="false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customFormat="false" ht="12.8" hidden="false" customHeight="false" outlineLevel="0" collapsed="false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</row>
    <row r="18" customFormat="false" ht="12.8" hidden="false" customHeight="false" outlineLevel="0" collapsed="false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</row>
    <row r="19" customFormat="false" ht="12.8" hidden="false" customHeight="false" outlineLevel="0" collapsed="false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</row>
    <row r="20" customFormat="false" ht="12.8" hidden="false" customHeight="false" outlineLevel="0" collapsed="false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</row>
    <row r="21" customFormat="false" ht="12.8" hidden="false" customHeight="false" outlineLevel="0" collapsed="false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</row>
    <row r="22" customFormat="false" ht="12.8" hidden="false" customHeight="false" outlineLevel="0" collapsed="false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</row>
    <row r="23" customFormat="false" ht="12.8" hidden="false" customHeight="false" outlineLevel="0" collapsed="false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</row>
    <row r="24" customFormat="false" ht="12.8" hidden="false" customHeight="false" outlineLevel="0" collapsed="false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</row>
    <row r="25" customFormat="false" ht="12.8" hidden="false" customHeight="false" outlineLevel="0" collapsed="false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</row>
    <row r="26" customFormat="false" ht="12.8" hidden="false" customHeight="false" outlineLevel="0" collapsed="false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</row>
    <row r="27" customFormat="false" ht="12.8" hidden="false" customHeight="false" outlineLevel="0" collapsed="false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</row>
    <row r="28" customFormat="false" ht="12.8" hidden="false" customHeight="false" outlineLevel="0" collapsed="false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</row>
    <row r="29" customFormat="false" ht="12.8" hidden="false" customHeight="false" outlineLevel="0" collapsed="false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</row>
    <row r="30" customFormat="false" ht="12.8" hidden="false" customHeight="false" outlineLevel="0" collapsed="false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</row>
    <row r="31" customFormat="false" ht="12.8" hidden="false" customHeight="false" outlineLevel="0" collapsed="false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</row>
    <row r="32" customFormat="false" ht="12.8" hidden="false" customHeight="false" outlineLevel="0" collapsed="false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</row>
    <row r="33" customFormat="false" ht="12.8" hidden="false" customHeight="false" outlineLevel="0" collapsed="false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</row>
    <row r="34" customFormat="false" ht="12.8" hidden="false" customHeight="false" outlineLevel="0" collapsed="false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</row>
    <row r="35" customFormat="false" ht="12.8" hidden="false" customHeight="false" outlineLevel="0" collapsed="false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</row>
    <row r="36" customFormat="false" ht="12.8" hidden="false" customHeight="false" outlineLevel="0" collapsed="false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</row>
    <row r="37" customFormat="false" ht="12.8" hidden="false" customHeight="false" outlineLevel="0" collapsed="false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</row>
    <row r="38" customFormat="false" ht="12.8" hidden="false" customHeight="false" outlineLevel="0" collapsed="false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</row>
    <row r="39" customFormat="false" ht="12.8" hidden="false" customHeight="false" outlineLevel="0" collapsed="false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</row>
    <row r="40" customFormat="false" ht="12.8" hidden="false" customHeight="false" outlineLevel="0" collapsed="false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</row>
    <row r="41" customFormat="false" ht="12.8" hidden="false" customHeight="false" outlineLevel="0" collapsed="false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</row>
    <row r="42" customFormat="false" ht="12.8" hidden="false" customHeight="false" outlineLevel="0" collapsed="false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</row>
    <row r="43" customFormat="false" ht="12.8" hidden="false" customHeight="false" outlineLevel="0" collapsed="false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</row>
    <row r="44" customFormat="false" ht="12.8" hidden="false" customHeight="false" outlineLevel="0" collapsed="false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</row>
    <row r="45" customFormat="false" ht="12.8" hidden="false" customHeight="false" outlineLevel="0" collapsed="false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</row>
    <row r="46" customFormat="false" ht="12.8" hidden="false" customHeight="false" outlineLevel="0" collapsed="false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</row>
    <row r="47" customFormat="false" ht="12.8" hidden="false" customHeight="false" outlineLevel="0" collapsed="false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</row>
    <row r="48" customFormat="false" ht="12.8" hidden="false" customHeight="false" outlineLevel="0" collapsed="false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</row>
    <row r="49" customFormat="false" ht="12.8" hidden="false" customHeight="false" outlineLevel="0" collapsed="false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</row>
    <row r="50" customFormat="false" ht="12.8" hidden="false" customHeight="false" outlineLevel="0" collapsed="false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</row>
    <row r="51" customFormat="false" ht="12.8" hidden="false" customHeight="false" outlineLevel="0" collapsed="false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</row>
    <row r="52" customFormat="false" ht="12.8" hidden="false" customHeight="false" outlineLevel="0" collapsed="false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</row>
    <row r="53" customFormat="false" ht="12.8" hidden="false" customHeight="false" outlineLevel="0" collapsed="false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</row>
    <row r="54" customFormat="false" ht="12.8" hidden="false" customHeight="false" outlineLevel="0" collapsed="false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</row>
    <row r="55" customFormat="false" ht="12.8" hidden="false" customHeight="false" outlineLevel="0" collapsed="false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</row>
    <row r="56" customFormat="false" ht="12.8" hidden="false" customHeight="false" outlineLevel="0" collapsed="false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</row>
    <row r="57" customFormat="false" ht="12.8" hidden="false" customHeight="false" outlineLevel="0" collapsed="false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</row>
    <row r="58" customFormat="false" ht="12.8" hidden="false" customHeight="false" outlineLevel="0" collapsed="false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</row>
    <row r="59" customFormat="false" ht="12.8" hidden="false" customHeight="false" outlineLevel="0" collapsed="false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</row>
    <row r="60" customFormat="false" ht="12.8" hidden="false" customHeight="false" outlineLevel="0" collapsed="false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</row>
    <row r="61" customFormat="false" ht="12.8" hidden="false" customHeight="false" outlineLevel="0" collapsed="false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</row>
    <row r="62" customFormat="false" ht="12.8" hidden="false" customHeight="false" outlineLevel="0" collapsed="false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</row>
    <row r="63" customFormat="false" ht="12.8" hidden="false" customHeight="false" outlineLevel="0" collapsed="false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</row>
    <row r="64" customFormat="false" ht="12.8" hidden="false" customHeight="false" outlineLevel="0" collapsed="false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</row>
    <row r="65" customFormat="false" ht="12.8" hidden="false" customHeight="false" outlineLevel="0" collapsed="false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</row>
    <row r="66" customFormat="false" ht="12.8" hidden="false" customHeight="false" outlineLevel="0" collapsed="false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</row>
    <row r="67" customFormat="false" ht="12.8" hidden="false" customHeight="false" outlineLevel="0" collapsed="false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</row>
    <row r="68" customFormat="false" ht="12.8" hidden="false" customHeight="false" outlineLevel="0" collapsed="false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</row>
    <row r="69" customFormat="false" ht="12.8" hidden="false" customHeight="false" outlineLevel="0" collapsed="false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</row>
    <row r="70" customFormat="false" ht="12.8" hidden="false" customHeight="false" outlineLevel="0" collapsed="false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</row>
    <row r="71" customFormat="false" ht="12.8" hidden="false" customHeight="false" outlineLevel="0" collapsed="false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</row>
    <row r="72" customFormat="false" ht="12.8" hidden="false" customHeight="false" outlineLevel="0" collapsed="false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</row>
    <row r="73" customFormat="false" ht="12.8" hidden="false" customHeight="false" outlineLevel="0" collapsed="false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</row>
    <row r="74" customFormat="false" ht="12.8" hidden="false" customHeight="false" outlineLevel="0" collapsed="false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</row>
    <row r="75" customFormat="false" ht="12.8" hidden="false" customHeight="false" outlineLevel="0" collapsed="false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</row>
    <row r="76" customFormat="false" ht="12.8" hidden="false" customHeight="false" outlineLevel="0" collapsed="false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</row>
    <row r="77" customFormat="false" ht="12.8" hidden="false" customHeight="false" outlineLevel="0" collapsed="false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</row>
    <row r="78" customFormat="false" ht="12.8" hidden="false" customHeight="false" outlineLevel="0" collapsed="false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</row>
    <row r="79" customFormat="false" ht="12.8" hidden="false" customHeight="false" outlineLevel="0" collapsed="false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</row>
    <row r="80" customFormat="false" ht="12.8" hidden="false" customHeight="false" outlineLevel="0" collapsed="false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</row>
    <row r="81" customFormat="false" ht="12.8" hidden="false" customHeight="false" outlineLevel="0" collapsed="false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</row>
    <row r="82" customFormat="false" ht="12.8" hidden="false" customHeight="false" outlineLevel="0" collapsed="false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</row>
    <row r="83" customFormat="false" ht="12.8" hidden="false" customHeight="false" outlineLevel="0" collapsed="false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</row>
    <row r="84" customFormat="false" ht="12.8" hidden="false" customHeight="false" outlineLevel="0" collapsed="false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</row>
    <row r="85" customFormat="false" ht="12.8" hidden="false" customHeight="false" outlineLevel="0" collapsed="false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</row>
    <row r="86" customFormat="false" ht="12.8" hidden="false" customHeight="false" outlineLevel="0" collapsed="false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</row>
    <row r="87" customFormat="false" ht="12.8" hidden="false" customHeight="false" outlineLevel="0" collapsed="false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</row>
    <row r="88" customFormat="false" ht="12.8" hidden="false" customHeight="false" outlineLevel="0" collapsed="false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</row>
    <row r="89" customFormat="false" ht="12.8" hidden="false" customHeight="false" outlineLevel="0" collapsed="false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</row>
    <row r="90" customFormat="false" ht="12.8" hidden="false" customHeight="false" outlineLevel="0" collapsed="false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</row>
    <row r="91" customFormat="false" ht="12.8" hidden="false" customHeight="false" outlineLevel="0" collapsed="false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</row>
    <row r="92" customFormat="false" ht="12.8" hidden="false" customHeight="false" outlineLevel="0" collapsed="false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</row>
    <row r="93" customFormat="false" ht="12.8" hidden="false" customHeight="false" outlineLevel="0" collapsed="false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</row>
    <row r="94" customFormat="false" ht="12.8" hidden="false" customHeight="false" outlineLevel="0" collapsed="false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</row>
    <row r="95" customFormat="false" ht="12.8" hidden="false" customHeight="false" outlineLevel="0" collapsed="false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</row>
    <row r="96" customFormat="false" ht="12.8" hidden="false" customHeight="false" outlineLevel="0" collapsed="false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</row>
    <row r="97" customFormat="false" ht="12.8" hidden="false" customHeight="false" outlineLevel="0" collapsed="false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</row>
    <row r="98" customFormat="false" ht="12.8" hidden="false" customHeight="false" outlineLevel="0" collapsed="false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</row>
    <row r="99" customFormat="false" ht="12.8" hidden="false" customHeight="false" outlineLevel="0" collapsed="false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</row>
    <row r="100" customFormat="false" ht="12.8" hidden="false" customHeight="false" outlineLevel="0" collapsed="false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</row>
    <row r="101" customFormat="false" ht="12.8" hidden="false" customHeight="false" outlineLevel="0" collapsed="false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</row>
    <row r="102" customFormat="false" ht="12.8" hidden="false" customHeight="false" outlineLevel="0" collapsed="false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</row>
    <row r="103" customFormat="false" ht="12.8" hidden="false" customHeight="false" outlineLevel="0" collapsed="false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</row>
    <row r="104" customFormat="false" ht="12.8" hidden="false" customHeight="false" outlineLevel="0" collapsed="false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</row>
    <row r="105" customFormat="false" ht="12.8" hidden="false" customHeight="false" outlineLevel="0" collapsed="false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</row>
    <row r="106" customFormat="false" ht="12.8" hidden="false" customHeight="false" outlineLevel="0" collapsed="false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</row>
    <row r="107" customFormat="false" ht="12.8" hidden="false" customHeight="false" outlineLevel="0" collapsed="false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</row>
    <row r="108" customFormat="false" ht="12.8" hidden="false" customHeight="false" outlineLevel="0" collapsed="false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</row>
    <row r="109" customFormat="false" ht="12.8" hidden="false" customHeight="false" outlineLevel="0" collapsed="false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</row>
    <row r="110" customFormat="false" ht="12.8" hidden="false" customHeight="false" outlineLevel="0" collapsed="false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</row>
    <row r="111" customFormat="false" ht="12.8" hidden="false" customHeight="false" outlineLevel="0" collapsed="false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</row>
    <row r="112" customFormat="false" ht="12.8" hidden="false" customHeight="false" outlineLevel="0" collapsed="false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</row>
    <row r="113" customFormat="false" ht="12.8" hidden="false" customHeight="false" outlineLevel="0" collapsed="false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</row>
    <row r="114" customFormat="false" ht="12.8" hidden="false" customHeight="false" outlineLevel="0" collapsed="false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</row>
    <row r="115" customFormat="false" ht="12.8" hidden="false" customHeight="false" outlineLevel="0" collapsed="false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</row>
    <row r="116" customFormat="false" ht="12.8" hidden="false" customHeight="false" outlineLevel="0" collapsed="false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</row>
    <row r="117" customFormat="false" ht="12.8" hidden="false" customHeight="false" outlineLevel="0" collapsed="false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</row>
    <row r="118" customFormat="false" ht="12.8" hidden="false" customHeight="false" outlineLevel="0" collapsed="false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</row>
    <row r="119" customFormat="false" ht="12.8" hidden="false" customHeight="false" outlineLevel="0" collapsed="false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</row>
    <row r="120" customFormat="false" ht="12.8" hidden="false" customHeight="false" outlineLevel="0" collapsed="false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</row>
    <row r="121" customFormat="false" ht="12.8" hidden="false" customHeight="false" outlineLevel="0" collapsed="false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</row>
    <row r="122" customFormat="false" ht="12.8" hidden="false" customHeight="false" outlineLevel="0" collapsed="false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</row>
    <row r="123" customFormat="false" ht="12.8" hidden="false" customHeight="false" outlineLevel="0" collapsed="false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</row>
    <row r="124" customFormat="false" ht="12.8" hidden="false" customHeight="false" outlineLevel="0" collapsed="false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</row>
    <row r="125" customFormat="false" ht="12.8" hidden="false" customHeight="false" outlineLevel="0" collapsed="false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</row>
    <row r="126" customFormat="false" ht="12.8" hidden="false" customHeight="false" outlineLevel="0" collapsed="false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</row>
    <row r="127" customFormat="false" ht="12.8" hidden="false" customHeight="false" outlineLevel="0" collapsed="false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</row>
    <row r="128" customFormat="false" ht="12.8" hidden="false" customHeight="false" outlineLevel="0" collapsed="false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</row>
    <row r="129" customFormat="false" ht="12.8" hidden="false" customHeight="false" outlineLevel="0" collapsed="false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</row>
    <row r="130" customFormat="false" ht="12.8" hidden="false" customHeight="false" outlineLevel="0" collapsed="false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</row>
    <row r="131" customFormat="false" ht="12.8" hidden="false" customHeight="false" outlineLevel="0" collapsed="false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</row>
    <row r="132" customFormat="false" ht="12.8" hidden="false" customHeight="false" outlineLevel="0" collapsed="false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</row>
    <row r="133" customFormat="false" ht="12.8" hidden="false" customHeight="false" outlineLevel="0" collapsed="false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</row>
    <row r="134" customFormat="false" ht="12.8" hidden="false" customHeight="false" outlineLevel="0" collapsed="false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</row>
    <row r="135" customFormat="false" ht="12.8" hidden="false" customHeight="false" outlineLevel="0" collapsed="false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</row>
    <row r="136" customFormat="false" ht="12.8" hidden="false" customHeight="false" outlineLevel="0" collapsed="false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</row>
    <row r="137" customFormat="false" ht="12.8" hidden="false" customHeight="false" outlineLevel="0" collapsed="false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</row>
    <row r="138" customFormat="false" ht="12.8" hidden="false" customHeight="false" outlineLevel="0" collapsed="false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</row>
    <row r="139" customFormat="false" ht="12.8" hidden="false" customHeight="false" outlineLevel="0" collapsed="false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</row>
    <row r="140" customFormat="false" ht="12.8" hidden="false" customHeight="false" outlineLevel="0" collapsed="false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</row>
    <row r="141" customFormat="false" ht="12.8" hidden="false" customHeight="false" outlineLevel="0" collapsed="false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</row>
    <row r="142" customFormat="false" ht="12.8" hidden="false" customHeight="false" outlineLevel="0" collapsed="false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</row>
    <row r="143" customFormat="false" ht="12.8" hidden="false" customHeight="false" outlineLevel="0" collapsed="false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</row>
    <row r="144" customFormat="false" ht="12.8" hidden="false" customHeight="false" outlineLevel="0" collapsed="false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</row>
    <row r="145" customFormat="false" ht="12.8" hidden="false" customHeight="false" outlineLevel="0" collapsed="false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</row>
    <row r="146" customFormat="false" ht="12.8" hidden="false" customHeight="false" outlineLevel="0" collapsed="false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</row>
    <row r="147" customFormat="false" ht="12.8" hidden="false" customHeight="false" outlineLevel="0" collapsed="false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</row>
    <row r="148" customFormat="false" ht="12.8" hidden="false" customHeight="false" outlineLevel="0" collapsed="false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</row>
    <row r="149" customFormat="false" ht="12.8" hidden="false" customHeight="false" outlineLevel="0" collapsed="false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</row>
    <row r="150" customFormat="false" ht="12.8" hidden="false" customHeight="false" outlineLevel="0" collapsed="false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</row>
    <row r="151" customFormat="false" ht="12.8" hidden="false" customHeight="false" outlineLevel="0" collapsed="false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</row>
    <row r="152" customFormat="false" ht="12.8" hidden="false" customHeight="false" outlineLevel="0" collapsed="false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</row>
    <row r="153" customFormat="false" ht="12.8" hidden="false" customHeight="false" outlineLevel="0" collapsed="false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</row>
    <row r="154" customFormat="false" ht="12.8" hidden="false" customHeight="false" outlineLevel="0" collapsed="false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</row>
    <row r="155" customFormat="false" ht="12.8" hidden="false" customHeight="false" outlineLevel="0" collapsed="false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</row>
    <row r="156" customFormat="false" ht="12.8" hidden="false" customHeight="false" outlineLevel="0" collapsed="false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</row>
    <row r="157" customFormat="false" ht="12.8" hidden="false" customHeight="false" outlineLevel="0" collapsed="false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</row>
    <row r="158" customFormat="false" ht="12.8" hidden="false" customHeight="false" outlineLevel="0" collapsed="false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</row>
    <row r="159" customFormat="false" ht="12.8" hidden="false" customHeight="false" outlineLevel="0" collapsed="false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</row>
    <row r="160" customFormat="false" ht="12.8" hidden="false" customHeight="false" outlineLevel="0" collapsed="false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</row>
    <row r="161" customFormat="false" ht="12.8" hidden="false" customHeight="false" outlineLevel="0" collapsed="false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</row>
    <row r="162" customFormat="false" ht="12.8" hidden="false" customHeight="false" outlineLevel="0" collapsed="false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</row>
    <row r="163" customFormat="false" ht="12.8" hidden="false" customHeight="false" outlineLevel="0" collapsed="false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</row>
    <row r="164" customFormat="false" ht="12.8" hidden="false" customHeight="false" outlineLevel="0" collapsed="false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</row>
    <row r="165" customFormat="false" ht="12.8" hidden="false" customHeight="false" outlineLevel="0" collapsed="false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</row>
    <row r="166" customFormat="false" ht="12.8" hidden="false" customHeight="false" outlineLevel="0" collapsed="false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</row>
    <row r="167" customFormat="false" ht="12.8" hidden="false" customHeight="false" outlineLevel="0" collapsed="false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</row>
    <row r="168" customFormat="false" ht="12.8" hidden="false" customHeight="false" outlineLevel="0" collapsed="false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</row>
    <row r="169" customFormat="false" ht="12.8" hidden="false" customHeight="false" outlineLevel="0" collapsed="false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</row>
    <row r="170" customFormat="false" ht="12.8" hidden="false" customHeight="false" outlineLevel="0" collapsed="false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</row>
    <row r="171" customFormat="false" ht="12.8" hidden="false" customHeight="false" outlineLevel="0" collapsed="false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</row>
    <row r="172" customFormat="false" ht="12.8" hidden="false" customHeight="false" outlineLevel="0" collapsed="false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</row>
    <row r="173" customFormat="false" ht="12.8" hidden="false" customHeight="false" outlineLevel="0" collapsed="false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</row>
    <row r="174" customFormat="false" ht="12.8" hidden="false" customHeight="false" outlineLevel="0" collapsed="false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</row>
    <row r="175" customFormat="false" ht="12.8" hidden="false" customHeight="false" outlineLevel="0" collapsed="false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</row>
    <row r="176" customFormat="false" ht="12.8" hidden="false" customHeight="false" outlineLevel="0" collapsed="false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</row>
    <row r="177" customFormat="false" ht="12.8" hidden="false" customHeight="false" outlineLevel="0" collapsed="false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</row>
    <row r="178" customFormat="false" ht="12.8" hidden="false" customHeight="false" outlineLevel="0" collapsed="false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</row>
    <row r="179" customFormat="false" ht="12.8" hidden="false" customHeight="false" outlineLevel="0" collapsed="false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</row>
    <row r="180" customFormat="false" ht="12.8" hidden="false" customHeight="false" outlineLevel="0" collapsed="false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</row>
    <row r="181" customFormat="false" ht="12.8" hidden="false" customHeight="false" outlineLevel="0" collapsed="false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</row>
    <row r="182" customFormat="false" ht="12.8" hidden="false" customHeight="false" outlineLevel="0" collapsed="false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</row>
    <row r="183" customFormat="false" ht="12.8" hidden="false" customHeight="false" outlineLevel="0" collapsed="false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</row>
    <row r="184" customFormat="false" ht="12.8" hidden="false" customHeight="false" outlineLevel="0" collapsed="false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</row>
    <row r="185" customFormat="false" ht="12.8" hidden="false" customHeight="false" outlineLevel="0" collapsed="false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</row>
    <row r="186" customFormat="false" ht="12.8" hidden="false" customHeight="false" outlineLevel="0" collapsed="false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</row>
    <row r="187" customFormat="false" ht="12.8" hidden="false" customHeight="false" outlineLevel="0" collapsed="false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</row>
    <row r="188" customFormat="false" ht="12.8" hidden="false" customHeight="false" outlineLevel="0" collapsed="false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</row>
    <row r="189" customFormat="false" ht="12.8" hidden="false" customHeight="false" outlineLevel="0" collapsed="false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</row>
    <row r="190" customFormat="false" ht="12.8" hidden="false" customHeight="false" outlineLevel="0" collapsed="false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</row>
    <row r="191" customFormat="false" ht="12.8" hidden="false" customHeight="false" outlineLevel="0" collapsed="false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</row>
    <row r="192" customFormat="false" ht="12.8" hidden="false" customHeight="false" outlineLevel="0" collapsed="false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</row>
    <row r="193" customFormat="false" ht="12.8" hidden="false" customHeight="false" outlineLevel="0" collapsed="false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</row>
    <row r="194" customFormat="false" ht="12.8" hidden="false" customHeight="false" outlineLevel="0" collapsed="false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</row>
    <row r="195" customFormat="false" ht="12.8" hidden="false" customHeight="false" outlineLevel="0" collapsed="false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</row>
    <row r="196" customFormat="false" ht="12.8" hidden="false" customHeight="false" outlineLevel="0" collapsed="false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</row>
    <row r="197" customFormat="false" ht="12.8" hidden="false" customHeight="false" outlineLevel="0" collapsed="false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</row>
    <row r="198" customFormat="false" ht="12.8" hidden="false" customHeight="false" outlineLevel="0" collapsed="false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</row>
    <row r="199" customFormat="false" ht="12.8" hidden="false" customHeight="false" outlineLevel="0" collapsed="false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</row>
    <row r="200" customFormat="false" ht="12.8" hidden="false" customHeight="false" outlineLevel="0" collapsed="false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</row>
    <row r="201" customFormat="false" ht="12.8" hidden="false" customHeight="false" outlineLevel="0" collapsed="false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</row>
    <row r="202" customFormat="false" ht="12.8" hidden="false" customHeight="false" outlineLevel="0" collapsed="false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</row>
  </sheetData>
  <mergeCells count="9">
    <mergeCell ref="T2:Z2"/>
    <mergeCell ref="AA2:AG2"/>
    <mergeCell ref="AH2:AJ2"/>
    <mergeCell ref="L3:P3"/>
    <mergeCell ref="T3:U3"/>
    <mergeCell ref="V3:Z3"/>
    <mergeCell ref="AA3:AB3"/>
    <mergeCell ref="AC3:AG3"/>
    <mergeCell ref="AH3:AI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10.73046875" defaultRowHeight="12.8" zeroHeight="false" outlineLevelRow="0" outlineLevelCol="0"/>
  <cols>
    <col collapsed="false" customWidth="true" hidden="false" outlineLevel="0" max="2" min="1" style="0" width="13.86"/>
    <col collapsed="false" customWidth="true" hidden="false" outlineLevel="0" max="3" min="3" style="0" width="21.43"/>
    <col collapsed="false" customWidth="true" hidden="false" outlineLevel="0" max="4" min="4" style="0" width="18.9"/>
    <col collapsed="false" customWidth="true" hidden="false" outlineLevel="0" max="5" min="5" style="0" width="12.6"/>
    <col collapsed="false" customWidth="true" hidden="false" outlineLevel="0" max="6" min="6" style="0" width="15.12"/>
    <col collapsed="false" customWidth="true" hidden="false" outlineLevel="0" max="7" min="7" style="0" width="16.38"/>
    <col collapsed="false" customWidth="true" hidden="false" outlineLevel="0" max="8" min="8" style="0" width="12.6"/>
    <col collapsed="false" customWidth="true" hidden="false" outlineLevel="0" max="9" min="9" style="0" width="15.12"/>
    <col collapsed="false" customWidth="true" hidden="false" outlineLevel="0" max="10" min="10" style="0" width="10.08"/>
    <col collapsed="false" customWidth="true" hidden="false" outlineLevel="0" max="11" min="11" style="0" width="17.64"/>
    <col collapsed="false" customWidth="true" hidden="false" outlineLevel="0" max="13" min="12" style="0" width="12.6"/>
    <col collapsed="false" customWidth="true" hidden="false" outlineLevel="0" max="14" min="14" style="0" width="10.08"/>
    <col collapsed="false" customWidth="true" hidden="false" outlineLevel="0" max="15" min="15" style="0" width="15.12"/>
    <col collapsed="false" customWidth="true" hidden="false" outlineLevel="0" max="20" min="16" style="0" width="10.08"/>
    <col collapsed="false" customWidth="true" hidden="false" outlineLevel="0" max="21" min="21" style="0" width="11.34"/>
    <col collapsed="false" customWidth="true" hidden="false" outlineLevel="0" max="22" min="22" style="0" width="15.12"/>
    <col collapsed="false" customWidth="true" hidden="false" outlineLevel="0" max="26" min="23" style="0" width="10.08"/>
    <col collapsed="false" customWidth="true" hidden="false" outlineLevel="0" max="28" min="27" style="0" width="11.34"/>
  </cols>
  <sheetData>
    <row r="1" customFormat="false" ht="12.8" hidden="false" customHeight="false" outlineLevel="0" collapsed="false">
      <c r="A1" s="120"/>
      <c r="B1" s="120"/>
      <c r="C1" s="120"/>
      <c r="D1" s="120"/>
      <c r="E1" s="120"/>
      <c r="F1" s="120"/>
      <c r="G1" s="143"/>
      <c r="H1" s="143"/>
      <c r="I1" s="221"/>
      <c r="J1" s="221"/>
      <c r="K1" s="221"/>
      <c r="L1" s="221"/>
      <c r="M1" s="221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2.8" hidden="false" customHeight="false" outlineLevel="0" collapsed="false">
      <c r="A2" s="120"/>
      <c r="B2" s="120"/>
      <c r="C2" s="120"/>
      <c r="D2" s="120"/>
      <c r="E2" s="120"/>
      <c r="F2" s="120"/>
      <c r="G2" s="143"/>
      <c r="H2" s="143"/>
      <c r="I2" s="221"/>
      <c r="J2" s="221"/>
      <c r="K2" s="221"/>
      <c r="L2" s="221"/>
      <c r="M2" s="221"/>
      <c r="N2" s="4"/>
      <c r="O2" s="10" t="s">
        <v>1164</v>
      </c>
      <c r="P2" s="10"/>
      <c r="Q2" s="10"/>
      <c r="R2" s="10"/>
      <c r="S2" s="10"/>
      <c r="T2" s="10"/>
      <c r="U2" s="10"/>
      <c r="V2" s="10" t="s">
        <v>1165</v>
      </c>
      <c r="W2" s="10"/>
      <c r="X2" s="10"/>
      <c r="Y2" s="10"/>
      <c r="Z2" s="10"/>
      <c r="AA2" s="10"/>
      <c r="AB2" s="10"/>
    </row>
    <row r="3" customFormat="false" ht="12.8" hidden="false" customHeight="false" outlineLevel="0" collapsed="false">
      <c r="A3" s="120"/>
      <c r="B3" s="120"/>
      <c r="C3" s="120"/>
      <c r="D3" s="120"/>
      <c r="E3" s="120"/>
      <c r="F3" s="120"/>
      <c r="G3" s="143"/>
      <c r="H3" s="143"/>
      <c r="I3" s="221"/>
      <c r="J3" s="221"/>
      <c r="K3" s="221"/>
      <c r="L3" s="221"/>
      <c r="M3" s="221"/>
      <c r="N3" s="10" t="s">
        <v>0</v>
      </c>
      <c r="O3" s="10" t="s">
        <v>355</v>
      </c>
      <c r="P3" s="10"/>
      <c r="Q3" s="10" t="s">
        <v>356</v>
      </c>
      <c r="R3" s="10"/>
      <c r="S3" s="10"/>
      <c r="T3" s="10"/>
      <c r="U3" s="10"/>
      <c r="V3" s="10" t="s">
        <v>355</v>
      </c>
      <c r="W3" s="10"/>
      <c r="X3" s="10" t="s">
        <v>356</v>
      </c>
      <c r="Y3" s="10"/>
      <c r="Z3" s="10"/>
      <c r="AA3" s="10"/>
      <c r="AB3" s="10"/>
    </row>
    <row r="4" customFormat="false" ht="12.8" hidden="false" customHeight="false" outlineLevel="0" collapsed="false">
      <c r="A4" s="16" t="s">
        <v>12</v>
      </c>
      <c r="B4" s="16" t="s">
        <v>13</v>
      </c>
      <c r="C4" s="16" t="s">
        <v>14</v>
      </c>
      <c r="D4" s="16" t="s">
        <v>15</v>
      </c>
      <c r="E4" s="16" t="s">
        <v>16</v>
      </c>
      <c r="F4" s="16" t="s">
        <v>17</v>
      </c>
      <c r="G4" s="148" t="s">
        <v>357</v>
      </c>
      <c r="H4" s="148" t="s">
        <v>540</v>
      </c>
      <c r="I4" s="21" t="s">
        <v>433</v>
      </c>
      <c r="J4" s="21" t="s">
        <v>434</v>
      </c>
      <c r="K4" s="21" t="s">
        <v>358</v>
      </c>
      <c r="L4" s="21" t="s">
        <v>359</v>
      </c>
      <c r="M4" s="21" t="s">
        <v>360</v>
      </c>
      <c r="N4" s="148" t="s">
        <v>1166</v>
      </c>
      <c r="O4" s="148" t="s">
        <v>369</v>
      </c>
      <c r="P4" s="148" t="s">
        <v>370</v>
      </c>
      <c r="Q4" s="150" t="s">
        <v>371</v>
      </c>
      <c r="R4" s="150" t="s">
        <v>372</v>
      </c>
      <c r="S4" s="150" t="s">
        <v>373</v>
      </c>
      <c r="T4" s="150" t="s">
        <v>374</v>
      </c>
      <c r="U4" s="150" t="s">
        <v>439</v>
      </c>
      <c r="V4" s="148" t="s">
        <v>369</v>
      </c>
      <c r="W4" s="148" t="s">
        <v>370</v>
      </c>
      <c r="X4" s="150" t="s">
        <v>371</v>
      </c>
      <c r="Y4" s="150" t="s">
        <v>372</v>
      </c>
      <c r="Z4" s="150" t="s">
        <v>373</v>
      </c>
      <c r="AA4" s="150" t="s">
        <v>374</v>
      </c>
      <c r="AB4" s="150" t="s">
        <v>439</v>
      </c>
    </row>
    <row r="5" customFormat="false" ht="12.8" hidden="false" customHeight="false" outlineLevel="0" collapsed="false">
      <c r="A5" s="17" t="s">
        <v>51</v>
      </c>
      <c r="B5" s="17" t="s">
        <v>98</v>
      </c>
      <c r="C5" s="17" t="s">
        <v>104</v>
      </c>
      <c r="D5" s="17" t="s">
        <v>108</v>
      </c>
      <c r="E5" s="130" t="s">
        <v>87</v>
      </c>
      <c r="F5" s="17" t="s">
        <v>109</v>
      </c>
      <c r="G5" s="17" t="s">
        <v>1167</v>
      </c>
      <c r="H5" s="150"/>
      <c r="I5" s="130"/>
      <c r="J5" s="130"/>
      <c r="K5" s="128" t="n">
        <v>1500</v>
      </c>
      <c r="L5" s="141"/>
      <c r="M5" s="141" t="n">
        <f aca="false">P5+W5</f>
        <v>0</v>
      </c>
      <c r="N5" s="16"/>
      <c r="O5" s="131"/>
      <c r="P5" s="128"/>
      <c r="Q5" s="131"/>
      <c r="R5" s="131"/>
      <c r="S5" s="131"/>
      <c r="T5" s="131"/>
      <c r="U5" s="131"/>
      <c r="V5" s="131"/>
      <c r="W5" s="128"/>
      <c r="X5" s="131"/>
      <c r="Y5" s="131"/>
      <c r="Z5" s="131"/>
      <c r="AA5" s="131"/>
      <c r="AB5" s="131"/>
    </row>
    <row r="6" customFormat="false" ht="12.8" hidden="false" customHeight="false" outlineLevel="0" collapsed="false">
      <c r="A6" s="16" t="s">
        <v>53</v>
      </c>
      <c r="B6" s="17" t="s">
        <v>81</v>
      </c>
      <c r="C6" s="16" t="s">
        <v>243</v>
      </c>
      <c r="D6" s="17" t="s">
        <v>244</v>
      </c>
      <c r="E6" s="140" t="s">
        <v>89</v>
      </c>
      <c r="F6" s="16" t="s">
        <v>112</v>
      </c>
      <c r="G6" s="17" t="s">
        <v>1168</v>
      </c>
      <c r="H6" s="150"/>
      <c r="I6" s="130"/>
      <c r="J6" s="130"/>
      <c r="K6" s="128" t="n">
        <v>5500</v>
      </c>
      <c r="L6" s="141" t="n">
        <v>2</v>
      </c>
      <c r="M6" s="141" t="n">
        <f aca="false">P6+W6</f>
        <v>0</v>
      </c>
      <c r="N6" s="51" t="n">
        <v>0.15</v>
      </c>
      <c r="O6" s="128" t="n">
        <v>8</v>
      </c>
      <c r="P6" s="128" t="n">
        <v>1</v>
      </c>
      <c r="Q6" s="131" t="s">
        <v>390</v>
      </c>
      <c r="R6" s="131" t="s">
        <v>391</v>
      </c>
      <c r="S6" s="131" t="s">
        <v>383</v>
      </c>
      <c r="T6" s="131" t="s">
        <v>384</v>
      </c>
      <c r="U6" s="131" t="s">
        <v>399</v>
      </c>
      <c r="V6" s="128" t="n">
        <v>8</v>
      </c>
      <c r="W6" s="128" t="n">
        <v>1</v>
      </c>
      <c r="X6" s="131" t="s">
        <v>451</v>
      </c>
      <c r="Y6" s="131" t="s">
        <v>410</v>
      </c>
      <c r="Z6" s="131" t="s">
        <v>573</v>
      </c>
      <c r="AA6" s="131" t="s">
        <v>574</v>
      </c>
      <c r="AB6" s="131" t="s">
        <v>378</v>
      </c>
    </row>
    <row r="7" customFormat="false" ht="12.8" hidden="false" customHeight="false" outlineLevel="0" collapsed="false">
      <c r="A7" s="152" t="s">
        <v>311</v>
      </c>
      <c r="B7" s="153" t="s">
        <v>81</v>
      </c>
      <c r="C7" s="153" t="s">
        <v>322</v>
      </c>
      <c r="D7" s="153" t="s">
        <v>323</v>
      </c>
      <c r="E7" s="130" t="s">
        <v>84</v>
      </c>
      <c r="F7" s="17" t="s">
        <v>85</v>
      </c>
      <c r="G7" s="17" t="s">
        <v>1169</v>
      </c>
      <c r="H7" s="150"/>
      <c r="I7" s="130" t="s">
        <v>769</v>
      </c>
      <c r="J7" s="17" t="s">
        <v>498</v>
      </c>
      <c r="K7" s="128" t="n">
        <v>13000</v>
      </c>
      <c r="L7" s="141"/>
      <c r="M7" s="141" t="n">
        <f aca="false">P7+W7</f>
        <v>0</v>
      </c>
      <c r="N7" s="16"/>
      <c r="O7" s="131"/>
      <c r="P7" s="128"/>
      <c r="Q7" s="131"/>
      <c r="R7" s="131"/>
      <c r="S7" s="131"/>
      <c r="T7" s="131"/>
      <c r="U7" s="131"/>
      <c r="V7" s="131"/>
      <c r="W7" s="128"/>
      <c r="X7" s="131"/>
      <c r="Y7" s="131"/>
      <c r="Z7" s="131"/>
      <c r="AA7" s="131"/>
      <c r="AB7" s="131"/>
    </row>
    <row r="8" customFormat="false" ht="12.8" hidden="false" customHeight="false" outlineLevel="0" collapsed="false">
      <c r="A8" s="152" t="s">
        <v>311</v>
      </c>
      <c r="B8" s="153" t="s">
        <v>98</v>
      </c>
      <c r="C8" s="153" t="s">
        <v>312</v>
      </c>
      <c r="D8" s="153" t="s">
        <v>313</v>
      </c>
      <c r="E8" s="130" t="s">
        <v>84</v>
      </c>
      <c r="F8" s="17" t="s">
        <v>85</v>
      </c>
      <c r="G8" s="17" t="s">
        <v>1170</v>
      </c>
      <c r="H8" s="150"/>
      <c r="I8" s="130" t="s">
        <v>505</v>
      </c>
      <c r="J8" s="17" t="s">
        <v>498</v>
      </c>
      <c r="K8" s="128" t="n">
        <v>13000</v>
      </c>
      <c r="L8" s="141"/>
      <c r="M8" s="141" t="n">
        <f aca="false">P8+W8</f>
        <v>0</v>
      </c>
      <c r="N8" s="16"/>
      <c r="O8" s="131"/>
      <c r="P8" s="128"/>
      <c r="Q8" s="131"/>
      <c r="R8" s="131"/>
      <c r="S8" s="131"/>
      <c r="T8" s="131"/>
      <c r="U8" s="131"/>
      <c r="V8" s="131"/>
      <c r="W8" s="128"/>
      <c r="X8" s="131"/>
      <c r="Y8" s="131"/>
      <c r="Z8" s="131"/>
      <c r="AA8" s="131"/>
      <c r="AB8" s="131"/>
    </row>
    <row r="9" customFormat="false" ht="12.8" hidden="false" customHeight="false" outlineLevel="0" collapsed="false">
      <c r="A9" s="152" t="s">
        <v>311</v>
      </c>
      <c r="B9" s="153" t="s">
        <v>98</v>
      </c>
      <c r="C9" s="153" t="s">
        <v>312</v>
      </c>
      <c r="D9" s="153" t="s">
        <v>313</v>
      </c>
      <c r="E9" s="130" t="s">
        <v>84</v>
      </c>
      <c r="F9" s="17" t="s">
        <v>85</v>
      </c>
      <c r="G9" s="17" t="s">
        <v>1171</v>
      </c>
      <c r="H9" s="150"/>
      <c r="I9" s="150" t="s">
        <v>1172</v>
      </c>
      <c r="J9" s="148" t="s">
        <v>498</v>
      </c>
      <c r="K9" s="39" t="n">
        <v>13000</v>
      </c>
      <c r="L9" s="141"/>
      <c r="M9" s="141" t="n">
        <f aca="false">P9+W9</f>
        <v>0</v>
      </c>
      <c r="N9" s="16"/>
      <c r="O9" s="131"/>
      <c r="P9" s="128"/>
      <c r="Q9" s="131"/>
      <c r="R9" s="131"/>
      <c r="S9" s="131"/>
      <c r="T9" s="131"/>
      <c r="U9" s="131"/>
      <c r="V9" s="131"/>
      <c r="W9" s="128"/>
      <c r="X9" s="131"/>
      <c r="Y9" s="131"/>
      <c r="Z9" s="131"/>
      <c r="AA9" s="131"/>
      <c r="AB9" s="131"/>
    </row>
    <row r="10" customFormat="false" ht="12.8" hidden="false" customHeight="false" outlineLevel="0" collapsed="false">
      <c r="A10" s="152" t="s">
        <v>311</v>
      </c>
      <c r="B10" s="153" t="s">
        <v>93</v>
      </c>
      <c r="C10" s="155" t="s">
        <v>325</v>
      </c>
      <c r="D10" s="153" t="s">
        <v>326</v>
      </c>
      <c r="E10" s="130" t="s">
        <v>84</v>
      </c>
      <c r="F10" s="17" t="s">
        <v>85</v>
      </c>
      <c r="G10" s="17" t="s">
        <v>1173</v>
      </c>
      <c r="H10" s="150"/>
      <c r="I10" s="130" t="s">
        <v>769</v>
      </c>
      <c r="J10" s="17" t="s">
        <v>498</v>
      </c>
      <c r="K10" s="128" t="n">
        <v>13000</v>
      </c>
      <c r="L10" s="141"/>
      <c r="M10" s="141" t="n">
        <f aca="false">P10+W10</f>
        <v>0</v>
      </c>
      <c r="N10" s="16"/>
      <c r="O10" s="131"/>
      <c r="P10" s="128"/>
      <c r="Q10" s="131"/>
      <c r="R10" s="131"/>
      <c r="S10" s="131"/>
      <c r="T10" s="131"/>
      <c r="U10" s="131"/>
      <c r="V10" s="131"/>
      <c r="W10" s="128"/>
      <c r="X10" s="131"/>
      <c r="Y10" s="131"/>
      <c r="Z10" s="131"/>
      <c r="AA10" s="131"/>
      <c r="AB10" s="131"/>
    </row>
    <row r="11" customFormat="false" ht="12.8" hidden="false" customHeight="false" outlineLevel="0" collapsed="false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00"/>
      <c r="AB11" s="100"/>
    </row>
    <row r="12" customFormat="false" ht="12.8" hidden="false" customHeight="false" outlineLevel="0" collapsed="false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00"/>
      <c r="AB12" s="100"/>
    </row>
    <row r="13" customFormat="false" ht="12.8" hidden="false" customHeight="false" outlineLevel="0" collapsed="false">
      <c r="A13" s="120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00"/>
      <c r="AB13" s="100"/>
    </row>
    <row r="14" customFormat="false" ht="12.8" hidden="false" customHeight="false" outlineLevel="0" collapsed="false">
      <c r="A14" s="120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00"/>
      <c r="AB14" s="100"/>
    </row>
    <row r="15" customFormat="false" ht="12.8" hidden="false" customHeight="false" outlineLevel="0" collapsed="false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00"/>
      <c r="AB15" s="100"/>
    </row>
    <row r="16" customFormat="false" ht="12.8" hidden="false" customHeight="false" outlineLevel="0" collapsed="false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00"/>
      <c r="AB16" s="100"/>
    </row>
    <row r="17" customFormat="false" ht="12.8" hidden="false" customHeight="false" outlineLevel="0" collapsed="false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00"/>
      <c r="AB17" s="100"/>
    </row>
    <row r="18" customFormat="false" ht="12.8" hidden="false" customHeight="false" outlineLevel="0" collapsed="false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00"/>
      <c r="AB18" s="100"/>
    </row>
    <row r="19" customFormat="false" ht="12.8" hidden="false" customHeight="false" outlineLevel="0" collapsed="false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00"/>
      <c r="AB19" s="100"/>
    </row>
    <row r="20" customFormat="false" ht="12.8" hidden="false" customHeight="false" outlineLevel="0" collapsed="false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00"/>
      <c r="AB20" s="100"/>
    </row>
    <row r="21" customFormat="false" ht="12.8" hidden="false" customHeight="false" outlineLevel="0" collapsed="false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00"/>
      <c r="AB21" s="100"/>
    </row>
    <row r="22" customFormat="false" ht="12.8" hidden="false" customHeight="false" outlineLevel="0" collapsed="false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00"/>
      <c r="AB22" s="100"/>
    </row>
    <row r="23" customFormat="false" ht="12.8" hidden="false" customHeight="false" outlineLevel="0" collapsed="false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00"/>
      <c r="AB23" s="100"/>
    </row>
    <row r="24" customFormat="false" ht="12.8" hidden="false" customHeight="false" outlineLevel="0" collapsed="false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00"/>
      <c r="AB24" s="100"/>
    </row>
    <row r="25" customFormat="false" ht="12.8" hidden="false" customHeight="false" outlineLevel="0" collapsed="false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00"/>
      <c r="AB25" s="100"/>
    </row>
    <row r="26" customFormat="false" ht="12.8" hidden="false" customHeight="false" outlineLevel="0" collapsed="false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00"/>
      <c r="AB26" s="100"/>
    </row>
    <row r="27" customFormat="false" ht="12.8" hidden="false" customHeight="false" outlineLevel="0" collapsed="false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00"/>
      <c r="AB27" s="100"/>
    </row>
    <row r="28" customFormat="false" ht="12.8" hidden="false" customHeight="false" outlineLevel="0" collapsed="false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00"/>
      <c r="AB28" s="100"/>
    </row>
    <row r="29" customFormat="false" ht="12.8" hidden="false" customHeight="false" outlineLevel="0" collapsed="false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00"/>
      <c r="AB29" s="100"/>
    </row>
    <row r="30" customFormat="false" ht="12.8" hidden="false" customHeight="false" outlineLevel="0" collapsed="false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00"/>
      <c r="AB30" s="100"/>
    </row>
    <row r="31" customFormat="false" ht="12.8" hidden="false" customHeight="false" outlineLevel="0" collapsed="false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00"/>
      <c r="AB31" s="100"/>
    </row>
    <row r="32" customFormat="false" ht="12.8" hidden="false" customHeight="false" outlineLevel="0" collapsed="false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00"/>
      <c r="AB32" s="100"/>
    </row>
    <row r="33" customFormat="false" ht="12.8" hidden="false" customHeight="false" outlineLevel="0" collapsed="false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00"/>
      <c r="AB33" s="100"/>
    </row>
    <row r="34" customFormat="false" ht="12.8" hidden="false" customHeight="false" outlineLevel="0" collapsed="false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00"/>
      <c r="AB34" s="100"/>
    </row>
    <row r="35" customFormat="false" ht="12.8" hidden="false" customHeight="false" outlineLevel="0" collapsed="false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00"/>
      <c r="AB35" s="100"/>
    </row>
    <row r="36" customFormat="false" ht="12.8" hidden="false" customHeight="false" outlineLevel="0" collapsed="false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00"/>
      <c r="AB36" s="100"/>
    </row>
    <row r="37" customFormat="false" ht="12.8" hidden="false" customHeight="false" outlineLevel="0" collapsed="false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00"/>
      <c r="AB37" s="100"/>
    </row>
    <row r="38" customFormat="false" ht="12.8" hidden="false" customHeight="false" outlineLevel="0" collapsed="false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00"/>
      <c r="AB38" s="100"/>
    </row>
    <row r="39" customFormat="false" ht="12.8" hidden="false" customHeight="false" outlineLevel="0" collapsed="false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00"/>
      <c r="AB39" s="100"/>
    </row>
    <row r="40" customFormat="false" ht="12.8" hidden="false" customHeight="false" outlineLevel="0" collapsed="false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00"/>
      <c r="AB40" s="100"/>
    </row>
    <row r="41" customFormat="false" ht="12.8" hidden="false" customHeight="false" outlineLevel="0" collapsed="false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00"/>
      <c r="AB41" s="100"/>
    </row>
    <row r="42" customFormat="false" ht="12.8" hidden="false" customHeight="false" outlineLevel="0" collapsed="false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00"/>
      <c r="AB42" s="100"/>
    </row>
    <row r="43" customFormat="false" ht="12.8" hidden="false" customHeight="false" outlineLevel="0" collapsed="false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00"/>
      <c r="AB43" s="100"/>
    </row>
    <row r="44" customFormat="false" ht="12.8" hidden="false" customHeight="false" outlineLevel="0" collapsed="false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00"/>
      <c r="AB44" s="100"/>
    </row>
    <row r="45" customFormat="false" ht="12.8" hidden="false" customHeight="false" outlineLevel="0" collapsed="false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00"/>
      <c r="AB45" s="100"/>
    </row>
    <row r="46" customFormat="false" ht="12.8" hidden="false" customHeight="false" outlineLevel="0" collapsed="false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00"/>
      <c r="AB46" s="100"/>
    </row>
    <row r="47" customFormat="false" ht="12.8" hidden="false" customHeight="false" outlineLevel="0" collapsed="false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00"/>
      <c r="AB47" s="100"/>
    </row>
    <row r="48" customFormat="false" ht="12.8" hidden="false" customHeight="false" outlineLevel="0" collapsed="false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00"/>
      <c r="AB48" s="100"/>
    </row>
    <row r="49" customFormat="false" ht="12.8" hidden="false" customHeight="false" outlineLevel="0" collapsed="false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00"/>
      <c r="AB49" s="100"/>
    </row>
    <row r="50" customFormat="false" ht="12.8" hidden="false" customHeight="false" outlineLevel="0" collapsed="false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00"/>
      <c r="AB50" s="100"/>
    </row>
    <row r="51" customFormat="false" ht="12.8" hidden="false" customHeight="false" outlineLevel="0" collapsed="false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00"/>
      <c r="AB51" s="100"/>
    </row>
    <row r="52" customFormat="false" ht="12.8" hidden="false" customHeight="false" outlineLevel="0" collapsed="false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00"/>
      <c r="AB52" s="100"/>
    </row>
    <row r="53" customFormat="false" ht="12.8" hidden="false" customHeight="false" outlineLevel="0" collapsed="false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00"/>
      <c r="AB53" s="100"/>
    </row>
    <row r="54" customFormat="false" ht="12.8" hidden="false" customHeight="false" outlineLevel="0" collapsed="false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00"/>
      <c r="AB54" s="100"/>
    </row>
    <row r="55" customFormat="false" ht="12.8" hidden="false" customHeight="false" outlineLevel="0" collapsed="false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00"/>
      <c r="AB55" s="100"/>
    </row>
    <row r="56" customFormat="false" ht="12.8" hidden="false" customHeight="false" outlineLevel="0" collapsed="false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00"/>
      <c r="AB56" s="100"/>
    </row>
    <row r="57" customFormat="false" ht="12.8" hidden="false" customHeight="false" outlineLevel="0" collapsed="false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00"/>
      <c r="AB57" s="100"/>
    </row>
    <row r="58" customFormat="false" ht="12.8" hidden="false" customHeight="false" outlineLevel="0" collapsed="false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00"/>
      <c r="AB58" s="100"/>
    </row>
    <row r="59" customFormat="false" ht="12.8" hidden="false" customHeight="false" outlineLevel="0" collapsed="false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00"/>
      <c r="AB59" s="100"/>
    </row>
    <row r="60" customFormat="false" ht="12.8" hidden="false" customHeight="false" outlineLevel="0" collapsed="false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00"/>
      <c r="AB60" s="100"/>
    </row>
    <row r="61" customFormat="false" ht="12.8" hidden="false" customHeight="false" outlineLevel="0" collapsed="false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00"/>
      <c r="AB61" s="100"/>
    </row>
    <row r="62" customFormat="false" ht="12.8" hidden="false" customHeight="false" outlineLevel="0" collapsed="false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00"/>
      <c r="AB62" s="100"/>
    </row>
    <row r="63" customFormat="false" ht="12.8" hidden="false" customHeight="false" outlineLevel="0" collapsed="false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00"/>
      <c r="AB63" s="100"/>
    </row>
    <row r="64" customFormat="false" ht="12.8" hidden="false" customHeight="false" outlineLevel="0" collapsed="false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00"/>
      <c r="AB64" s="100"/>
    </row>
    <row r="65" customFormat="false" ht="12.8" hidden="false" customHeight="false" outlineLevel="0" collapsed="false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00"/>
      <c r="AB65" s="100"/>
    </row>
    <row r="66" customFormat="false" ht="12.8" hidden="false" customHeight="false" outlineLevel="0" collapsed="false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00"/>
      <c r="AB66" s="100"/>
    </row>
    <row r="67" customFormat="false" ht="12.8" hidden="false" customHeight="false" outlineLevel="0" collapsed="false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00"/>
      <c r="AB67" s="100"/>
    </row>
    <row r="68" customFormat="false" ht="12.8" hidden="false" customHeight="false" outlineLevel="0" collapsed="false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00"/>
      <c r="AB68" s="100"/>
    </row>
    <row r="69" customFormat="false" ht="12.8" hidden="false" customHeight="false" outlineLevel="0" collapsed="false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00"/>
      <c r="AB69" s="100"/>
    </row>
    <row r="70" customFormat="false" ht="12.8" hidden="false" customHeight="false" outlineLevel="0" collapsed="false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00"/>
      <c r="AB70" s="100"/>
    </row>
    <row r="71" customFormat="false" ht="12.8" hidden="false" customHeight="false" outlineLevel="0" collapsed="false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00"/>
      <c r="AB71" s="100"/>
    </row>
    <row r="72" customFormat="false" ht="12.8" hidden="false" customHeight="false" outlineLevel="0" collapsed="false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00"/>
      <c r="AB72" s="100"/>
    </row>
    <row r="73" customFormat="false" ht="12.8" hidden="false" customHeight="false" outlineLevel="0" collapsed="false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00"/>
      <c r="AB73" s="100"/>
    </row>
    <row r="74" customFormat="false" ht="12.8" hidden="false" customHeight="false" outlineLevel="0" collapsed="false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00"/>
      <c r="AB74" s="100"/>
    </row>
    <row r="75" customFormat="false" ht="12.8" hidden="false" customHeight="false" outlineLevel="0" collapsed="false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00"/>
      <c r="AB75" s="100"/>
    </row>
    <row r="76" customFormat="false" ht="12.8" hidden="false" customHeight="false" outlineLevel="0" collapsed="false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00"/>
      <c r="AB76" s="100"/>
    </row>
    <row r="77" customFormat="false" ht="12.8" hidden="false" customHeight="false" outlineLevel="0" collapsed="false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00"/>
      <c r="AB77" s="100"/>
    </row>
    <row r="78" customFormat="false" ht="12.8" hidden="false" customHeight="false" outlineLevel="0" collapsed="false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00"/>
      <c r="AB78" s="100"/>
    </row>
    <row r="79" customFormat="false" ht="12.8" hidden="false" customHeight="false" outlineLevel="0" collapsed="false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00"/>
      <c r="AB79" s="100"/>
    </row>
    <row r="80" customFormat="false" ht="12.8" hidden="false" customHeight="false" outlineLevel="0" collapsed="false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00"/>
      <c r="AB80" s="100"/>
    </row>
    <row r="81" customFormat="false" ht="12.8" hidden="false" customHeight="false" outlineLevel="0" collapsed="false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00"/>
      <c r="AB81" s="100"/>
    </row>
    <row r="82" customFormat="false" ht="12.8" hidden="false" customHeight="false" outlineLevel="0" collapsed="false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00"/>
      <c r="AB82" s="100"/>
    </row>
    <row r="83" customFormat="false" ht="12.8" hidden="false" customHeight="false" outlineLevel="0" collapsed="false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00"/>
      <c r="AB83" s="100"/>
    </row>
    <row r="84" customFormat="false" ht="12.8" hidden="false" customHeight="false" outlineLevel="0" collapsed="false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00"/>
      <c r="AB84" s="100"/>
    </row>
    <row r="85" customFormat="false" ht="12.8" hidden="false" customHeight="false" outlineLevel="0" collapsed="false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00"/>
      <c r="AB85" s="100"/>
    </row>
    <row r="86" customFormat="false" ht="12.8" hidden="false" customHeight="false" outlineLevel="0" collapsed="false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00"/>
      <c r="AB86" s="100"/>
    </row>
    <row r="87" customFormat="false" ht="12.8" hidden="false" customHeight="false" outlineLevel="0" collapsed="false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00"/>
      <c r="AB87" s="100"/>
    </row>
    <row r="88" customFormat="false" ht="12.8" hidden="false" customHeight="false" outlineLevel="0" collapsed="false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00"/>
      <c r="AB88" s="100"/>
    </row>
    <row r="89" customFormat="false" ht="12.8" hidden="false" customHeight="false" outlineLevel="0" collapsed="false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00"/>
      <c r="AB89" s="100"/>
    </row>
    <row r="90" customFormat="false" ht="12.8" hidden="false" customHeight="false" outlineLevel="0" collapsed="false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00"/>
      <c r="AB90" s="100"/>
    </row>
    <row r="91" customFormat="false" ht="12.8" hidden="false" customHeight="false" outlineLevel="0" collapsed="false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00"/>
      <c r="AB91" s="100"/>
    </row>
    <row r="92" customFormat="false" ht="12.8" hidden="false" customHeight="false" outlineLevel="0" collapsed="false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00"/>
      <c r="AB92" s="100"/>
    </row>
    <row r="93" customFormat="false" ht="12.8" hidden="false" customHeight="false" outlineLevel="0" collapsed="false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00"/>
      <c r="AB93" s="100"/>
    </row>
    <row r="94" customFormat="false" ht="12.8" hidden="false" customHeight="false" outlineLevel="0" collapsed="false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00"/>
      <c r="AB94" s="100"/>
    </row>
    <row r="95" customFormat="false" ht="12.8" hidden="false" customHeight="false" outlineLevel="0" collapsed="false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00"/>
      <c r="AB95" s="100"/>
    </row>
    <row r="96" customFormat="false" ht="12.8" hidden="false" customHeight="false" outlineLevel="0" collapsed="false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00"/>
      <c r="AB96" s="100"/>
    </row>
    <row r="97" customFormat="false" ht="12.8" hidden="false" customHeight="false" outlineLevel="0" collapsed="false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00"/>
      <c r="AB97" s="100"/>
    </row>
    <row r="98" customFormat="false" ht="12.8" hidden="false" customHeight="false" outlineLevel="0" collapsed="false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00"/>
      <c r="AB98" s="100"/>
    </row>
    <row r="99" customFormat="false" ht="12.8" hidden="false" customHeight="false" outlineLevel="0" collapsed="false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00"/>
      <c r="AB99" s="100"/>
    </row>
    <row r="100" customFormat="false" ht="12.8" hidden="false" customHeight="false" outlineLevel="0" collapsed="false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00"/>
      <c r="AB100" s="100"/>
    </row>
    <row r="101" customFormat="false" ht="12.8" hidden="false" customHeight="false" outlineLevel="0" collapsed="false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00"/>
      <c r="AB101" s="100"/>
    </row>
    <row r="102" customFormat="false" ht="12.8" hidden="false" customHeight="false" outlineLevel="0" collapsed="false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00"/>
      <c r="AB102" s="100"/>
    </row>
    <row r="103" customFormat="false" ht="12.8" hidden="false" customHeight="false" outlineLevel="0" collapsed="false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00"/>
      <c r="AB103" s="100"/>
    </row>
    <row r="104" customFormat="false" ht="12.8" hidden="false" customHeight="false" outlineLevel="0" collapsed="false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00"/>
      <c r="AB104" s="100"/>
    </row>
    <row r="105" customFormat="false" ht="12.8" hidden="false" customHeight="false" outlineLevel="0" collapsed="false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00"/>
      <c r="AB105" s="100"/>
    </row>
    <row r="106" customFormat="false" ht="12.8" hidden="false" customHeight="false" outlineLevel="0" collapsed="false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00"/>
      <c r="AB106" s="100"/>
    </row>
    <row r="107" customFormat="false" ht="12.8" hidden="false" customHeight="false" outlineLevel="0" collapsed="false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00"/>
      <c r="AB107" s="100"/>
    </row>
    <row r="108" customFormat="false" ht="12.8" hidden="false" customHeight="false" outlineLevel="0" collapsed="false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00"/>
      <c r="AB108" s="100"/>
    </row>
    <row r="109" customFormat="false" ht="12.8" hidden="false" customHeight="false" outlineLevel="0" collapsed="false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00"/>
      <c r="AB109" s="100"/>
    </row>
    <row r="110" customFormat="false" ht="12.8" hidden="false" customHeight="false" outlineLevel="0" collapsed="false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00"/>
      <c r="AB110" s="100"/>
    </row>
    <row r="111" customFormat="false" ht="12.8" hidden="false" customHeight="false" outlineLevel="0" collapsed="false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00"/>
      <c r="AB111" s="100"/>
    </row>
    <row r="112" customFormat="false" ht="12.8" hidden="false" customHeight="false" outlineLevel="0" collapsed="false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00"/>
      <c r="AB112" s="100"/>
    </row>
    <row r="113" customFormat="false" ht="12.8" hidden="false" customHeight="false" outlineLevel="0" collapsed="false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00"/>
      <c r="AB113" s="100"/>
    </row>
    <row r="114" customFormat="false" ht="12.8" hidden="false" customHeight="false" outlineLevel="0" collapsed="false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00"/>
      <c r="AB114" s="100"/>
    </row>
    <row r="115" customFormat="false" ht="12.8" hidden="false" customHeight="false" outlineLevel="0" collapsed="false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00"/>
      <c r="AB115" s="100"/>
    </row>
    <row r="116" customFormat="false" ht="12.8" hidden="false" customHeight="false" outlineLevel="0" collapsed="false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00"/>
      <c r="AB116" s="100"/>
    </row>
    <row r="117" customFormat="false" ht="12.8" hidden="false" customHeight="false" outlineLevel="0" collapsed="false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00"/>
      <c r="AB117" s="100"/>
    </row>
    <row r="118" customFormat="false" ht="12.8" hidden="false" customHeight="false" outlineLevel="0" collapsed="false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00"/>
      <c r="AB118" s="100"/>
    </row>
    <row r="119" customFormat="false" ht="12.8" hidden="false" customHeight="false" outlineLevel="0" collapsed="false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00"/>
      <c r="AB119" s="100"/>
    </row>
    <row r="120" customFormat="false" ht="12.8" hidden="false" customHeight="false" outlineLevel="0" collapsed="false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00"/>
      <c r="AB120" s="100"/>
    </row>
    <row r="121" customFormat="false" ht="12.8" hidden="false" customHeight="false" outlineLevel="0" collapsed="false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00"/>
      <c r="AB121" s="100"/>
    </row>
    <row r="122" customFormat="false" ht="12.8" hidden="false" customHeight="false" outlineLevel="0" collapsed="false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00"/>
      <c r="AB122" s="100"/>
    </row>
    <row r="123" customFormat="false" ht="12.8" hidden="false" customHeight="false" outlineLevel="0" collapsed="false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00"/>
      <c r="AB123" s="100"/>
    </row>
    <row r="124" customFormat="false" ht="12.8" hidden="false" customHeight="false" outlineLevel="0" collapsed="false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00"/>
      <c r="AB124" s="100"/>
    </row>
    <row r="125" customFormat="false" ht="12.8" hidden="false" customHeight="false" outlineLevel="0" collapsed="false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00"/>
      <c r="AB125" s="100"/>
    </row>
    <row r="126" customFormat="false" ht="12.8" hidden="false" customHeight="false" outlineLevel="0" collapsed="false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00"/>
      <c r="AB126" s="100"/>
    </row>
    <row r="127" customFormat="false" ht="12.8" hidden="false" customHeight="false" outlineLevel="0" collapsed="false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00"/>
      <c r="AB127" s="100"/>
    </row>
    <row r="128" customFormat="false" ht="12.8" hidden="false" customHeight="false" outlineLevel="0" collapsed="false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00"/>
      <c r="AB128" s="100"/>
    </row>
    <row r="129" customFormat="false" ht="12.8" hidden="false" customHeight="false" outlineLevel="0" collapsed="false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00"/>
      <c r="AB129" s="100"/>
    </row>
    <row r="130" customFormat="false" ht="12.8" hidden="false" customHeight="false" outlineLevel="0" collapsed="false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00"/>
      <c r="AB130" s="100"/>
    </row>
    <row r="131" customFormat="false" ht="12.8" hidden="false" customHeight="false" outlineLevel="0" collapsed="false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00"/>
      <c r="AB131" s="100"/>
    </row>
    <row r="132" customFormat="false" ht="12.8" hidden="false" customHeight="false" outlineLevel="0" collapsed="false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00"/>
      <c r="AB132" s="100"/>
    </row>
    <row r="133" customFormat="false" ht="12.8" hidden="false" customHeight="false" outlineLevel="0" collapsed="false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00"/>
      <c r="AB133" s="100"/>
    </row>
    <row r="134" customFormat="false" ht="12.8" hidden="false" customHeight="false" outlineLevel="0" collapsed="false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00"/>
      <c r="AB134" s="100"/>
    </row>
    <row r="135" customFormat="false" ht="12.8" hidden="false" customHeight="false" outlineLevel="0" collapsed="false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00"/>
      <c r="AB135" s="100"/>
    </row>
    <row r="136" customFormat="false" ht="12.8" hidden="false" customHeight="false" outlineLevel="0" collapsed="false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00"/>
      <c r="AB136" s="100"/>
    </row>
    <row r="137" customFormat="false" ht="12.8" hidden="false" customHeight="false" outlineLevel="0" collapsed="false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00"/>
      <c r="AB137" s="100"/>
    </row>
    <row r="138" customFormat="false" ht="12.8" hidden="false" customHeight="false" outlineLevel="0" collapsed="false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00"/>
      <c r="AB138" s="100"/>
    </row>
    <row r="139" customFormat="false" ht="12.8" hidden="false" customHeight="false" outlineLevel="0" collapsed="false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00"/>
      <c r="AB139" s="100"/>
    </row>
    <row r="140" customFormat="false" ht="12.8" hidden="false" customHeight="false" outlineLevel="0" collapsed="false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00"/>
      <c r="AB140" s="100"/>
    </row>
    <row r="141" customFormat="false" ht="12.8" hidden="false" customHeight="false" outlineLevel="0" collapsed="false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00"/>
      <c r="AB141" s="100"/>
    </row>
    <row r="142" customFormat="false" ht="12.8" hidden="false" customHeight="false" outlineLevel="0" collapsed="false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00"/>
      <c r="AB142" s="100"/>
    </row>
    <row r="143" customFormat="false" ht="12.8" hidden="false" customHeight="false" outlineLevel="0" collapsed="false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00"/>
      <c r="AB143" s="100"/>
    </row>
    <row r="144" customFormat="false" ht="12.8" hidden="false" customHeight="false" outlineLevel="0" collapsed="false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00"/>
      <c r="AB144" s="100"/>
    </row>
    <row r="145" customFormat="false" ht="12.8" hidden="false" customHeight="false" outlineLevel="0" collapsed="false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00"/>
      <c r="AB145" s="100"/>
    </row>
    <row r="146" customFormat="false" ht="12.8" hidden="false" customHeight="false" outlineLevel="0" collapsed="false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00"/>
      <c r="AB146" s="100"/>
    </row>
    <row r="147" customFormat="false" ht="12.8" hidden="false" customHeight="false" outlineLevel="0" collapsed="false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00"/>
      <c r="AB147" s="100"/>
    </row>
    <row r="148" customFormat="false" ht="12.8" hidden="false" customHeight="false" outlineLevel="0" collapsed="false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00"/>
      <c r="AB148" s="100"/>
    </row>
    <row r="149" customFormat="false" ht="12.8" hidden="false" customHeight="false" outlineLevel="0" collapsed="false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00"/>
      <c r="AB149" s="100"/>
    </row>
    <row r="150" customFormat="false" ht="12.8" hidden="false" customHeight="false" outlineLevel="0" collapsed="false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00"/>
      <c r="AB150" s="100"/>
    </row>
    <row r="151" customFormat="false" ht="12.8" hidden="false" customHeight="false" outlineLevel="0" collapsed="false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00"/>
      <c r="AB151" s="100"/>
    </row>
    <row r="152" customFormat="false" ht="12.8" hidden="false" customHeight="false" outlineLevel="0" collapsed="false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00"/>
      <c r="AB152" s="100"/>
    </row>
    <row r="153" customFormat="false" ht="12.8" hidden="false" customHeight="false" outlineLevel="0" collapsed="false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00"/>
      <c r="AB153" s="100"/>
    </row>
    <row r="154" customFormat="false" ht="12.8" hidden="false" customHeight="false" outlineLevel="0" collapsed="false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00"/>
      <c r="AB154" s="100"/>
    </row>
    <row r="155" customFormat="false" ht="12.8" hidden="false" customHeight="false" outlineLevel="0" collapsed="false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00"/>
      <c r="AB155" s="100"/>
    </row>
    <row r="156" customFormat="false" ht="12.8" hidden="false" customHeight="false" outlineLevel="0" collapsed="false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00"/>
      <c r="AB156" s="100"/>
    </row>
    <row r="157" customFormat="false" ht="12.8" hidden="false" customHeight="false" outlineLevel="0" collapsed="false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00"/>
      <c r="AB157" s="100"/>
    </row>
    <row r="158" customFormat="false" ht="12.8" hidden="false" customHeight="false" outlineLevel="0" collapsed="false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00"/>
      <c r="AB158" s="100"/>
    </row>
    <row r="159" customFormat="false" ht="12.8" hidden="false" customHeight="false" outlineLevel="0" collapsed="false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00"/>
      <c r="AB159" s="100"/>
    </row>
    <row r="160" customFormat="false" ht="12.8" hidden="false" customHeight="false" outlineLevel="0" collapsed="false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00"/>
      <c r="AB160" s="100"/>
    </row>
    <row r="161" customFormat="false" ht="12.8" hidden="false" customHeight="false" outlineLevel="0" collapsed="false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00"/>
      <c r="AB161" s="100"/>
    </row>
    <row r="162" customFormat="false" ht="12.8" hidden="false" customHeight="false" outlineLevel="0" collapsed="false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00"/>
      <c r="AB162" s="100"/>
    </row>
    <row r="163" customFormat="false" ht="12.8" hidden="false" customHeight="false" outlineLevel="0" collapsed="false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00"/>
      <c r="AB163" s="100"/>
    </row>
    <row r="164" customFormat="false" ht="12.8" hidden="false" customHeight="false" outlineLevel="0" collapsed="false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00"/>
      <c r="AB164" s="100"/>
    </row>
    <row r="165" customFormat="false" ht="12.8" hidden="false" customHeight="false" outlineLevel="0" collapsed="false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00"/>
      <c r="AB165" s="100"/>
    </row>
    <row r="166" customFormat="false" ht="12.8" hidden="false" customHeight="false" outlineLevel="0" collapsed="false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00"/>
      <c r="AB166" s="100"/>
    </row>
    <row r="167" customFormat="false" ht="12.8" hidden="false" customHeight="false" outlineLevel="0" collapsed="false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00"/>
      <c r="AB167" s="100"/>
    </row>
    <row r="168" customFormat="false" ht="12.8" hidden="false" customHeight="false" outlineLevel="0" collapsed="false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00"/>
      <c r="AB168" s="100"/>
    </row>
    <row r="169" customFormat="false" ht="12.8" hidden="false" customHeight="false" outlineLevel="0" collapsed="false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00"/>
      <c r="AB169" s="100"/>
    </row>
    <row r="170" customFormat="false" ht="12.8" hidden="false" customHeight="false" outlineLevel="0" collapsed="false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00"/>
      <c r="AB170" s="100"/>
    </row>
    <row r="171" customFormat="false" ht="12.8" hidden="false" customHeight="false" outlineLevel="0" collapsed="false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00"/>
      <c r="AB171" s="100"/>
    </row>
    <row r="172" customFormat="false" ht="12.8" hidden="false" customHeight="false" outlineLevel="0" collapsed="false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00"/>
      <c r="AB172" s="100"/>
    </row>
    <row r="173" customFormat="false" ht="12.8" hidden="false" customHeight="false" outlineLevel="0" collapsed="false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00"/>
      <c r="AB173" s="100"/>
    </row>
    <row r="174" customFormat="false" ht="12.8" hidden="false" customHeight="false" outlineLevel="0" collapsed="false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00"/>
      <c r="AB174" s="100"/>
    </row>
    <row r="175" customFormat="false" ht="12.8" hidden="false" customHeight="false" outlineLevel="0" collapsed="false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00"/>
      <c r="AB175" s="100"/>
    </row>
    <row r="176" customFormat="false" ht="12.8" hidden="false" customHeight="false" outlineLevel="0" collapsed="false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00"/>
      <c r="AB176" s="100"/>
    </row>
    <row r="177" customFormat="false" ht="12.8" hidden="false" customHeight="false" outlineLevel="0" collapsed="false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00"/>
      <c r="AB177" s="100"/>
    </row>
    <row r="178" customFormat="false" ht="12.8" hidden="false" customHeight="false" outlineLevel="0" collapsed="false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00"/>
      <c r="AB178" s="100"/>
    </row>
    <row r="179" customFormat="false" ht="12.8" hidden="false" customHeight="false" outlineLevel="0" collapsed="false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00"/>
      <c r="AB179" s="100"/>
    </row>
    <row r="180" customFormat="false" ht="12.8" hidden="false" customHeight="false" outlineLevel="0" collapsed="false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00"/>
      <c r="AB180" s="100"/>
    </row>
    <row r="181" customFormat="false" ht="12.8" hidden="false" customHeight="false" outlineLevel="0" collapsed="false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00"/>
      <c r="AB181" s="100"/>
    </row>
    <row r="182" customFormat="false" ht="12.8" hidden="false" customHeight="false" outlineLevel="0" collapsed="false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00"/>
      <c r="AB182" s="100"/>
    </row>
    <row r="183" customFormat="false" ht="12.8" hidden="false" customHeight="false" outlineLevel="0" collapsed="false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00"/>
      <c r="AB183" s="100"/>
    </row>
    <row r="184" customFormat="false" ht="12.8" hidden="false" customHeight="false" outlineLevel="0" collapsed="false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00"/>
      <c r="AB184" s="100"/>
    </row>
    <row r="185" customFormat="false" ht="12.8" hidden="false" customHeight="false" outlineLevel="0" collapsed="false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00"/>
      <c r="AB185" s="100"/>
    </row>
    <row r="186" customFormat="false" ht="12.8" hidden="false" customHeight="false" outlineLevel="0" collapsed="false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00"/>
      <c r="AB186" s="100"/>
    </row>
    <row r="187" customFormat="false" ht="12.8" hidden="false" customHeight="false" outlineLevel="0" collapsed="false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00"/>
      <c r="AB187" s="100"/>
    </row>
    <row r="188" customFormat="false" ht="12.8" hidden="false" customHeight="false" outlineLevel="0" collapsed="false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00"/>
      <c r="AB188" s="100"/>
    </row>
    <row r="189" customFormat="false" ht="12.8" hidden="false" customHeight="false" outlineLevel="0" collapsed="false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00"/>
      <c r="AB189" s="100"/>
    </row>
    <row r="190" customFormat="false" ht="12.8" hidden="false" customHeight="false" outlineLevel="0" collapsed="false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00"/>
      <c r="AB190" s="100"/>
    </row>
    <row r="191" customFormat="false" ht="12.8" hidden="false" customHeight="false" outlineLevel="0" collapsed="false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00"/>
      <c r="AB191" s="100"/>
    </row>
    <row r="192" customFormat="false" ht="12.8" hidden="false" customHeight="false" outlineLevel="0" collapsed="false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00"/>
      <c r="AB192" s="100"/>
    </row>
    <row r="193" customFormat="false" ht="12.8" hidden="false" customHeight="false" outlineLevel="0" collapsed="false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00"/>
      <c r="AB193" s="100"/>
    </row>
    <row r="194" customFormat="false" ht="12.8" hidden="false" customHeight="false" outlineLevel="0" collapsed="false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00"/>
      <c r="AB194" s="100"/>
    </row>
    <row r="195" customFormat="false" ht="12.8" hidden="false" customHeight="false" outlineLevel="0" collapsed="false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00"/>
      <c r="AB195" s="100"/>
    </row>
    <row r="196" customFormat="false" ht="12.8" hidden="false" customHeight="false" outlineLevel="0" collapsed="false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00"/>
      <c r="AB196" s="100"/>
    </row>
    <row r="197" customFormat="false" ht="12.8" hidden="false" customHeight="false" outlineLevel="0" collapsed="false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00"/>
      <c r="AB197" s="100"/>
    </row>
    <row r="198" customFormat="false" ht="12.8" hidden="false" customHeight="false" outlineLevel="0" collapsed="false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00"/>
      <c r="AB198" s="100"/>
    </row>
    <row r="199" customFormat="false" ht="12.8" hidden="false" customHeight="false" outlineLevel="0" collapsed="false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00"/>
      <c r="AB199" s="100"/>
    </row>
    <row r="200" customFormat="false" ht="12.8" hidden="false" customHeight="false" outlineLevel="0" collapsed="false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00"/>
      <c r="AB200" s="100"/>
    </row>
    <row r="201" customFormat="false" ht="12.8" hidden="false" customHeight="false" outlineLevel="0" collapsed="false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00"/>
      <c r="AB201" s="100"/>
    </row>
    <row r="202" customFormat="false" ht="12.8" hidden="false" customHeight="false" outlineLevel="0" collapsed="false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00"/>
      <c r="AB202" s="100"/>
    </row>
    <row r="203" customFormat="false" ht="12.8" hidden="false" customHeight="false" outlineLevel="0" collapsed="false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00"/>
      <c r="AB203" s="100"/>
    </row>
    <row r="204" customFormat="false" ht="12.8" hidden="false" customHeight="false" outlineLevel="0" collapsed="false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00"/>
      <c r="AB204" s="100"/>
    </row>
    <row r="205" customFormat="false" ht="12.8" hidden="false" customHeight="false" outlineLevel="0" collapsed="false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00"/>
      <c r="AB205" s="100"/>
    </row>
  </sheetData>
  <mergeCells count="6">
    <mergeCell ref="O2:U2"/>
    <mergeCell ref="V2:AB2"/>
    <mergeCell ref="O3:P3"/>
    <mergeCell ref="Q3:U3"/>
    <mergeCell ref="V3:W3"/>
    <mergeCell ref="X3:AB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3046875" defaultRowHeight="12.8" zeroHeight="false" outlineLevelRow="0" outlineLevelCol="0"/>
  <cols>
    <col collapsed="false" customWidth="true" hidden="false" outlineLevel="0" max="27" min="1" style="0" width="16.38"/>
    <col collapsed="false" customWidth="true" hidden="false" outlineLevel="0" max="34" min="28" style="0" width="10.08"/>
  </cols>
  <sheetData>
    <row r="1" customFormat="false" ht="12.8" hidden="false" customHeight="true" outlineLevel="0" collapsed="false">
      <c r="A1" s="224" t="s">
        <v>93</v>
      </c>
      <c r="B1" s="224" t="s">
        <v>819</v>
      </c>
      <c r="C1" s="225" t="s">
        <v>211</v>
      </c>
      <c r="D1" s="224" t="s">
        <v>212</v>
      </c>
      <c r="E1" s="163"/>
      <c r="F1" s="224" t="s">
        <v>81</v>
      </c>
      <c r="G1" s="224" t="s">
        <v>819</v>
      </c>
      <c r="H1" s="224" t="s">
        <v>335</v>
      </c>
      <c r="I1" s="224" t="s">
        <v>336</v>
      </c>
      <c r="J1" s="163"/>
      <c r="K1" s="224" t="s">
        <v>158</v>
      </c>
      <c r="L1" s="224" t="s">
        <v>819</v>
      </c>
      <c r="M1" s="224" t="s">
        <v>333</v>
      </c>
      <c r="N1" s="224" t="s">
        <v>334</v>
      </c>
      <c r="O1" s="163"/>
      <c r="P1" s="224" t="s">
        <v>98</v>
      </c>
      <c r="Q1" s="224" t="s">
        <v>819</v>
      </c>
      <c r="R1" s="224" t="s">
        <v>387</v>
      </c>
      <c r="S1" s="224" t="s">
        <v>339</v>
      </c>
      <c r="T1" s="163"/>
      <c r="U1" s="224" t="s">
        <v>113</v>
      </c>
      <c r="V1" s="224" t="s">
        <v>819</v>
      </c>
      <c r="W1" s="224" t="s">
        <v>331</v>
      </c>
      <c r="X1" s="226" t="s">
        <v>201</v>
      </c>
      <c r="Y1" s="224" t="s">
        <v>148</v>
      </c>
      <c r="Z1" s="227"/>
      <c r="AA1" s="17" t="s">
        <v>1174</v>
      </c>
      <c r="AB1" s="17" t="s">
        <v>1175</v>
      </c>
      <c r="AC1" s="17" t="s">
        <v>1176</v>
      </c>
      <c r="AD1" s="17" t="s">
        <v>1177</v>
      </c>
      <c r="AE1" s="17" t="s">
        <v>1178</v>
      </c>
      <c r="AF1" s="120"/>
      <c r="AG1" s="120"/>
      <c r="AH1" s="120"/>
    </row>
    <row r="2" customFormat="false" ht="12.8" hidden="false" customHeight="true" outlineLevel="0" collapsed="false">
      <c r="A2" s="224"/>
      <c r="B2" s="224" t="s">
        <v>51</v>
      </c>
      <c r="C2" s="225" t="s">
        <v>124</v>
      </c>
      <c r="D2" s="224" t="s">
        <v>125</v>
      </c>
      <c r="E2" s="163"/>
      <c r="F2" s="224"/>
      <c r="G2" s="224"/>
      <c r="H2" s="224" t="s">
        <v>342</v>
      </c>
      <c r="I2" s="224" t="s">
        <v>343</v>
      </c>
      <c r="J2" s="163"/>
      <c r="K2" s="224"/>
      <c r="L2" s="224"/>
      <c r="M2" s="224" t="s">
        <v>340</v>
      </c>
      <c r="N2" s="224" t="s">
        <v>341</v>
      </c>
      <c r="O2" s="163"/>
      <c r="P2" s="224"/>
      <c r="Q2" s="224"/>
      <c r="R2" s="224" t="s">
        <v>329</v>
      </c>
      <c r="S2" s="224" t="s">
        <v>330</v>
      </c>
      <c r="T2" s="163"/>
      <c r="U2" s="224"/>
      <c r="V2" s="224" t="s">
        <v>51</v>
      </c>
      <c r="W2" s="224" t="s">
        <v>114</v>
      </c>
      <c r="X2" s="226" t="s">
        <v>115</v>
      </c>
      <c r="Y2" s="224" t="s">
        <v>116</v>
      </c>
      <c r="Z2" s="227"/>
      <c r="AA2" s="17" t="s">
        <v>1179</v>
      </c>
      <c r="AB2" s="51" t="n">
        <v>0.04</v>
      </c>
      <c r="AC2" s="16"/>
      <c r="AD2" s="16" t="n">
        <v>1</v>
      </c>
      <c r="AE2" s="16"/>
      <c r="AF2" s="120"/>
      <c r="AG2" s="120"/>
      <c r="AH2" s="120"/>
    </row>
    <row r="3" customFormat="false" ht="30.75" hidden="false" customHeight="true" outlineLevel="0" collapsed="false">
      <c r="A3" s="224"/>
      <c r="B3" s="224"/>
      <c r="C3" s="224"/>
      <c r="D3" s="224" t="s">
        <v>127</v>
      </c>
      <c r="E3" s="163"/>
      <c r="F3" s="224"/>
      <c r="G3" s="224"/>
      <c r="H3" s="224" t="s">
        <v>208</v>
      </c>
      <c r="I3" s="224" t="s">
        <v>209</v>
      </c>
      <c r="J3" s="163"/>
      <c r="K3" s="224"/>
      <c r="L3" s="224"/>
      <c r="M3" s="224" t="s">
        <v>206</v>
      </c>
      <c r="N3" s="224" t="s">
        <v>207</v>
      </c>
      <c r="O3" s="163"/>
      <c r="P3" s="224"/>
      <c r="Q3" s="224"/>
      <c r="R3" s="224" t="s">
        <v>203</v>
      </c>
      <c r="S3" s="224" t="s">
        <v>204</v>
      </c>
      <c r="T3" s="163"/>
      <c r="U3" s="224"/>
      <c r="V3" s="224" t="s">
        <v>52</v>
      </c>
      <c r="W3" s="224" t="s">
        <v>146</v>
      </c>
      <c r="X3" s="226" t="s">
        <v>147</v>
      </c>
      <c r="Y3" s="224" t="s">
        <v>148</v>
      </c>
      <c r="Z3" s="227"/>
      <c r="AA3" s="17" t="s">
        <v>1072</v>
      </c>
      <c r="AB3" s="51" t="n">
        <v>0.1</v>
      </c>
      <c r="AC3" s="16" t="n">
        <v>-1</v>
      </c>
      <c r="AD3" s="16" t="n">
        <v>2</v>
      </c>
      <c r="AE3" s="16"/>
      <c r="AF3" s="120"/>
      <c r="AG3" s="120"/>
      <c r="AH3" s="120"/>
    </row>
    <row r="4" customFormat="false" ht="12.8" hidden="false" customHeight="true" outlineLevel="0" collapsed="false">
      <c r="A4" s="224"/>
      <c r="B4" s="224"/>
      <c r="C4" s="225" t="s">
        <v>122</v>
      </c>
      <c r="D4" s="224" t="s">
        <v>123</v>
      </c>
      <c r="E4" s="163"/>
      <c r="F4" s="224"/>
      <c r="G4" s="224" t="s">
        <v>51</v>
      </c>
      <c r="H4" s="225" t="s">
        <v>117</v>
      </c>
      <c r="I4" s="224" t="s">
        <v>118</v>
      </c>
      <c r="J4" s="163"/>
      <c r="K4" s="224"/>
      <c r="L4" s="224"/>
      <c r="M4" s="225" t="s">
        <v>332</v>
      </c>
      <c r="N4" s="224" t="s">
        <v>330</v>
      </c>
      <c r="O4" s="163"/>
      <c r="P4" s="224"/>
      <c r="Q4" s="224"/>
      <c r="R4" s="224" t="s">
        <v>200</v>
      </c>
      <c r="S4" s="224" t="s">
        <v>201</v>
      </c>
      <c r="T4" s="163"/>
      <c r="U4" s="224"/>
      <c r="V4" s="224"/>
      <c r="W4" s="224"/>
      <c r="X4" s="226" t="s">
        <v>149</v>
      </c>
      <c r="Y4" s="224" t="s">
        <v>143</v>
      </c>
      <c r="Z4" s="227"/>
      <c r="AA4" s="17" t="s">
        <v>1073</v>
      </c>
      <c r="AB4" s="51" t="n">
        <v>0.3</v>
      </c>
      <c r="AC4" s="16" t="n">
        <v>-2</v>
      </c>
      <c r="AD4" s="130" t="n">
        <v>2</v>
      </c>
      <c r="AE4" s="17" t="s">
        <v>92</v>
      </c>
      <c r="AF4" s="120"/>
      <c r="AG4" s="120"/>
      <c r="AH4" s="120"/>
    </row>
    <row r="5" customFormat="false" ht="12.8" hidden="false" customHeight="true" outlineLevel="0" collapsed="false">
      <c r="A5" s="224"/>
      <c r="B5" s="224"/>
      <c r="C5" s="225" t="s">
        <v>129</v>
      </c>
      <c r="D5" s="224" t="s">
        <v>108</v>
      </c>
      <c r="E5" s="163"/>
      <c r="F5" s="224"/>
      <c r="G5" s="224"/>
      <c r="H5" s="224" t="s">
        <v>119</v>
      </c>
      <c r="I5" s="224" t="s">
        <v>120</v>
      </c>
      <c r="J5" s="163"/>
      <c r="K5" s="224"/>
      <c r="L5" s="224" t="s">
        <v>52</v>
      </c>
      <c r="M5" s="228" t="s">
        <v>159</v>
      </c>
      <c r="N5" s="228" t="s">
        <v>160</v>
      </c>
      <c r="O5" s="163"/>
      <c r="P5" s="224"/>
      <c r="Q5" s="224" t="s">
        <v>51</v>
      </c>
      <c r="R5" s="224" t="s">
        <v>110</v>
      </c>
      <c r="S5" s="224" t="s">
        <v>111</v>
      </c>
      <c r="T5" s="163"/>
      <c r="U5" s="224"/>
      <c r="V5" s="224"/>
      <c r="W5" s="224" t="s">
        <v>155</v>
      </c>
      <c r="X5" s="226" t="s">
        <v>156</v>
      </c>
      <c r="Y5" s="224" t="s">
        <v>148</v>
      </c>
      <c r="Z5" s="227"/>
      <c r="AA5" s="130"/>
      <c r="AB5" s="130"/>
      <c r="AC5" s="130"/>
      <c r="AD5" s="16"/>
      <c r="AE5" s="130"/>
      <c r="AF5" s="151"/>
      <c r="AG5" s="151"/>
      <c r="AH5" s="151"/>
    </row>
    <row r="6" customFormat="false" ht="12.8" hidden="false" customHeight="true" outlineLevel="0" collapsed="false">
      <c r="A6" s="224"/>
      <c r="B6" s="224" t="s">
        <v>52</v>
      </c>
      <c r="C6" s="225" t="s">
        <v>189</v>
      </c>
      <c r="D6" s="224" t="s">
        <v>190</v>
      </c>
      <c r="E6" s="163"/>
      <c r="F6" s="224"/>
      <c r="G6" s="224" t="s">
        <v>52</v>
      </c>
      <c r="H6" s="224" t="s">
        <v>185</v>
      </c>
      <c r="I6" s="228" t="s">
        <v>186</v>
      </c>
      <c r="J6" s="163"/>
      <c r="K6" s="224"/>
      <c r="L6" s="224"/>
      <c r="M6" s="224"/>
      <c r="N6" s="228" t="s">
        <v>161</v>
      </c>
      <c r="O6" s="163"/>
      <c r="P6" s="224"/>
      <c r="Q6" s="224"/>
      <c r="R6" s="224" t="s">
        <v>104</v>
      </c>
      <c r="S6" s="224" t="s">
        <v>105</v>
      </c>
      <c r="T6" s="163"/>
      <c r="U6" s="224"/>
      <c r="V6" s="224"/>
      <c r="W6" s="225" t="s">
        <v>151</v>
      </c>
      <c r="X6" s="226" t="s">
        <v>152</v>
      </c>
      <c r="Y6" s="224" t="s">
        <v>153</v>
      </c>
      <c r="Z6" s="227"/>
      <c r="AA6" s="17" t="s">
        <v>62</v>
      </c>
      <c r="AB6" s="17" t="s">
        <v>41</v>
      </c>
      <c r="AC6" s="17" t="s">
        <v>1180</v>
      </c>
      <c r="AD6" s="16" t="s">
        <v>1181</v>
      </c>
      <c r="AE6" s="17" t="s">
        <v>1182</v>
      </c>
      <c r="AF6" s="100"/>
      <c r="AG6" s="100"/>
      <c r="AH6" s="100"/>
    </row>
    <row r="7" customFormat="false" ht="30.75" hidden="false" customHeight="true" outlineLevel="0" collapsed="false">
      <c r="A7" s="224"/>
      <c r="B7" s="224"/>
      <c r="C7" s="224"/>
      <c r="D7" s="224" t="s">
        <v>191</v>
      </c>
      <c r="E7" s="163"/>
      <c r="F7" s="224"/>
      <c r="G7" s="224"/>
      <c r="H7" s="224"/>
      <c r="I7" s="228" t="s">
        <v>187</v>
      </c>
      <c r="J7" s="163"/>
      <c r="K7" s="224"/>
      <c r="L7" s="224"/>
      <c r="M7" s="224"/>
      <c r="N7" s="228" t="s">
        <v>162</v>
      </c>
      <c r="O7" s="163"/>
      <c r="P7" s="224"/>
      <c r="Q7" s="224"/>
      <c r="R7" s="224"/>
      <c r="S7" s="224" t="s">
        <v>108</v>
      </c>
      <c r="T7" s="6"/>
      <c r="U7" s="224"/>
      <c r="V7" s="224"/>
      <c r="W7" s="225"/>
      <c r="X7" s="226" t="s">
        <v>154</v>
      </c>
      <c r="Y7" s="224" t="s">
        <v>126</v>
      </c>
      <c r="Z7" s="227"/>
      <c r="AA7" s="17" t="s">
        <v>1179</v>
      </c>
      <c r="AB7" s="142" t="n">
        <v>1500</v>
      </c>
      <c r="AC7" s="16" t="n">
        <v>2</v>
      </c>
      <c r="AD7" s="51" t="n">
        <f aca="false">80%*AC7</f>
        <v>0</v>
      </c>
      <c r="AE7" s="142" t="n">
        <f aca="false">AB7*(1+AD7)</f>
        <v>0</v>
      </c>
      <c r="AF7" s="100"/>
      <c r="AG7" s="100"/>
      <c r="AH7" s="100"/>
    </row>
    <row r="8" customFormat="false" ht="12.8" hidden="false" customHeight="true" outlineLevel="0" collapsed="false">
      <c r="A8" s="224"/>
      <c r="B8" s="224"/>
      <c r="C8" s="224"/>
      <c r="D8" s="224" t="s">
        <v>193</v>
      </c>
      <c r="E8" s="163"/>
      <c r="F8" s="224"/>
      <c r="G8" s="224"/>
      <c r="H8" s="224"/>
      <c r="I8" s="228" t="s">
        <v>162</v>
      </c>
      <c r="J8" s="163"/>
      <c r="K8" s="224"/>
      <c r="L8" s="224"/>
      <c r="M8" s="228" t="s">
        <v>168</v>
      </c>
      <c r="N8" s="228" t="s">
        <v>169</v>
      </c>
      <c r="O8" s="163"/>
      <c r="P8" s="224"/>
      <c r="Q8" s="224"/>
      <c r="R8" s="224" t="s">
        <v>99</v>
      </c>
      <c r="S8" s="224" t="s">
        <v>100</v>
      </c>
      <c r="T8" s="6"/>
      <c r="U8" s="224"/>
      <c r="V8" s="224" t="s">
        <v>53</v>
      </c>
      <c r="W8" s="224" t="s">
        <v>221</v>
      </c>
      <c r="X8" s="226" t="s">
        <v>222</v>
      </c>
      <c r="Y8" s="224" t="s">
        <v>148</v>
      </c>
      <c r="Z8" s="227"/>
      <c r="AA8" s="17" t="s">
        <v>1072</v>
      </c>
      <c r="AB8" s="142" t="n">
        <v>8000</v>
      </c>
      <c r="AC8" s="16" t="n">
        <v>2</v>
      </c>
      <c r="AD8" s="51" t="n">
        <f aca="false">80%*AC8</f>
        <v>0</v>
      </c>
      <c r="AE8" s="142" t="n">
        <f aca="false">AB8*(1+AD8)</f>
        <v>0</v>
      </c>
      <c r="AF8" s="100"/>
      <c r="AG8" s="100"/>
      <c r="AH8" s="100"/>
    </row>
    <row r="9" customFormat="false" ht="30.75" hidden="false" customHeight="true" outlineLevel="0" collapsed="false">
      <c r="A9" s="224"/>
      <c r="B9" s="224" t="s">
        <v>53</v>
      </c>
      <c r="C9" s="225" t="s">
        <v>250</v>
      </c>
      <c r="D9" s="224" t="s">
        <v>251</v>
      </c>
      <c r="E9" s="163"/>
      <c r="F9" s="224"/>
      <c r="G9" s="224"/>
      <c r="H9" s="224" t="s">
        <v>171</v>
      </c>
      <c r="I9" s="228" t="s">
        <v>172</v>
      </c>
      <c r="J9" s="163"/>
      <c r="K9" s="224"/>
      <c r="L9" s="224"/>
      <c r="M9" s="224"/>
      <c r="N9" s="228" t="s">
        <v>162</v>
      </c>
      <c r="O9" s="163"/>
      <c r="P9" s="224"/>
      <c r="Q9" s="224" t="s">
        <v>52</v>
      </c>
      <c r="R9" s="228" t="s">
        <v>140</v>
      </c>
      <c r="S9" s="228" t="s">
        <v>141</v>
      </c>
      <c r="T9" s="6"/>
      <c r="U9" s="224"/>
      <c r="V9" s="224"/>
      <c r="W9" s="224" t="s">
        <v>223</v>
      </c>
      <c r="X9" s="226" t="s">
        <v>224</v>
      </c>
      <c r="Y9" s="224" t="s">
        <v>148</v>
      </c>
      <c r="Z9" s="227"/>
      <c r="AA9" s="17" t="s">
        <v>1073</v>
      </c>
      <c r="AB9" s="142" t="n">
        <v>95000</v>
      </c>
      <c r="AC9" s="16" t="n">
        <v>2</v>
      </c>
      <c r="AD9" s="51" t="n">
        <f aca="false">80%*AC9</f>
        <v>0</v>
      </c>
      <c r="AE9" s="142" t="n">
        <f aca="false">AB9*(1+AD9)</f>
        <v>0</v>
      </c>
      <c r="AF9" s="100"/>
      <c r="AG9" s="100"/>
      <c r="AH9" s="100"/>
    </row>
    <row r="10" customFormat="false" ht="30.75" hidden="false" customHeight="true" outlineLevel="0" collapsed="false">
      <c r="A10" s="224"/>
      <c r="B10" s="224"/>
      <c r="C10" s="224"/>
      <c r="D10" s="228" t="s">
        <v>252</v>
      </c>
      <c r="E10" s="163"/>
      <c r="F10" s="224"/>
      <c r="G10" s="224"/>
      <c r="H10" s="224"/>
      <c r="I10" s="228" t="s">
        <v>173</v>
      </c>
      <c r="J10" s="163"/>
      <c r="K10" s="224"/>
      <c r="L10" s="224"/>
      <c r="M10" s="228" t="s">
        <v>164</v>
      </c>
      <c r="N10" s="228" t="s">
        <v>161</v>
      </c>
      <c r="O10" s="163"/>
      <c r="P10" s="224"/>
      <c r="Q10" s="224"/>
      <c r="R10" s="224"/>
      <c r="S10" s="228" t="s">
        <v>142</v>
      </c>
      <c r="T10" s="6"/>
      <c r="U10" s="224"/>
      <c r="V10" s="224"/>
      <c r="W10" s="224"/>
      <c r="X10" s="226" t="s">
        <v>225</v>
      </c>
      <c r="Y10" s="224" t="s">
        <v>126</v>
      </c>
      <c r="Z10" s="227"/>
      <c r="AA10" s="130"/>
      <c r="AB10" s="130"/>
      <c r="AC10" s="16"/>
      <c r="AD10" s="130"/>
      <c r="AE10" s="130"/>
      <c r="AF10" s="16"/>
      <c r="AG10" s="120"/>
      <c r="AH10" s="120"/>
    </row>
    <row r="11" customFormat="false" ht="30.75" hidden="false" customHeight="true" outlineLevel="0" collapsed="false">
      <c r="A11" s="224"/>
      <c r="B11" s="224"/>
      <c r="C11" s="224"/>
      <c r="D11" s="224" t="s">
        <v>253</v>
      </c>
      <c r="E11" s="163"/>
      <c r="F11" s="224"/>
      <c r="G11" s="224"/>
      <c r="H11" s="224" t="s">
        <v>174</v>
      </c>
      <c r="I11" s="228" t="s">
        <v>175</v>
      </c>
      <c r="J11" s="163"/>
      <c r="K11" s="224"/>
      <c r="L11" s="224"/>
      <c r="M11" s="224"/>
      <c r="N11" s="228" t="s">
        <v>166</v>
      </c>
      <c r="O11" s="163"/>
      <c r="P11" s="224"/>
      <c r="Q11" s="224"/>
      <c r="R11" s="224"/>
      <c r="S11" s="228" t="s">
        <v>144</v>
      </c>
      <c r="T11" s="163"/>
      <c r="U11" s="224"/>
      <c r="V11" s="224"/>
      <c r="W11" s="224"/>
      <c r="X11" s="226" t="s">
        <v>226</v>
      </c>
      <c r="Y11" s="224" t="s">
        <v>148</v>
      </c>
      <c r="Z11" s="227"/>
      <c r="AA11" s="17" t="s">
        <v>62</v>
      </c>
      <c r="AB11" s="17" t="s">
        <v>1183</v>
      </c>
      <c r="AC11" s="17" t="s">
        <v>1175</v>
      </c>
      <c r="AD11" s="17" t="s">
        <v>1184</v>
      </c>
      <c r="AE11" s="17" t="s">
        <v>1185</v>
      </c>
      <c r="AF11" s="17" t="s">
        <v>1186</v>
      </c>
      <c r="AG11" s="16"/>
      <c r="AH11" s="120"/>
    </row>
    <row r="12" customFormat="false" ht="30.75" hidden="false" customHeight="true" outlineLevel="0" collapsed="false">
      <c r="A12" s="224"/>
      <c r="B12" s="224"/>
      <c r="C12" s="224"/>
      <c r="D12" s="228" t="s">
        <v>254</v>
      </c>
      <c r="E12" s="163"/>
      <c r="F12" s="224"/>
      <c r="G12" s="224"/>
      <c r="H12" s="224"/>
      <c r="I12" s="228" t="s">
        <v>177</v>
      </c>
      <c r="J12" s="163"/>
      <c r="K12" s="224"/>
      <c r="L12" s="224"/>
      <c r="M12" s="224"/>
      <c r="N12" s="228" t="s">
        <v>167</v>
      </c>
      <c r="O12" s="163"/>
      <c r="P12" s="224"/>
      <c r="Q12" s="224"/>
      <c r="R12" s="228" t="s">
        <v>132</v>
      </c>
      <c r="S12" s="228" t="s">
        <v>133</v>
      </c>
      <c r="T12" s="163"/>
      <c r="U12" s="224"/>
      <c r="V12" s="224"/>
      <c r="W12" s="224" t="s">
        <v>230</v>
      </c>
      <c r="X12" s="226" t="s">
        <v>231</v>
      </c>
      <c r="Y12" s="224" t="s">
        <v>148</v>
      </c>
      <c r="Z12" s="227"/>
      <c r="AA12" s="17" t="s">
        <v>1179</v>
      </c>
      <c r="AB12" s="17" t="s">
        <v>1187</v>
      </c>
      <c r="AC12" s="142" t="n">
        <v>10000</v>
      </c>
      <c r="AD12" s="229" t="n">
        <f aca="false">AC12/3600</f>
        <v>0</v>
      </c>
      <c r="AE12" s="229" t="n">
        <f aca="false">AB7/AC12*3600</f>
        <v>0</v>
      </c>
      <c r="AF12" s="230" t="n">
        <f aca="false">TIME(0,0,AE12)</f>
        <v>0</v>
      </c>
      <c r="AG12" s="16"/>
      <c r="AH12" s="120"/>
    </row>
    <row r="13" customFormat="false" ht="30.75" hidden="false" customHeight="true" outlineLevel="0" collapsed="false">
      <c r="A13" s="224"/>
      <c r="B13" s="224" t="s">
        <v>258</v>
      </c>
      <c r="C13" s="225" t="s">
        <v>296</v>
      </c>
      <c r="D13" s="228" t="s">
        <v>297</v>
      </c>
      <c r="E13" s="163"/>
      <c r="F13" s="224"/>
      <c r="G13" s="224"/>
      <c r="H13" s="224"/>
      <c r="I13" s="228" t="s">
        <v>179</v>
      </c>
      <c r="J13" s="163"/>
      <c r="K13" s="224"/>
      <c r="L13" s="224" t="s">
        <v>53</v>
      </c>
      <c r="M13" s="228" t="s">
        <v>235</v>
      </c>
      <c r="N13" s="228" t="s">
        <v>236</v>
      </c>
      <c r="O13" s="163"/>
      <c r="P13" s="224"/>
      <c r="Q13" s="224"/>
      <c r="R13" s="224"/>
      <c r="S13" s="228" t="s">
        <v>136</v>
      </c>
      <c r="T13" s="163"/>
      <c r="U13" s="224"/>
      <c r="V13" s="224"/>
      <c r="W13" s="231" t="s">
        <v>1188</v>
      </c>
      <c r="X13" s="226" t="s">
        <v>229</v>
      </c>
      <c r="Y13" s="224" t="s">
        <v>143</v>
      </c>
      <c r="Z13" s="227"/>
      <c r="AA13" s="17" t="s">
        <v>1072</v>
      </c>
      <c r="AB13" s="17" t="s">
        <v>1187</v>
      </c>
      <c r="AC13" s="142" t="n">
        <v>34000</v>
      </c>
      <c r="AD13" s="229" t="n">
        <f aca="false">AC13/3600</f>
        <v>0</v>
      </c>
      <c r="AE13" s="229" t="n">
        <f aca="false">AB8/AC13*3600</f>
        <v>0</v>
      </c>
      <c r="AF13" s="230" t="n">
        <f aca="false">TIME(0,0,AE13)</f>
        <v>0</v>
      </c>
      <c r="AG13" s="16"/>
      <c r="AH13" s="120"/>
    </row>
    <row r="14" customFormat="false" ht="30.75" hidden="false" customHeight="true" outlineLevel="0" collapsed="false">
      <c r="A14" s="224"/>
      <c r="B14" s="224"/>
      <c r="C14" s="224"/>
      <c r="D14" s="228" t="s">
        <v>299</v>
      </c>
      <c r="E14" s="163"/>
      <c r="F14" s="224"/>
      <c r="G14" s="224"/>
      <c r="H14" s="224" t="s">
        <v>181</v>
      </c>
      <c r="I14" s="224" t="s">
        <v>182</v>
      </c>
      <c r="J14" s="163"/>
      <c r="K14" s="224"/>
      <c r="L14" s="224"/>
      <c r="M14" s="224"/>
      <c r="N14" s="228" t="s">
        <v>218</v>
      </c>
      <c r="O14" s="163"/>
      <c r="P14" s="224"/>
      <c r="Q14" s="224"/>
      <c r="R14" s="224"/>
      <c r="S14" s="228" t="s">
        <v>138</v>
      </c>
      <c r="T14" s="6"/>
      <c r="U14" s="224"/>
      <c r="V14" s="224" t="s">
        <v>258</v>
      </c>
      <c r="W14" s="224" t="s">
        <v>272</v>
      </c>
      <c r="X14" s="226" t="s">
        <v>273</v>
      </c>
      <c r="Y14" s="224" t="s">
        <v>148</v>
      </c>
      <c r="Z14" s="227"/>
      <c r="AA14" s="17" t="s">
        <v>1073</v>
      </c>
      <c r="AB14" s="17" t="s">
        <v>1187</v>
      </c>
      <c r="AC14" s="142" t="n">
        <v>80000</v>
      </c>
      <c r="AD14" s="229" t="n">
        <f aca="false">AC14/3600</f>
        <v>0</v>
      </c>
      <c r="AE14" s="229" t="n">
        <f aca="false">AB9/AC14*3600</f>
        <v>0</v>
      </c>
      <c r="AF14" s="230" t="n">
        <f aca="false">TIME(0,0,AE14)</f>
        <v>0</v>
      </c>
      <c r="AG14" s="100"/>
      <c r="AH14" s="100"/>
    </row>
    <row r="15" customFormat="false" ht="30.75" hidden="false" customHeight="true" outlineLevel="0" collapsed="false">
      <c r="A15" s="224"/>
      <c r="B15" s="224"/>
      <c r="C15" s="224"/>
      <c r="D15" s="228" t="s">
        <v>263</v>
      </c>
      <c r="E15" s="6"/>
      <c r="F15" s="224"/>
      <c r="G15" s="224"/>
      <c r="H15" s="224"/>
      <c r="I15" s="224" t="s">
        <v>184</v>
      </c>
      <c r="J15" s="163"/>
      <c r="K15" s="224"/>
      <c r="L15" s="224"/>
      <c r="M15" s="224"/>
      <c r="N15" s="228" t="s">
        <v>222</v>
      </c>
      <c r="O15" s="163"/>
      <c r="P15" s="224"/>
      <c r="Q15" s="224" t="s">
        <v>53</v>
      </c>
      <c r="R15" s="228" t="s">
        <v>217</v>
      </c>
      <c r="S15" s="228" t="s">
        <v>218</v>
      </c>
      <c r="T15" s="6"/>
      <c r="U15" s="224"/>
      <c r="V15" s="224"/>
      <c r="W15" s="224"/>
      <c r="X15" s="226" t="s">
        <v>274</v>
      </c>
      <c r="Y15" s="224" t="s">
        <v>237</v>
      </c>
      <c r="Z15" s="227"/>
      <c r="AA15" s="130"/>
      <c r="AB15" s="130"/>
      <c r="AC15" s="130"/>
      <c r="AD15" s="130"/>
      <c r="AE15" s="130"/>
      <c r="AF15" s="130"/>
      <c r="AG15" s="151"/>
      <c r="AH15" s="120"/>
    </row>
    <row r="16" customFormat="false" ht="30.75" hidden="false" customHeight="true" outlineLevel="0" collapsed="false">
      <c r="A16" s="224"/>
      <c r="B16" s="224"/>
      <c r="C16" s="225" t="s">
        <v>301</v>
      </c>
      <c r="D16" s="228" t="s">
        <v>302</v>
      </c>
      <c r="E16" s="6"/>
      <c r="F16" s="224"/>
      <c r="G16" s="224" t="s">
        <v>53</v>
      </c>
      <c r="H16" s="224" t="s">
        <v>246</v>
      </c>
      <c r="I16" s="228" t="s">
        <v>222</v>
      </c>
      <c r="J16" s="163"/>
      <c r="K16" s="224"/>
      <c r="L16" s="224"/>
      <c r="M16" s="228" t="s">
        <v>239</v>
      </c>
      <c r="N16" s="228" t="s">
        <v>240</v>
      </c>
      <c r="O16" s="163"/>
      <c r="P16" s="224"/>
      <c r="Q16" s="224"/>
      <c r="R16" s="224"/>
      <c r="S16" s="228" t="s">
        <v>219</v>
      </c>
      <c r="T16" s="6"/>
      <c r="U16" s="224"/>
      <c r="V16" s="224"/>
      <c r="W16" s="224"/>
      <c r="X16" s="226" t="s">
        <v>275</v>
      </c>
      <c r="Y16" s="224" t="s">
        <v>237</v>
      </c>
      <c r="Z16" s="227"/>
      <c r="AA16" s="17" t="s">
        <v>62</v>
      </c>
      <c r="AB16" s="17" t="s">
        <v>1183</v>
      </c>
      <c r="AC16" s="17" t="s">
        <v>1175</v>
      </c>
      <c r="AD16" s="17" t="s">
        <v>1184</v>
      </c>
      <c r="AE16" s="17" t="s">
        <v>1185</v>
      </c>
      <c r="AF16" s="17" t="s">
        <v>1186</v>
      </c>
      <c r="AG16" s="17" t="s">
        <v>1180</v>
      </c>
      <c r="AH16" s="185" t="s">
        <v>1181</v>
      </c>
    </row>
    <row r="17" customFormat="false" ht="30.75" hidden="false" customHeight="true" outlineLevel="0" collapsed="false">
      <c r="A17" s="224"/>
      <c r="B17" s="224"/>
      <c r="C17" s="224"/>
      <c r="D17" s="228" t="s">
        <v>303</v>
      </c>
      <c r="E17" s="6"/>
      <c r="F17" s="224"/>
      <c r="G17" s="224"/>
      <c r="H17" s="224"/>
      <c r="I17" s="228" t="s">
        <v>236</v>
      </c>
      <c r="J17" s="163"/>
      <c r="K17" s="224"/>
      <c r="L17" s="224"/>
      <c r="M17" s="224"/>
      <c r="N17" s="228" t="s">
        <v>241</v>
      </c>
      <c r="O17" s="163"/>
      <c r="P17" s="224"/>
      <c r="Q17" s="224"/>
      <c r="R17" s="224"/>
      <c r="S17" s="228" t="s">
        <v>220</v>
      </c>
      <c r="T17" s="6"/>
      <c r="U17" s="224"/>
      <c r="V17" s="224"/>
      <c r="W17" s="224" t="s">
        <v>266</v>
      </c>
      <c r="X17" s="226" t="s">
        <v>267</v>
      </c>
      <c r="Y17" s="224" t="s">
        <v>178</v>
      </c>
      <c r="Z17" s="227"/>
      <c r="AA17" s="17" t="s">
        <v>1179</v>
      </c>
      <c r="AB17" s="17" t="s">
        <v>1189</v>
      </c>
      <c r="AC17" s="142" t="n">
        <f aca="false">AC12*(1+V17)</f>
        <v>0</v>
      </c>
      <c r="AD17" s="229" t="n">
        <f aca="false">AC17/3600</f>
        <v>0</v>
      </c>
      <c r="AE17" s="229" t="n">
        <f aca="false">AE7/AC17*3600</f>
        <v>0</v>
      </c>
      <c r="AF17" s="230" t="n">
        <f aca="false">TIME(0,0,AE17)</f>
        <v>0</v>
      </c>
      <c r="AG17" s="16" t="n">
        <v>2</v>
      </c>
      <c r="AH17" s="232" t="n">
        <f aca="false">20%*AG17</f>
        <v>0</v>
      </c>
    </row>
    <row r="18" customFormat="false" ht="30.75" hidden="false" customHeight="true" outlineLevel="0" collapsed="false">
      <c r="A18" s="224"/>
      <c r="B18" s="224"/>
      <c r="C18" s="224"/>
      <c r="D18" s="228" t="s">
        <v>304</v>
      </c>
      <c r="E18" s="6"/>
      <c r="F18" s="224"/>
      <c r="G18" s="224"/>
      <c r="H18" s="224" t="s">
        <v>243</v>
      </c>
      <c r="I18" s="228" t="s">
        <v>244</v>
      </c>
      <c r="J18" s="163"/>
      <c r="K18" s="224"/>
      <c r="L18" s="224"/>
      <c r="M18" s="224"/>
      <c r="N18" s="228" t="s">
        <v>242</v>
      </c>
      <c r="O18" s="163"/>
      <c r="P18" s="224"/>
      <c r="Q18" s="224"/>
      <c r="R18" s="228" t="s">
        <v>213</v>
      </c>
      <c r="S18" s="228" t="s">
        <v>214</v>
      </c>
      <c r="T18" s="6"/>
      <c r="U18" s="224"/>
      <c r="V18" s="224"/>
      <c r="W18" s="225" t="s">
        <v>268</v>
      </c>
      <c r="X18" s="226" t="s">
        <v>269</v>
      </c>
      <c r="Y18" s="224" t="s">
        <v>270</v>
      </c>
      <c r="Z18" s="227"/>
      <c r="AA18" s="17" t="s">
        <v>1072</v>
      </c>
      <c r="AB18" s="17" t="s">
        <v>1189</v>
      </c>
      <c r="AC18" s="142" t="n">
        <f aca="false">AC13*(1+V18)</f>
        <v>0</v>
      </c>
      <c r="AD18" s="229" t="n">
        <f aca="false">AC18/3600</f>
        <v>0</v>
      </c>
      <c r="AE18" s="229" t="n">
        <f aca="false">AE8/AC18*3600</f>
        <v>0</v>
      </c>
      <c r="AF18" s="230" t="n">
        <f aca="false">TIME(0,0,AE18)</f>
        <v>0</v>
      </c>
      <c r="AG18" s="16" t="n">
        <v>3</v>
      </c>
      <c r="AH18" s="232" t="n">
        <f aca="false">20%*AG18</f>
        <v>0</v>
      </c>
    </row>
    <row r="19" customFormat="false" ht="30.75" hidden="false" customHeight="true" outlineLevel="0" collapsed="false">
      <c r="A19" s="224"/>
      <c r="B19" s="224"/>
      <c r="C19" s="224"/>
      <c r="D19" s="228" t="s">
        <v>305</v>
      </c>
      <c r="E19" s="6"/>
      <c r="F19" s="224"/>
      <c r="G19" s="224"/>
      <c r="H19" s="224"/>
      <c r="I19" s="228" t="s">
        <v>245</v>
      </c>
      <c r="J19" s="163"/>
      <c r="K19" s="224"/>
      <c r="L19" s="224"/>
      <c r="M19" s="228" t="s">
        <v>232</v>
      </c>
      <c r="N19" s="224" t="s">
        <v>233</v>
      </c>
      <c r="O19" s="163"/>
      <c r="P19" s="224"/>
      <c r="Q19" s="224"/>
      <c r="R19" s="224"/>
      <c r="S19" s="228" t="s">
        <v>215</v>
      </c>
      <c r="T19" s="6"/>
      <c r="U19" s="224"/>
      <c r="V19" s="224"/>
      <c r="W19" s="225"/>
      <c r="X19" s="226" t="s">
        <v>271</v>
      </c>
      <c r="Y19" s="224" t="s">
        <v>188</v>
      </c>
      <c r="Z19" s="227"/>
      <c r="AA19" s="17" t="s">
        <v>1073</v>
      </c>
      <c r="AB19" s="17" t="s">
        <v>1189</v>
      </c>
      <c r="AC19" s="142" t="n">
        <f aca="false">AC14*(1+V19)</f>
        <v>0</v>
      </c>
      <c r="AD19" s="229" t="n">
        <f aca="false">AC19/3600</f>
        <v>0</v>
      </c>
      <c r="AE19" s="229" t="n">
        <f aca="false">AE9/AC19*3600</f>
        <v>0</v>
      </c>
      <c r="AF19" s="230" t="n">
        <f aca="false">TIME(0,0,AE19)</f>
        <v>0</v>
      </c>
      <c r="AG19" s="16" t="n">
        <v>3</v>
      </c>
      <c r="AH19" s="232" t="n">
        <f aca="false">20%*AG19</f>
        <v>0</v>
      </c>
    </row>
    <row r="20" customFormat="false" ht="30.75" hidden="false" customHeight="true" outlineLevel="0" collapsed="false">
      <c r="A20" s="224"/>
      <c r="B20" s="224" t="s">
        <v>311</v>
      </c>
      <c r="C20" s="225" t="s">
        <v>325</v>
      </c>
      <c r="D20" s="224" t="s">
        <v>326</v>
      </c>
      <c r="E20" s="6"/>
      <c r="F20" s="224"/>
      <c r="G20" s="224"/>
      <c r="H20" s="224"/>
      <c r="I20" s="228" t="s">
        <v>225</v>
      </c>
      <c r="J20" s="163"/>
      <c r="K20" s="224"/>
      <c r="L20" s="224"/>
      <c r="M20" s="224"/>
      <c r="N20" s="228" t="s">
        <v>234</v>
      </c>
      <c r="O20" s="163"/>
      <c r="P20" s="224"/>
      <c r="Q20" s="224"/>
      <c r="R20" s="224"/>
      <c r="S20" s="228" t="s">
        <v>216</v>
      </c>
      <c r="T20" s="6"/>
      <c r="U20" s="224"/>
      <c r="V20" s="224"/>
      <c r="W20" s="224"/>
      <c r="X20" s="226" t="s">
        <v>263</v>
      </c>
      <c r="Y20" s="224" t="s">
        <v>237</v>
      </c>
      <c r="Z20" s="227"/>
      <c r="AA20" s="130"/>
      <c r="AB20" s="130"/>
      <c r="AC20" s="130"/>
      <c r="AD20" s="130"/>
      <c r="AE20" s="130"/>
      <c r="AF20" s="130"/>
      <c r="AG20" s="16"/>
      <c r="AH20" s="120"/>
    </row>
    <row r="21" customFormat="false" ht="30.75" hidden="false" customHeight="true" outlineLevel="0" collapsed="false">
      <c r="A21" s="224"/>
      <c r="B21" s="224" t="s">
        <v>80</v>
      </c>
      <c r="C21" s="225" t="s">
        <v>94</v>
      </c>
      <c r="D21" s="224" t="s">
        <v>95</v>
      </c>
      <c r="E21" s="6"/>
      <c r="F21" s="224"/>
      <c r="G21" s="224"/>
      <c r="H21" s="224" t="s">
        <v>247</v>
      </c>
      <c r="I21" s="224" t="s">
        <v>248</v>
      </c>
      <c r="J21" s="163"/>
      <c r="K21" s="224"/>
      <c r="L21" s="224" t="s">
        <v>258</v>
      </c>
      <c r="M21" s="228" t="s">
        <v>280</v>
      </c>
      <c r="N21" s="228" t="s">
        <v>281</v>
      </c>
      <c r="O21" s="163"/>
      <c r="P21" s="224"/>
      <c r="Q21" s="224" t="s">
        <v>258</v>
      </c>
      <c r="R21" s="228" t="s">
        <v>262</v>
      </c>
      <c r="S21" s="228" t="s">
        <v>263</v>
      </c>
      <c r="T21" s="6"/>
      <c r="U21" s="224"/>
      <c r="V21" s="233" t="s">
        <v>311</v>
      </c>
      <c r="W21" s="233" t="s">
        <v>315</v>
      </c>
      <c r="X21" s="226" t="s">
        <v>316</v>
      </c>
      <c r="Y21" s="224" t="s">
        <v>85</v>
      </c>
      <c r="Z21" s="227"/>
      <c r="AA21" s="17" t="s">
        <v>62</v>
      </c>
      <c r="AB21" s="17" t="s">
        <v>1174</v>
      </c>
      <c r="AC21" s="17" t="s">
        <v>1175</v>
      </c>
      <c r="AD21" s="17" t="s">
        <v>1184</v>
      </c>
      <c r="AE21" s="17" t="s">
        <v>1185</v>
      </c>
      <c r="AF21" s="17" t="s">
        <v>1186</v>
      </c>
      <c r="AG21" s="16" t="s">
        <v>1190</v>
      </c>
      <c r="AH21" s="120"/>
    </row>
    <row r="22" customFormat="false" ht="30.75" hidden="false" customHeight="true" outlineLevel="0" collapsed="false">
      <c r="A22" s="163"/>
      <c r="B22" s="163"/>
      <c r="C22" s="163"/>
      <c r="D22" s="163"/>
      <c r="E22" s="6"/>
      <c r="F22" s="224"/>
      <c r="G22" s="224" t="s">
        <v>258</v>
      </c>
      <c r="H22" s="228" t="s">
        <v>292</v>
      </c>
      <c r="I22" s="228" t="s">
        <v>293</v>
      </c>
      <c r="J22" s="163"/>
      <c r="K22" s="224"/>
      <c r="L22" s="224"/>
      <c r="M22" s="224"/>
      <c r="N22" s="228" t="s">
        <v>282</v>
      </c>
      <c r="O22" s="163"/>
      <c r="P22" s="224"/>
      <c r="Q22" s="224"/>
      <c r="R22" s="224"/>
      <c r="S22" s="228" t="s">
        <v>264</v>
      </c>
      <c r="T22" s="163"/>
      <c r="U22" s="224"/>
      <c r="V22" s="224" t="s">
        <v>308</v>
      </c>
      <c r="W22" s="224" t="s">
        <v>309</v>
      </c>
      <c r="X22" s="226" t="s">
        <v>310</v>
      </c>
      <c r="Y22" s="224" t="s">
        <v>85</v>
      </c>
      <c r="Z22" s="227"/>
      <c r="AA22" s="187" t="s">
        <v>1179</v>
      </c>
      <c r="AB22" s="187" t="s">
        <v>1179</v>
      </c>
      <c r="AC22" s="234" t="n">
        <f aca="false">AC12*(1+V17+AB$2)</f>
        <v>0</v>
      </c>
      <c r="AD22" s="235" t="n">
        <f aca="false">AC22/3600</f>
        <v>0</v>
      </c>
      <c r="AE22" s="235" t="n">
        <f aca="false">AE7/AC22*3600</f>
        <v>0</v>
      </c>
      <c r="AF22" s="236" t="n">
        <f aca="false">TIME(0,0,AE22)</f>
        <v>0</v>
      </c>
      <c r="AG22" s="237" t="n">
        <f aca="false">AC22/AC17-1</f>
        <v>0</v>
      </c>
      <c r="AH22" s="120"/>
    </row>
    <row r="23" customFormat="false" ht="30.75" hidden="false" customHeight="true" outlineLevel="0" collapsed="false">
      <c r="A23" s="163"/>
      <c r="B23" s="163"/>
      <c r="C23" s="163"/>
      <c r="D23" s="163"/>
      <c r="E23" s="6"/>
      <c r="F23" s="224"/>
      <c r="G23" s="224"/>
      <c r="H23" s="224"/>
      <c r="I23" s="228" t="s">
        <v>294</v>
      </c>
      <c r="J23" s="163"/>
      <c r="K23" s="224"/>
      <c r="L23" s="224"/>
      <c r="M23" s="224"/>
      <c r="N23" s="228" t="s">
        <v>283</v>
      </c>
      <c r="O23" s="163"/>
      <c r="P23" s="224"/>
      <c r="Q23" s="224"/>
      <c r="R23" s="224"/>
      <c r="S23" s="228" t="s">
        <v>265</v>
      </c>
      <c r="T23" s="163"/>
      <c r="U23" s="6"/>
      <c r="V23" s="193"/>
      <c r="W23" s="193"/>
      <c r="X23" s="193"/>
      <c r="Y23" s="193"/>
      <c r="Z23" s="193"/>
      <c r="AA23" s="17" t="s">
        <v>1072</v>
      </c>
      <c r="AB23" s="187" t="s">
        <v>1179</v>
      </c>
      <c r="AC23" s="234" t="n">
        <f aca="false">AC13*(1+V18+AB$2)</f>
        <v>0</v>
      </c>
      <c r="AD23" s="229" t="n">
        <f aca="false">AC23/3600</f>
        <v>0</v>
      </c>
      <c r="AE23" s="235" t="n">
        <f aca="false">AE8/AC23*3600</f>
        <v>0</v>
      </c>
      <c r="AF23" s="230" t="n">
        <f aca="false">TIME(0,0,AE23)</f>
        <v>0</v>
      </c>
      <c r="AG23" s="238" t="n">
        <f aca="false">AC23/AC18-1</f>
        <v>0</v>
      </c>
      <c r="AH23" s="120"/>
    </row>
    <row r="24" customFormat="false" ht="30.75" hidden="false" customHeight="true" outlineLevel="0" collapsed="false">
      <c r="A24" s="163"/>
      <c r="B24" s="163"/>
      <c r="C24" s="163"/>
      <c r="D24" s="163"/>
      <c r="E24" s="6"/>
      <c r="F24" s="224"/>
      <c r="G24" s="224"/>
      <c r="H24" s="228"/>
      <c r="I24" s="228" t="s">
        <v>295</v>
      </c>
      <c r="J24" s="163"/>
      <c r="K24" s="224"/>
      <c r="L24" s="224"/>
      <c r="M24" s="228" t="s">
        <v>276</v>
      </c>
      <c r="N24" s="228" t="s">
        <v>277</v>
      </c>
      <c r="O24" s="163"/>
      <c r="P24" s="224"/>
      <c r="Q24" s="224"/>
      <c r="R24" s="224" t="s">
        <v>259</v>
      </c>
      <c r="S24" s="224" t="s">
        <v>260</v>
      </c>
      <c r="T24" s="163"/>
      <c r="U24" s="6"/>
      <c r="V24" s="193"/>
      <c r="W24" s="193"/>
      <c r="X24" s="193"/>
      <c r="Y24" s="193"/>
      <c r="Z24" s="193"/>
      <c r="AA24" s="17" t="s">
        <v>1073</v>
      </c>
      <c r="AB24" s="187" t="s">
        <v>1179</v>
      </c>
      <c r="AC24" s="234" t="n">
        <f aca="false">AC14*(1+V19+AB$2)</f>
        <v>0</v>
      </c>
      <c r="AD24" s="229" t="n">
        <f aca="false">AC24/3600</f>
        <v>0</v>
      </c>
      <c r="AE24" s="235" t="n">
        <f aca="false">AE9/AC24*3600</f>
        <v>0</v>
      </c>
      <c r="AF24" s="230" t="n">
        <f aca="false">TIME(0,0,AE24)</f>
        <v>0</v>
      </c>
      <c r="AG24" s="238" t="n">
        <f aca="false">AC24/AC19-1</f>
        <v>0</v>
      </c>
      <c r="AH24" s="120"/>
    </row>
    <row r="25" customFormat="false" ht="30.75" hidden="false" customHeight="true" outlineLevel="0" collapsed="false">
      <c r="A25" s="163"/>
      <c r="B25" s="163"/>
      <c r="C25" s="163"/>
      <c r="D25" s="163"/>
      <c r="E25" s="6"/>
      <c r="F25" s="224"/>
      <c r="G25" s="224"/>
      <c r="H25" s="228" t="s">
        <v>288</v>
      </c>
      <c r="I25" s="228" t="s">
        <v>289</v>
      </c>
      <c r="J25" s="163"/>
      <c r="K25" s="224"/>
      <c r="L25" s="224"/>
      <c r="M25" s="224"/>
      <c r="N25" s="228" t="s">
        <v>278</v>
      </c>
      <c r="O25" s="163"/>
      <c r="P25" s="224"/>
      <c r="Q25" s="224"/>
      <c r="R25" s="224"/>
      <c r="S25" s="224" t="s">
        <v>261</v>
      </c>
      <c r="T25" s="163"/>
      <c r="U25" s="6"/>
      <c r="V25" s="193"/>
      <c r="W25" s="193"/>
      <c r="X25" s="193"/>
      <c r="Y25" s="193"/>
      <c r="Z25" s="193"/>
      <c r="AA25" s="17" t="s">
        <v>1179</v>
      </c>
      <c r="AB25" s="17" t="s">
        <v>1072</v>
      </c>
      <c r="AC25" s="234" t="n">
        <f aca="false">AC12*(1+V17+AB$3)</f>
        <v>0</v>
      </c>
      <c r="AD25" s="229" t="n">
        <f aca="false">AC25/3600</f>
        <v>0</v>
      </c>
      <c r="AE25" s="235" t="n">
        <f aca="false">AE7/AC25*3600</f>
        <v>0</v>
      </c>
      <c r="AF25" s="230" t="n">
        <f aca="false">TIME(0,0,AE25)</f>
        <v>0</v>
      </c>
      <c r="AG25" s="238" t="n">
        <f aca="false">AC25/AC17-1</f>
        <v>0</v>
      </c>
      <c r="AH25" s="120"/>
    </row>
    <row r="26" customFormat="false" ht="30.75" hidden="false" customHeight="true" outlineLevel="0" collapsed="false">
      <c r="A26" s="163"/>
      <c r="B26" s="163"/>
      <c r="C26" s="163"/>
      <c r="D26" s="163"/>
      <c r="E26" s="6"/>
      <c r="F26" s="224"/>
      <c r="G26" s="224"/>
      <c r="H26" s="224"/>
      <c r="I26" s="228" t="s">
        <v>290</v>
      </c>
      <c r="J26" s="163"/>
      <c r="K26" s="224"/>
      <c r="L26" s="224"/>
      <c r="M26" s="224"/>
      <c r="N26" s="228" t="s">
        <v>279</v>
      </c>
      <c r="O26" s="163"/>
      <c r="P26" s="224"/>
      <c r="Q26" s="224" t="s">
        <v>311</v>
      </c>
      <c r="R26" s="224" t="s">
        <v>312</v>
      </c>
      <c r="S26" s="224" t="s">
        <v>313</v>
      </c>
      <c r="T26" s="163"/>
      <c r="U26" s="6"/>
      <c r="V26" s="193"/>
      <c r="W26" s="193"/>
      <c r="X26" s="193"/>
      <c r="Y26" s="193"/>
      <c r="Z26" s="193"/>
      <c r="AA26" s="17" t="s">
        <v>1072</v>
      </c>
      <c r="AB26" s="17" t="s">
        <v>1072</v>
      </c>
      <c r="AC26" s="234" t="n">
        <f aca="false">AC13*(1+V18+AB$3)</f>
        <v>0</v>
      </c>
      <c r="AD26" s="229" t="n">
        <f aca="false">AC26/3600</f>
        <v>0</v>
      </c>
      <c r="AE26" s="235" t="n">
        <f aca="false">AE8/AC26*3600</f>
        <v>0</v>
      </c>
      <c r="AF26" s="230" t="n">
        <f aca="false">TIME(0,0,AE26)</f>
        <v>0</v>
      </c>
      <c r="AG26" s="238" t="n">
        <f aca="false">AC26/AC18-1</f>
        <v>0</v>
      </c>
      <c r="AH26" s="120"/>
    </row>
    <row r="27" customFormat="false" ht="30.75" hidden="false" customHeight="true" outlineLevel="0" collapsed="false">
      <c r="A27" s="163"/>
      <c r="B27" s="163"/>
      <c r="C27" s="163"/>
      <c r="D27" s="163"/>
      <c r="E27" s="6"/>
      <c r="F27" s="224"/>
      <c r="G27" s="224"/>
      <c r="H27" s="224"/>
      <c r="I27" s="228" t="s">
        <v>291</v>
      </c>
      <c r="J27" s="163"/>
      <c r="K27" s="224"/>
      <c r="L27" s="224"/>
      <c r="M27" s="224" t="s">
        <v>284</v>
      </c>
      <c r="N27" s="224" t="s">
        <v>285</v>
      </c>
      <c r="O27" s="163"/>
      <c r="P27" s="193"/>
      <c r="Q27" s="193"/>
      <c r="R27" s="163"/>
      <c r="S27" s="163"/>
      <c r="T27" s="163"/>
      <c r="U27" s="6"/>
      <c r="V27" s="193"/>
      <c r="W27" s="193"/>
      <c r="X27" s="193"/>
      <c r="Y27" s="193"/>
      <c r="Z27" s="193"/>
      <c r="AA27" s="17" t="s">
        <v>1073</v>
      </c>
      <c r="AB27" s="17" t="s">
        <v>1072</v>
      </c>
      <c r="AC27" s="234" t="n">
        <f aca="false">AC14*(1+V19+AB$3)</f>
        <v>0</v>
      </c>
      <c r="AD27" s="229" t="n">
        <f aca="false">AC27/3600</f>
        <v>0</v>
      </c>
      <c r="AE27" s="235" t="n">
        <f aca="false">AE9/AC27*3600</f>
        <v>0</v>
      </c>
      <c r="AF27" s="230" t="n">
        <f aca="false">TIME(0,0,AE27)</f>
        <v>0</v>
      </c>
      <c r="AG27" s="238" t="n">
        <f aca="false">AC27/AC19-1</f>
        <v>0</v>
      </c>
      <c r="AH27" s="120"/>
    </row>
    <row r="28" customFormat="false" ht="30.75" hidden="false" customHeight="true" outlineLevel="0" collapsed="false">
      <c r="A28" s="163"/>
      <c r="B28" s="163"/>
      <c r="C28" s="163"/>
      <c r="D28" s="163"/>
      <c r="E28" s="6"/>
      <c r="F28" s="224"/>
      <c r="G28" s="239" t="s">
        <v>311</v>
      </c>
      <c r="H28" s="224" t="s">
        <v>322</v>
      </c>
      <c r="I28" s="224" t="s">
        <v>323</v>
      </c>
      <c r="J28" s="193"/>
      <c r="K28" s="224"/>
      <c r="L28" s="224" t="s">
        <v>311</v>
      </c>
      <c r="M28" s="224" t="s">
        <v>317</v>
      </c>
      <c r="N28" s="224" t="s">
        <v>318</v>
      </c>
      <c r="O28" s="163"/>
      <c r="P28" s="193"/>
      <c r="Q28" s="193"/>
      <c r="R28" s="163"/>
      <c r="S28" s="163"/>
      <c r="T28" s="163"/>
      <c r="U28" s="193"/>
      <c r="V28" s="193"/>
      <c r="W28" s="193"/>
      <c r="X28" s="193"/>
      <c r="Y28" s="193"/>
      <c r="Z28" s="193"/>
      <c r="AA28" s="17" t="s">
        <v>1179</v>
      </c>
      <c r="AB28" s="17" t="s">
        <v>1073</v>
      </c>
      <c r="AC28" s="234" t="n">
        <f aca="false">AC12*(1+V17+AB$4)</f>
        <v>0</v>
      </c>
      <c r="AD28" s="229" t="n">
        <f aca="false">AC28/3600</f>
        <v>0</v>
      </c>
      <c r="AE28" s="235" t="n">
        <f aca="false">AE7/AC28*3600</f>
        <v>0</v>
      </c>
      <c r="AF28" s="230" t="n">
        <f aca="false">TIME(0,0,AE28)</f>
        <v>0</v>
      </c>
      <c r="AG28" s="238" t="n">
        <f aca="false">AC28/AC17-1</f>
        <v>0</v>
      </c>
      <c r="AH28" s="120"/>
    </row>
    <row r="29" customFormat="false" ht="30.75" hidden="false" customHeight="true" outlineLevel="0" collapsed="false">
      <c r="A29" s="163"/>
      <c r="B29" s="163"/>
      <c r="C29" s="163"/>
      <c r="D29" s="163"/>
      <c r="E29" s="193"/>
      <c r="F29" s="224"/>
      <c r="G29" s="239" t="s">
        <v>80</v>
      </c>
      <c r="H29" s="224" t="s">
        <v>82</v>
      </c>
      <c r="I29" s="224" t="s">
        <v>83</v>
      </c>
      <c r="J29" s="193"/>
      <c r="K29" s="193"/>
      <c r="L29" s="193"/>
      <c r="M29" s="193"/>
      <c r="N29" s="193"/>
      <c r="O29" s="163"/>
      <c r="P29" s="193"/>
      <c r="Q29" s="193"/>
      <c r="R29" s="163"/>
      <c r="S29" s="163"/>
      <c r="T29" s="163"/>
      <c r="U29" s="193"/>
      <c r="V29" s="193"/>
      <c r="W29" s="193"/>
      <c r="X29" s="193"/>
      <c r="Y29" s="193"/>
      <c r="Z29" s="193"/>
      <c r="AA29" s="17" t="s">
        <v>1072</v>
      </c>
      <c r="AB29" s="17" t="s">
        <v>1073</v>
      </c>
      <c r="AC29" s="234" t="n">
        <f aca="false">AC13*(1+V18+AB$4)</f>
        <v>0</v>
      </c>
      <c r="AD29" s="229" t="n">
        <f aca="false">AC29/3600</f>
        <v>0</v>
      </c>
      <c r="AE29" s="235" t="n">
        <f aca="false">AE8/AC29*3600</f>
        <v>0</v>
      </c>
      <c r="AF29" s="230" t="n">
        <f aca="false">TIME(0,0,AE29)</f>
        <v>0</v>
      </c>
      <c r="AG29" s="238" t="n">
        <f aca="false">AC29/AC18-1</f>
        <v>0</v>
      </c>
      <c r="AH29" s="120"/>
    </row>
    <row r="30" customFormat="false" ht="12.8" hidden="false" customHeight="false" outlineLevel="0" collapsed="false">
      <c r="A30" s="163"/>
      <c r="B30" s="163"/>
      <c r="C30" s="163"/>
      <c r="D30" s="163"/>
      <c r="E30" s="193"/>
      <c r="F30" s="163"/>
      <c r="G30" s="163"/>
      <c r="H30" s="163"/>
      <c r="I30" s="193"/>
      <c r="J30" s="193"/>
      <c r="K30" s="193"/>
      <c r="L30" s="193"/>
      <c r="M30" s="193"/>
      <c r="N30" s="193"/>
      <c r="O30" s="163"/>
      <c r="P30" s="193"/>
      <c r="Q30" s="193"/>
      <c r="R30" s="163"/>
      <c r="S30" s="163"/>
      <c r="T30" s="163"/>
      <c r="U30" s="193"/>
      <c r="V30" s="193"/>
      <c r="W30" s="193"/>
      <c r="X30" s="193"/>
      <c r="Y30" s="193"/>
      <c r="Z30" s="193"/>
      <c r="AA30" s="17" t="s">
        <v>1073</v>
      </c>
      <c r="AB30" s="17" t="s">
        <v>1073</v>
      </c>
      <c r="AC30" s="234" t="n">
        <f aca="false">AC14*(1+V19+AB$4)</f>
        <v>0</v>
      </c>
      <c r="AD30" s="229" t="n">
        <f aca="false">AC30/3600</f>
        <v>0</v>
      </c>
      <c r="AE30" s="235" t="n">
        <f aca="false">AE9/AC30*3600</f>
        <v>0</v>
      </c>
      <c r="AF30" s="230" t="n">
        <f aca="false">TIME(0,0,AE30)</f>
        <v>0</v>
      </c>
      <c r="AG30" s="238" t="n">
        <f aca="false">AC30/AC19-1</f>
        <v>0</v>
      </c>
      <c r="AH30" s="120"/>
    </row>
    <row r="31" customFormat="false" ht="18" hidden="false" customHeight="true" outlineLevel="0" collapsed="false">
      <c r="A31" s="225" t="s">
        <v>1191</v>
      </c>
      <c r="B31" s="225"/>
      <c r="C31" s="225"/>
      <c r="D31" s="225"/>
      <c r="E31" s="227"/>
      <c r="F31" s="224" t="s">
        <v>1192</v>
      </c>
      <c r="G31" s="224"/>
      <c r="H31" s="224"/>
      <c r="I31" s="224"/>
      <c r="J31" s="6"/>
      <c r="K31" s="224" t="s">
        <v>1193</v>
      </c>
      <c r="L31" s="224"/>
      <c r="M31" s="224"/>
      <c r="N31" s="224"/>
      <c r="O31" s="227"/>
      <c r="P31" s="224" t="s">
        <v>1194</v>
      </c>
      <c r="Q31" s="224"/>
      <c r="R31" s="224"/>
      <c r="S31" s="224"/>
      <c r="T31" s="6"/>
      <c r="U31" s="224" t="s">
        <v>1195</v>
      </c>
      <c r="V31" s="224"/>
      <c r="W31" s="224"/>
      <c r="X31" s="224"/>
      <c r="Y31" s="6"/>
      <c r="Z31" s="100"/>
      <c r="AA31" s="100"/>
      <c r="AB31" s="100"/>
      <c r="AC31" s="100"/>
      <c r="AD31" s="100"/>
      <c r="AE31" s="100"/>
      <c r="AF31" s="100"/>
      <c r="AG31" s="100"/>
      <c r="AH31" s="100"/>
    </row>
    <row r="32" customFormat="false" ht="12.8" hidden="false" customHeight="false" outlineLevel="0" collapsed="false">
      <c r="A32" s="52"/>
      <c r="B32" s="177" t="n">
        <v>1</v>
      </c>
      <c r="C32" s="177" t="n">
        <v>2</v>
      </c>
      <c r="D32" s="177" t="n">
        <v>3</v>
      </c>
      <c r="E32" s="6"/>
      <c r="F32" s="240"/>
      <c r="G32" s="177" t="n">
        <v>1</v>
      </c>
      <c r="H32" s="177" t="n">
        <v>2</v>
      </c>
      <c r="I32" s="177" t="n">
        <v>3</v>
      </c>
      <c r="J32" s="227"/>
      <c r="K32" s="240"/>
      <c r="L32" s="241" t="n">
        <v>1</v>
      </c>
      <c r="M32" s="241" t="n">
        <v>2</v>
      </c>
      <c r="N32" s="241" t="n">
        <v>3</v>
      </c>
      <c r="O32" s="6"/>
      <c r="P32" s="240"/>
      <c r="Q32" s="241" t="n">
        <v>1</v>
      </c>
      <c r="R32" s="241" t="n">
        <v>2</v>
      </c>
      <c r="S32" s="241" t="n">
        <v>3</v>
      </c>
      <c r="T32" s="227"/>
      <c r="U32" s="225"/>
      <c r="V32" s="177" t="n">
        <v>1</v>
      </c>
      <c r="W32" s="177" t="n">
        <v>2</v>
      </c>
      <c r="X32" s="177" t="n">
        <v>3</v>
      </c>
      <c r="Y32" s="6"/>
      <c r="Z32" s="100"/>
      <c r="AA32" s="100"/>
      <c r="AB32" s="100"/>
      <c r="AC32" s="100"/>
      <c r="AD32" s="100"/>
      <c r="AE32" s="100"/>
      <c r="AF32" s="100"/>
      <c r="AG32" s="100"/>
      <c r="AH32" s="100"/>
    </row>
    <row r="33" customFormat="false" ht="12.8" hidden="false" customHeight="false" outlineLevel="0" collapsed="false">
      <c r="A33" s="177" t="s">
        <v>1196</v>
      </c>
      <c r="B33" s="154" t="s">
        <v>789</v>
      </c>
      <c r="C33" s="154" t="s">
        <v>791</v>
      </c>
      <c r="D33" s="154" t="s">
        <v>792</v>
      </c>
      <c r="E33" s="6"/>
      <c r="F33" s="177" t="s">
        <v>1196</v>
      </c>
      <c r="G33" s="154" t="s">
        <v>651</v>
      </c>
      <c r="H33" s="154" t="s">
        <v>779</v>
      </c>
      <c r="I33" s="146"/>
      <c r="J33" s="6"/>
      <c r="K33" s="241" t="s">
        <v>1196</v>
      </c>
      <c r="L33" s="154" t="s">
        <v>774</v>
      </c>
      <c r="M33" s="154" t="s">
        <v>776</v>
      </c>
      <c r="N33" s="146"/>
      <c r="O33" s="6"/>
      <c r="P33" s="241" t="s">
        <v>1196</v>
      </c>
      <c r="Q33" s="154" t="s">
        <v>759</v>
      </c>
      <c r="R33" s="154" t="s">
        <v>764</v>
      </c>
      <c r="S33" s="146"/>
      <c r="T33" s="6"/>
      <c r="U33" s="177" t="s">
        <v>1196</v>
      </c>
      <c r="V33" s="154" t="s">
        <v>772</v>
      </c>
      <c r="W33" s="52"/>
      <c r="X33" s="146"/>
      <c r="Y33" s="6"/>
      <c r="Z33" s="100"/>
      <c r="AA33" s="100"/>
      <c r="AB33" s="100"/>
      <c r="AC33" s="100"/>
      <c r="AD33" s="100"/>
      <c r="AE33" s="100"/>
      <c r="AF33" s="100"/>
      <c r="AG33" s="100"/>
      <c r="AH33" s="100"/>
    </row>
    <row r="34" customFormat="false" ht="12.8" hidden="false" customHeight="false" outlineLevel="0" collapsed="false">
      <c r="A34" s="177" t="s">
        <v>89</v>
      </c>
      <c r="B34" s="154" t="s">
        <v>790</v>
      </c>
      <c r="C34" s="154" t="s">
        <v>794</v>
      </c>
      <c r="D34" s="154" t="s">
        <v>795</v>
      </c>
      <c r="E34" s="6"/>
      <c r="F34" s="177" t="s">
        <v>89</v>
      </c>
      <c r="G34" s="154" t="s">
        <v>781</v>
      </c>
      <c r="H34" s="154" t="s">
        <v>781</v>
      </c>
      <c r="I34" s="154" t="s">
        <v>781</v>
      </c>
      <c r="J34" s="6"/>
      <c r="K34" s="241" t="s">
        <v>89</v>
      </c>
      <c r="L34" s="154" t="s">
        <v>775</v>
      </c>
      <c r="M34" s="154" t="s">
        <v>775</v>
      </c>
      <c r="N34" s="154" t="s">
        <v>775</v>
      </c>
      <c r="O34" s="6"/>
      <c r="P34" s="241" t="s">
        <v>89</v>
      </c>
      <c r="Q34" s="154" t="s">
        <v>756</v>
      </c>
      <c r="R34" s="154" t="s">
        <v>756</v>
      </c>
      <c r="S34" s="146"/>
      <c r="T34" s="6"/>
      <c r="U34" s="177" t="s">
        <v>89</v>
      </c>
      <c r="V34" s="154" t="s">
        <v>651</v>
      </c>
      <c r="W34" s="52"/>
      <c r="X34" s="52"/>
      <c r="Y34" s="6"/>
      <c r="Z34" s="100"/>
      <c r="AA34" s="100"/>
      <c r="AB34" s="100"/>
      <c r="AC34" s="100"/>
      <c r="AD34" s="100"/>
      <c r="AE34" s="100"/>
      <c r="AF34" s="100"/>
      <c r="AG34" s="100"/>
      <c r="AH34" s="100"/>
    </row>
    <row r="35" customFormat="false" ht="12.8" hidden="false" customHeight="false" outlineLevel="0" collapsed="false">
      <c r="A35" s="177" t="s">
        <v>87</v>
      </c>
      <c r="B35" s="154" t="s">
        <v>796</v>
      </c>
      <c r="C35" s="154" t="s">
        <v>1110</v>
      </c>
      <c r="D35" s="154" t="s">
        <v>1173</v>
      </c>
      <c r="E35" s="6"/>
      <c r="F35" s="177" t="s">
        <v>87</v>
      </c>
      <c r="G35" s="154" t="s">
        <v>786</v>
      </c>
      <c r="H35" s="154" t="s">
        <v>1112</v>
      </c>
      <c r="I35" s="154" t="s">
        <v>1169</v>
      </c>
      <c r="J35" s="6"/>
      <c r="K35" s="241" t="s">
        <v>87</v>
      </c>
      <c r="L35" s="6"/>
      <c r="M35" s="154" t="s">
        <v>778</v>
      </c>
      <c r="N35" s="146"/>
      <c r="O35" s="6"/>
      <c r="P35" s="241" t="s">
        <v>87</v>
      </c>
      <c r="Q35" s="154" t="s">
        <v>645</v>
      </c>
      <c r="R35" s="154" t="s">
        <v>766</v>
      </c>
      <c r="S35" s="154" t="s">
        <v>768</v>
      </c>
      <c r="T35" s="6"/>
      <c r="U35" s="177" t="s">
        <v>87</v>
      </c>
      <c r="V35" s="52"/>
      <c r="W35" s="52"/>
      <c r="X35" s="52"/>
      <c r="Y35" s="6"/>
      <c r="Z35" s="100"/>
      <c r="AA35" s="100"/>
      <c r="AB35" s="100"/>
      <c r="AC35" s="100"/>
      <c r="AD35" s="100"/>
      <c r="AE35" s="100"/>
      <c r="AF35" s="100"/>
      <c r="AG35" s="100"/>
      <c r="AH35" s="100"/>
    </row>
    <row r="36" customFormat="false" ht="12.8" hidden="false" customHeight="false" outlineLevel="0" collapsed="false">
      <c r="A36" s="157" t="s">
        <v>88</v>
      </c>
      <c r="B36" s="154" t="s">
        <v>496</v>
      </c>
      <c r="C36" s="154" t="s">
        <v>506</v>
      </c>
      <c r="D36" s="154" t="s">
        <v>507</v>
      </c>
      <c r="E36" s="6"/>
      <c r="F36" s="157" t="s">
        <v>88</v>
      </c>
      <c r="G36" s="154" t="s">
        <v>787</v>
      </c>
      <c r="H36" s="154" t="s">
        <v>496</v>
      </c>
      <c r="I36" s="154" t="s">
        <v>788</v>
      </c>
      <c r="J36" s="163"/>
      <c r="K36" s="242" t="s">
        <v>88</v>
      </c>
      <c r="L36" s="154" t="s">
        <v>777</v>
      </c>
      <c r="M36" s="154" t="s">
        <v>1116</v>
      </c>
      <c r="N36" s="154" t="s">
        <v>501</v>
      </c>
      <c r="O36" s="163"/>
      <c r="P36" s="242" t="s">
        <v>88</v>
      </c>
      <c r="Q36" s="154" t="s">
        <v>1170</v>
      </c>
      <c r="R36" s="154" t="s">
        <v>1113</v>
      </c>
      <c r="S36" s="154" t="s">
        <v>1114</v>
      </c>
      <c r="T36" s="193"/>
      <c r="U36" s="193"/>
      <c r="V36" s="6"/>
      <c r="W36" s="6"/>
      <c r="X36" s="6"/>
      <c r="Y36" s="6"/>
      <c r="Z36" s="100"/>
      <c r="AA36" s="100"/>
      <c r="AB36" s="100"/>
      <c r="AC36" s="100"/>
      <c r="AD36" s="100"/>
      <c r="AE36" s="100"/>
      <c r="AF36" s="100"/>
      <c r="AG36" s="100"/>
      <c r="AH36" s="100"/>
    </row>
    <row r="37" customFormat="false" ht="12.8" hidden="false" customHeight="false" outlineLevel="0" collapsed="false">
      <c r="A37" s="163"/>
      <c r="B37" s="163"/>
      <c r="C37" s="163"/>
      <c r="D37" s="163"/>
      <c r="E37" s="163"/>
      <c r="F37" s="163"/>
      <c r="G37" s="163"/>
      <c r="H37" s="163"/>
      <c r="I37" s="163"/>
      <c r="J37" s="163"/>
      <c r="K37" s="241" t="s">
        <v>255</v>
      </c>
      <c r="L37" s="154" t="s">
        <v>779</v>
      </c>
      <c r="M37" s="154" t="s">
        <v>780</v>
      </c>
      <c r="N37" s="146"/>
      <c r="O37" s="163"/>
      <c r="P37" s="241" t="s">
        <v>255</v>
      </c>
      <c r="Q37" s="154" t="s">
        <v>770</v>
      </c>
      <c r="R37" s="154" t="s">
        <v>499</v>
      </c>
      <c r="S37" s="154" t="s">
        <v>1171</v>
      </c>
      <c r="T37" s="193"/>
      <c r="U37" s="193"/>
      <c r="V37" s="193"/>
      <c r="W37" s="193"/>
      <c r="X37" s="193"/>
      <c r="Y37" s="193"/>
      <c r="Z37" s="193"/>
      <c r="AA37" s="193"/>
      <c r="AB37" s="100"/>
      <c r="AC37" s="100"/>
      <c r="AD37" s="100"/>
      <c r="AE37" s="100"/>
      <c r="AF37" s="100"/>
      <c r="AG37" s="100"/>
      <c r="AH37" s="100"/>
    </row>
    <row r="38" customFormat="false" ht="30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163"/>
      <c r="L38" s="163"/>
      <c r="M38" s="163"/>
      <c r="N38" s="163"/>
      <c r="O38" s="163"/>
      <c r="P38" s="6"/>
      <c r="Q38" s="6"/>
      <c r="R38" s="6"/>
      <c r="S38" s="6"/>
      <c r="T38" s="6"/>
      <c r="U38" s="163"/>
      <c r="V38" s="6"/>
      <c r="W38" s="6"/>
      <c r="X38" s="6"/>
      <c r="Y38" s="6"/>
      <c r="Z38" s="100"/>
      <c r="AA38" s="100"/>
      <c r="AB38" s="100"/>
      <c r="AC38" s="100"/>
      <c r="AD38" s="100"/>
      <c r="AE38" s="100"/>
      <c r="AF38" s="100"/>
      <c r="AG38" s="100"/>
      <c r="AH38" s="100"/>
    </row>
    <row r="39" customFormat="false" ht="12.8" hidden="false" customHeight="true" outlineLevel="0" collapsed="false">
      <c r="A39" s="225" t="s">
        <v>1197</v>
      </c>
      <c r="B39" s="225"/>
      <c r="C39" s="225"/>
      <c r="D39" s="225"/>
      <c r="E39" s="163"/>
      <c r="F39" s="224" t="s">
        <v>1198</v>
      </c>
      <c r="G39" s="224"/>
      <c r="H39" s="224"/>
      <c r="I39" s="224"/>
      <c r="J39" s="227"/>
      <c r="K39" s="6"/>
      <c r="L39" s="6"/>
      <c r="M39" s="6"/>
      <c r="N39" s="6"/>
      <c r="O39" s="6"/>
      <c r="P39" s="6"/>
      <c r="Q39" s="6"/>
      <c r="R39" s="6"/>
      <c r="S39" s="6"/>
      <c r="T39" s="6"/>
      <c r="U39" s="224" t="s">
        <v>1199</v>
      </c>
      <c r="V39" s="224"/>
      <c r="W39" s="224"/>
      <c r="X39" s="224"/>
      <c r="Y39" s="6"/>
      <c r="Z39" s="100"/>
      <c r="AA39" s="100"/>
      <c r="AB39" s="100"/>
      <c r="AC39" s="100"/>
      <c r="AD39" s="100"/>
      <c r="AE39" s="100"/>
      <c r="AF39" s="100"/>
      <c r="AG39" s="100"/>
      <c r="AH39" s="100"/>
    </row>
    <row r="40" customFormat="false" ht="12.8" hidden="false" customHeight="false" outlineLevel="0" collapsed="false">
      <c r="A40" s="240"/>
      <c r="B40" s="177" t="n">
        <v>1</v>
      </c>
      <c r="C40" s="177" t="n">
        <v>2</v>
      </c>
      <c r="D40" s="177" t="n">
        <v>3</v>
      </c>
      <c r="E40" s="163"/>
      <c r="F40" s="240"/>
      <c r="G40" s="177" t="n">
        <v>1</v>
      </c>
      <c r="H40" s="177" t="n">
        <v>2</v>
      </c>
      <c r="I40" s="177" t="n">
        <v>3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243"/>
      <c r="V40" s="244" t="n">
        <v>1</v>
      </c>
      <c r="W40" s="244" t="n">
        <v>2</v>
      </c>
      <c r="X40" s="244" t="n">
        <v>3</v>
      </c>
      <c r="Y40" s="6"/>
      <c r="Z40" s="100"/>
      <c r="AA40" s="100"/>
      <c r="AB40" s="100"/>
      <c r="AC40" s="100"/>
      <c r="AD40" s="100"/>
      <c r="AE40" s="100"/>
      <c r="AF40" s="100"/>
      <c r="AG40" s="100"/>
      <c r="AH40" s="100"/>
    </row>
    <row r="41" customFormat="false" ht="12.8" hidden="false" customHeight="false" outlineLevel="0" collapsed="false">
      <c r="A41" s="177" t="s">
        <v>1196</v>
      </c>
      <c r="B41" s="154" t="s">
        <v>1122</v>
      </c>
      <c r="C41" s="154" t="s">
        <v>1123</v>
      </c>
      <c r="D41" s="154" t="s">
        <v>1124</v>
      </c>
      <c r="E41" s="163"/>
      <c r="F41" s="177" t="s">
        <v>1196</v>
      </c>
      <c r="G41" s="154" t="s">
        <v>1112</v>
      </c>
      <c r="H41" s="154" t="s">
        <v>1117</v>
      </c>
      <c r="I41" s="146"/>
      <c r="J41" s="6"/>
      <c r="K41" s="6"/>
      <c r="L41" s="6"/>
      <c r="M41" s="6"/>
      <c r="N41" s="6"/>
      <c r="O41" s="6"/>
      <c r="P41" s="163"/>
      <c r="Q41" s="163"/>
      <c r="R41" s="163"/>
      <c r="S41" s="163"/>
      <c r="T41" s="163"/>
      <c r="U41" s="177" t="s">
        <v>1196</v>
      </c>
      <c r="V41" s="146"/>
      <c r="W41" s="146"/>
      <c r="X41" s="146"/>
      <c r="Y41" s="193"/>
      <c r="Z41" s="193"/>
      <c r="AA41" s="193"/>
      <c r="AB41" s="100"/>
      <c r="AC41" s="100"/>
      <c r="AD41" s="100"/>
      <c r="AE41" s="100"/>
      <c r="AF41" s="100"/>
      <c r="AG41" s="100"/>
      <c r="AH41" s="100"/>
    </row>
    <row r="42" customFormat="false" ht="12.8" hidden="false" customHeight="false" outlineLevel="0" collapsed="false">
      <c r="A42" s="177" t="s">
        <v>89</v>
      </c>
      <c r="B42" s="154" t="s">
        <v>571</v>
      </c>
      <c r="C42" s="154" t="s">
        <v>570</v>
      </c>
      <c r="D42" s="146"/>
      <c r="E42" s="163"/>
      <c r="F42" s="177" t="s">
        <v>89</v>
      </c>
      <c r="G42" s="154" t="s">
        <v>552</v>
      </c>
      <c r="H42" s="154" t="s">
        <v>558</v>
      </c>
      <c r="I42" s="154" t="s">
        <v>568</v>
      </c>
      <c r="J42" s="6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77" t="s">
        <v>89</v>
      </c>
      <c r="V42" s="52"/>
      <c r="W42" s="52"/>
      <c r="X42" s="52"/>
      <c r="Y42" s="193"/>
      <c r="Z42" s="193"/>
      <c r="AA42" s="193"/>
      <c r="AB42" s="100"/>
      <c r="AC42" s="100"/>
      <c r="AD42" s="100"/>
      <c r="AE42" s="100"/>
      <c r="AF42" s="100"/>
      <c r="AG42" s="100"/>
      <c r="AH42" s="100"/>
    </row>
    <row r="43" customFormat="false" ht="12.8" hidden="false" customHeight="false" outlineLevel="0" collapsed="false">
      <c r="A43" s="177" t="s">
        <v>87</v>
      </c>
      <c r="B43" s="154" t="s">
        <v>575</v>
      </c>
      <c r="C43" s="154" t="s">
        <v>1125</v>
      </c>
      <c r="D43" s="154" t="s">
        <v>1126</v>
      </c>
      <c r="E43" s="163"/>
      <c r="F43" s="177" t="s">
        <v>87</v>
      </c>
      <c r="G43" s="154" t="s">
        <v>1118</v>
      </c>
      <c r="H43" s="154" t="s">
        <v>1121</v>
      </c>
      <c r="I43" s="14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177" t="s">
        <v>87</v>
      </c>
      <c r="V43" s="52"/>
      <c r="W43" s="52"/>
      <c r="X43" s="52"/>
      <c r="Y43" s="6"/>
      <c r="Z43" s="100"/>
      <c r="AA43" s="100"/>
      <c r="AB43" s="100"/>
      <c r="AC43" s="100"/>
      <c r="AD43" s="100"/>
      <c r="AE43" s="100"/>
      <c r="AF43" s="100"/>
      <c r="AG43" s="100"/>
      <c r="AH43" s="100"/>
    </row>
    <row r="44" customFormat="false" ht="12.8" hidden="false" customHeight="false" outlineLevel="0" collapsed="false">
      <c r="A44" s="6"/>
      <c r="B44" s="6"/>
      <c r="C44" s="6"/>
      <c r="D44" s="6"/>
      <c r="E44" s="6"/>
      <c r="F44" s="157" t="s">
        <v>88</v>
      </c>
      <c r="G44" s="154" t="s">
        <v>1111</v>
      </c>
      <c r="H44" s="154" t="s">
        <v>1086</v>
      </c>
      <c r="I44" s="154" t="s">
        <v>570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100"/>
      <c r="AA44" s="100"/>
      <c r="AB44" s="100"/>
      <c r="AC44" s="100"/>
      <c r="AD44" s="100"/>
      <c r="AE44" s="100"/>
      <c r="AF44" s="100"/>
      <c r="AG44" s="100"/>
      <c r="AH44" s="100"/>
    </row>
    <row r="45" customFormat="false" ht="12.8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100"/>
      <c r="AA45" s="100"/>
      <c r="AB45" s="100"/>
      <c r="AC45" s="100"/>
      <c r="AD45" s="100"/>
      <c r="AE45" s="100"/>
      <c r="AF45" s="100"/>
      <c r="AG45" s="100"/>
      <c r="AH45" s="100"/>
    </row>
    <row r="46" customFormat="false" ht="12.8" hidden="false" customHeight="false" outlineLevel="0" collapsed="false">
      <c r="A46" s="163"/>
      <c r="B46" s="6"/>
      <c r="C46" s="6"/>
      <c r="D46" s="6"/>
      <c r="E46" s="6"/>
      <c r="F46" s="163"/>
      <c r="G46" s="6"/>
      <c r="H46" s="6"/>
      <c r="I46" s="6"/>
      <c r="J46" s="6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6"/>
      <c r="V46" s="6"/>
      <c r="W46" s="6"/>
      <c r="X46" s="6"/>
      <c r="Y46" s="193"/>
      <c r="Z46" s="193"/>
      <c r="AA46" s="193"/>
      <c r="AB46" s="100"/>
      <c r="AC46" s="100"/>
      <c r="AD46" s="100"/>
      <c r="AE46" s="100"/>
      <c r="AF46" s="100"/>
      <c r="AG46" s="100"/>
      <c r="AH46" s="100"/>
    </row>
    <row r="47" customFormat="false" ht="12.8" hidden="false" customHeight="false" outlineLevel="0" collapsed="false">
      <c r="A47" s="163"/>
      <c r="B47" s="163"/>
      <c r="C47" s="163"/>
      <c r="D47" s="163"/>
      <c r="E47" s="163"/>
      <c r="F47" s="163"/>
      <c r="G47" s="6"/>
      <c r="H47" s="6"/>
      <c r="I47" s="6"/>
      <c r="J47" s="6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6"/>
      <c r="V47" s="6"/>
      <c r="W47" s="6"/>
      <c r="X47" s="6"/>
      <c r="Y47" s="193"/>
      <c r="Z47" s="193"/>
      <c r="AA47" s="193"/>
      <c r="AB47" s="100"/>
      <c r="AC47" s="100"/>
      <c r="AD47" s="100"/>
      <c r="AE47" s="100"/>
      <c r="AF47" s="100"/>
      <c r="AG47" s="100"/>
      <c r="AH47" s="100"/>
    </row>
    <row r="48" customFormat="false" ht="12.8" hidden="false" customHeight="false" outlineLevel="0" collapsed="false">
      <c r="A48" s="163"/>
      <c r="B48" s="163"/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93"/>
      <c r="V48" s="193"/>
      <c r="W48" s="193"/>
      <c r="X48" s="193"/>
      <c r="Y48" s="193"/>
      <c r="Z48" s="193"/>
      <c r="AA48" s="193"/>
      <c r="AB48" s="100"/>
      <c r="AC48" s="100"/>
      <c r="AD48" s="100"/>
      <c r="AE48" s="100"/>
      <c r="AF48" s="100"/>
      <c r="AG48" s="100"/>
      <c r="AH48" s="100"/>
    </row>
    <row r="49" customFormat="false" ht="12.8" hidden="false" customHeight="false" outlineLevel="0" collapsed="false">
      <c r="A49" s="163"/>
      <c r="B49" s="163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93"/>
      <c r="V49" s="193"/>
      <c r="W49" s="193"/>
      <c r="X49" s="193"/>
      <c r="Y49" s="193"/>
      <c r="Z49" s="193"/>
      <c r="AA49" s="193"/>
      <c r="AB49" s="100"/>
      <c r="AC49" s="100"/>
      <c r="AD49" s="100"/>
      <c r="AE49" s="100"/>
      <c r="AF49" s="100"/>
      <c r="AG49" s="100"/>
      <c r="AH49" s="100"/>
    </row>
    <row r="50" customFormat="false" ht="12.8" hidden="false" customHeight="false" outlineLevel="0" collapsed="false">
      <c r="A50" s="163"/>
      <c r="B50" s="163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00"/>
      <c r="AC50" s="100"/>
      <c r="AD50" s="100"/>
      <c r="AE50" s="100"/>
      <c r="AF50" s="100"/>
      <c r="AG50" s="100"/>
      <c r="AH50" s="100"/>
    </row>
    <row r="51" customFormat="false" ht="12.8" hidden="false" customHeight="false" outlineLevel="0" collapsed="false">
      <c r="A51" s="163"/>
      <c r="B51" s="163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00"/>
      <c r="AC51" s="100"/>
      <c r="AD51" s="100"/>
      <c r="AE51" s="100"/>
      <c r="AF51" s="100"/>
      <c r="AG51" s="100"/>
      <c r="AH51" s="100"/>
    </row>
    <row r="52" customFormat="false" ht="12.8" hidden="false" customHeight="false" outlineLevel="0" collapsed="false">
      <c r="A52" s="163"/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00"/>
      <c r="AC52" s="100"/>
      <c r="AD52" s="100"/>
      <c r="AE52" s="100"/>
      <c r="AF52" s="100"/>
      <c r="AG52" s="100"/>
      <c r="AH52" s="100"/>
    </row>
    <row r="53" customFormat="false" ht="12.8" hidden="false" customHeight="false" outlineLevel="0" collapsed="false">
      <c r="A53" s="163"/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00"/>
      <c r="AC53" s="100"/>
      <c r="AD53" s="100"/>
      <c r="AE53" s="100"/>
      <c r="AF53" s="100"/>
      <c r="AG53" s="100"/>
      <c r="AH53" s="100"/>
    </row>
    <row r="54" customFormat="false" ht="12.8" hidden="false" customHeight="false" outlineLevel="0" collapsed="false">
      <c r="A54" s="163"/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00"/>
      <c r="AC54" s="100"/>
      <c r="AD54" s="100"/>
      <c r="AE54" s="100"/>
      <c r="AF54" s="100"/>
      <c r="AG54" s="100"/>
      <c r="AH54" s="100"/>
    </row>
    <row r="55" customFormat="false" ht="12.8" hidden="false" customHeight="false" outlineLevel="0" collapsed="false">
      <c r="A55" s="163"/>
      <c r="B55" s="163"/>
      <c r="C55" s="163"/>
      <c r="D55" s="163"/>
      <c r="E55" s="163"/>
      <c r="F55" s="163"/>
      <c r="G55" s="163"/>
      <c r="H55" s="163"/>
      <c r="I55" s="163"/>
      <c r="J55" s="16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00"/>
      <c r="AC55" s="100"/>
      <c r="AD55" s="100"/>
      <c r="AE55" s="100"/>
      <c r="AF55" s="100"/>
      <c r="AG55" s="100"/>
      <c r="AH55" s="100"/>
    </row>
    <row r="56" customFormat="false" ht="12.8" hidden="false" customHeight="false" outlineLevel="0" collapsed="false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00"/>
      <c r="AC56" s="100"/>
      <c r="AD56" s="100"/>
      <c r="AE56" s="100"/>
      <c r="AF56" s="100"/>
      <c r="AG56" s="100"/>
      <c r="AH56" s="100"/>
    </row>
    <row r="57" customFormat="false" ht="12.8" hidden="false" customHeight="false" outlineLevel="0" collapsed="false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00"/>
      <c r="AC57" s="100"/>
      <c r="AD57" s="100"/>
      <c r="AE57" s="100"/>
      <c r="AF57" s="100"/>
      <c r="AG57" s="100"/>
      <c r="AH57" s="100"/>
    </row>
    <row r="58" customFormat="false" ht="12.8" hidden="false" customHeight="false" outlineLevel="0" collapsed="false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00"/>
      <c r="AC58" s="100"/>
      <c r="AD58" s="100"/>
      <c r="AE58" s="100"/>
      <c r="AF58" s="100"/>
      <c r="AG58" s="100"/>
      <c r="AH58" s="100"/>
    </row>
    <row r="59" customFormat="false" ht="12.8" hidden="false" customHeight="false" outlineLevel="0" collapsed="false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00"/>
      <c r="AC59" s="100"/>
      <c r="AD59" s="100"/>
      <c r="AE59" s="100"/>
      <c r="AF59" s="100"/>
      <c r="AG59" s="100"/>
      <c r="AH59" s="100"/>
    </row>
    <row r="60" customFormat="false" ht="12.8" hidden="false" customHeight="false" outlineLevel="0" collapsed="false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00"/>
      <c r="AC60" s="100"/>
      <c r="AD60" s="100"/>
      <c r="AE60" s="100"/>
      <c r="AF60" s="100"/>
      <c r="AG60" s="100"/>
      <c r="AH60" s="100"/>
    </row>
    <row r="61" customFormat="false" ht="12.8" hidden="false" customHeight="false" outlineLevel="0" collapsed="false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00"/>
      <c r="AC61" s="100"/>
      <c r="AD61" s="100"/>
      <c r="AE61" s="100"/>
      <c r="AF61" s="100"/>
      <c r="AG61" s="100"/>
      <c r="AH61" s="100"/>
    </row>
    <row r="62" customFormat="false" ht="12.8" hidden="false" customHeight="false" outlineLevel="0" collapsed="false">
      <c r="A62" s="163"/>
      <c r="B62" s="163"/>
      <c r="C62" s="163"/>
      <c r="D62" s="16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00"/>
      <c r="AC62" s="100"/>
      <c r="AD62" s="100"/>
      <c r="AE62" s="100"/>
      <c r="AF62" s="100"/>
      <c r="AG62" s="100"/>
      <c r="AH62" s="100"/>
    </row>
    <row r="63" customFormat="false" ht="12.8" hidden="false" customHeight="false" outlineLevel="0" collapsed="false">
      <c r="A63" s="163"/>
      <c r="B63" s="163"/>
      <c r="C63" s="163"/>
      <c r="D63" s="16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00"/>
      <c r="AC63" s="100"/>
      <c r="AD63" s="100"/>
      <c r="AE63" s="100"/>
      <c r="AF63" s="100"/>
      <c r="AG63" s="100"/>
      <c r="AH63" s="100"/>
    </row>
    <row r="64" customFormat="false" ht="12.8" hidden="false" customHeight="false" outlineLevel="0" collapsed="false">
      <c r="A64" s="163"/>
      <c r="B64" s="163"/>
      <c r="C64" s="163"/>
      <c r="D64" s="16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00"/>
      <c r="AC64" s="100"/>
      <c r="AD64" s="100"/>
      <c r="AE64" s="100"/>
      <c r="AF64" s="100"/>
      <c r="AG64" s="100"/>
      <c r="AH64" s="100"/>
    </row>
    <row r="65" customFormat="false" ht="12.8" hidden="false" customHeight="false" outlineLevel="0" collapsed="false">
      <c r="A65" s="163"/>
      <c r="B65" s="163"/>
      <c r="C65" s="163"/>
      <c r="D65" s="16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00"/>
      <c r="AC65" s="100"/>
      <c r="AD65" s="100"/>
      <c r="AE65" s="100"/>
      <c r="AF65" s="100"/>
      <c r="AG65" s="100"/>
      <c r="AH65" s="100"/>
    </row>
    <row r="66" customFormat="false" ht="12.8" hidden="false" customHeight="false" outlineLevel="0" collapsed="false">
      <c r="A66" s="163"/>
      <c r="B66" s="163"/>
      <c r="C66" s="163"/>
      <c r="D66" s="16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00"/>
      <c r="AC66" s="100"/>
      <c r="AD66" s="100"/>
      <c r="AE66" s="100"/>
      <c r="AF66" s="100"/>
      <c r="AG66" s="100"/>
      <c r="AH66" s="100"/>
    </row>
    <row r="67" customFormat="false" ht="12.8" hidden="false" customHeight="false" outlineLevel="0" collapsed="false">
      <c r="A67" s="163"/>
      <c r="B67" s="163"/>
      <c r="C67" s="163"/>
      <c r="D67" s="16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00"/>
      <c r="AC67" s="100"/>
      <c r="AD67" s="100"/>
      <c r="AE67" s="100"/>
      <c r="AF67" s="100"/>
      <c r="AG67" s="100"/>
      <c r="AH67" s="100"/>
    </row>
    <row r="68" customFormat="false" ht="12.8" hidden="false" customHeight="false" outlineLevel="0" collapsed="false">
      <c r="A68" s="163"/>
      <c r="B68" s="163"/>
      <c r="C68" s="163"/>
      <c r="D68" s="16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00"/>
      <c r="AC68" s="100"/>
      <c r="AD68" s="100"/>
      <c r="AE68" s="100"/>
      <c r="AF68" s="100"/>
      <c r="AG68" s="100"/>
      <c r="AH68" s="100"/>
    </row>
    <row r="69" customFormat="false" ht="12.8" hidden="false" customHeight="false" outlineLevel="0" collapsed="false">
      <c r="A69" s="163"/>
      <c r="B69" s="163"/>
      <c r="C69" s="163"/>
      <c r="D69" s="16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00"/>
      <c r="AC69" s="100"/>
      <c r="AD69" s="100"/>
      <c r="AE69" s="100"/>
      <c r="AF69" s="100"/>
      <c r="AG69" s="100"/>
      <c r="AH69" s="100"/>
    </row>
    <row r="70" customFormat="false" ht="12.8" hidden="false" customHeight="false" outlineLevel="0" collapsed="false">
      <c r="A70" s="163"/>
      <c r="B70" s="163"/>
      <c r="C70" s="163"/>
      <c r="D70" s="16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00"/>
      <c r="AC70" s="100"/>
      <c r="AD70" s="100"/>
      <c r="AE70" s="100"/>
      <c r="AF70" s="100"/>
      <c r="AG70" s="100"/>
      <c r="AH70" s="100"/>
    </row>
    <row r="71" customFormat="false" ht="12.8" hidden="false" customHeight="false" outlineLevel="0" collapsed="false">
      <c r="A71" s="163"/>
      <c r="B71" s="163"/>
      <c r="C71" s="163"/>
      <c r="D71" s="16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00"/>
      <c r="AC71" s="100"/>
      <c r="AD71" s="100"/>
      <c r="AE71" s="100"/>
      <c r="AF71" s="100"/>
      <c r="AG71" s="100"/>
      <c r="AH71" s="100"/>
    </row>
    <row r="72" customFormat="false" ht="12.8" hidden="false" customHeight="false" outlineLevel="0" collapsed="false">
      <c r="A72" s="163"/>
      <c r="B72" s="163"/>
      <c r="C72" s="163"/>
      <c r="D72" s="16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00"/>
      <c r="AC72" s="100"/>
      <c r="AD72" s="100"/>
      <c r="AE72" s="100"/>
      <c r="AF72" s="100"/>
      <c r="AG72" s="100"/>
      <c r="AH72" s="100"/>
    </row>
    <row r="73" customFormat="false" ht="12.8" hidden="false" customHeight="false" outlineLevel="0" collapsed="false">
      <c r="A73" s="163"/>
      <c r="B73" s="163"/>
      <c r="C73" s="163"/>
      <c r="D73" s="16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00"/>
      <c r="AC73" s="100"/>
      <c r="AD73" s="100"/>
      <c r="AE73" s="100"/>
      <c r="AF73" s="100"/>
      <c r="AG73" s="100"/>
      <c r="AH73" s="100"/>
    </row>
    <row r="74" customFormat="false" ht="12.8" hidden="false" customHeight="false" outlineLevel="0" collapsed="false">
      <c r="A74" s="163"/>
      <c r="B74" s="163"/>
      <c r="C74" s="163"/>
      <c r="D74" s="16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00"/>
      <c r="AC74" s="100"/>
      <c r="AD74" s="100"/>
      <c r="AE74" s="100"/>
      <c r="AF74" s="100"/>
      <c r="AG74" s="100"/>
      <c r="AH74" s="100"/>
    </row>
    <row r="75" customFormat="false" ht="12.8" hidden="false" customHeight="false" outlineLevel="0" collapsed="false">
      <c r="A75" s="163"/>
      <c r="B75" s="163"/>
      <c r="C75" s="163"/>
      <c r="D75" s="16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00"/>
      <c r="AC75" s="100"/>
      <c r="AD75" s="100"/>
      <c r="AE75" s="100"/>
      <c r="AF75" s="100"/>
      <c r="AG75" s="100"/>
      <c r="AH75" s="100"/>
    </row>
    <row r="76" customFormat="false" ht="12.8" hidden="false" customHeight="false" outlineLevel="0" collapsed="false">
      <c r="A76" s="163"/>
      <c r="B76" s="163"/>
      <c r="C76" s="163"/>
      <c r="D76" s="16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00"/>
      <c r="AC76" s="100"/>
      <c r="AD76" s="100"/>
      <c r="AE76" s="100"/>
      <c r="AF76" s="100"/>
      <c r="AG76" s="100"/>
      <c r="AH76" s="100"/>
    </row>
    <row r="77" customFormat="false" ht="12.8" hidden="false" customHeight="false" outlineLevel="0" collapsed="false">
      <c r="A77" s="163"/>
      <c r="B77" s="163"/>
      <c r="C77" s="163"/>
      <c r="D77" s="16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00"/>
      <c r="AC77" s="100"/>
      <c r="AD77" s="100"/>
      <c r="AE77" s="100"/>
      <c r="AF77" s="100"/>
      <c r="AG77" s="100"/>
      <c r="AH77" s="100"/>
    </row>
    <row r="78" customFormat="false" ht="12.8" hidden="false" customHeight="false" outlineLevel="0" collapsed="false">
      <c r="A78" s="163"/>
      <c r="B78" s="163"/>
      <c r="C78" s="163"/>
      <c r="D78" s="16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00"/>
      <c r="AC78" s="100"/>
      <c r="AD78" s="100"/>
      <c r="AE78" s="100"/>
      <c r="AF78" s="100"/>
      <c r="AG78" s="100"/>
      <c r="AH78" s="100"/>
    </row>
    <row r="79" customFormat="false" ht="12.8" hidden="false" customHeight="false" outlineLevel="0" collapsed="false">
      <c r="A79" s="163"/>
      <c r="B79" s="163"/>
      <c r="C79" s="163"/>
      <c r="D79" s="16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00"/>
      <c r="AC79" s="100"/>
      <c r="AD79" s="100"/>
      <c r="AE79" s="100"/>
      <c r="AF79" s="100"/>
      <c r="AG79" s="100"/>
      <c r="AH79" s="100"/>
    </row>
    <row r="80" customFormat="false" ht="12.8" hidden="false" customHeight="false" outlineLevel="0" collapsed="false">
      <c r="A80" s="163"/>
      <c r="B80" s="163"/>
      <c r="C80" s="163"/>
      <c r="D80" s="16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00"/>
      <c r="AC80" s="100"/>
      <c r="AD80" s="100"/>
      <c r="AE80" s="100"/>
      <c r="AF80" s="100"/>
      <c r="AG80" s="100"/>
      <c r="AH80" s="100"/>
    </row>
    <row r="81" customFormat="false" ht="12.8" hidden="false" customHeight="false" outlineLevel="0" collapsed="false">
      <c r="A81" s="163"/>
      <c r="B81" s="163"/>
      <c r="C81" s="163"/>
      <c r="D81" s="16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00"/>
      <c r="AC81" s="100"/>
      <c r="AD81" s="100"/>
      <c r="AE81" s="100"/>
      <c r="AF81" s="100"/>
      <c r="AG81" s="100"/>
      <c r="AH81" s="100"/>
    </row>
    <row r="82" customFormat="false" ht="12.8" hidden="false" customHeight="false" outlineLevel="0" collapsed="false">
      <c r="A82" s="163"/>
      <c r="B82" s="163"/>
      <c r="C82" s="163"/>
      <c r="D82" s="16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00"/>
      <c r="AC82" s="100"/>
      <c r="AD82" s="100"/>
      <c r="AE82" s="100"/>
      <c r="AF82" s="100"/>
      <c r="AG82" s="100"/>
      <c r="AH82" s="100"/>
    </row>
    <row r="83" customFormat="false" ht="12.8" hidden="false" customHeight="false" outlineLevel="0" collapsed="false">
      <c r="A83" s="163"/>
      <c r="B83" s="163"/>
      <c r="C83" s="163"/>
      <c r="D83" s="16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00"/>
      <c r="AC83" s="100"/>
      <c r="AD83" s="100"/>
      <c r="AE83" s="100"/>
      <c r="AF83" s="100"/>
      <c r="AG83" s="100"/>
      <c r="AH83" s="100"/>
    </row>
    <row r="84" customFormat="false" ht="12.8" hidden="false" customHeight="false" outlineLevel="0" collapsed="false">
      <c r="A84" s="163"/>
      <c r="B84" s="163"/>
      <c r="C84" s="163"/>
      <c r="D84" s="16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00"/>
      <c r="AC84" s="100"/>
      <c r="AD84" s="100"/>
      <c r="AE84" s="100"/>
      <c r="AF84" s="100"/>
      <c r="AG84" s="100"/>
      <c r="AH84" s="100"/>
    </row>
    <row r="85" customFormat="false" ht="12.8" hidden="false" customHeight="false" outlineLevel="0" collapsed="false">
      <c r="A85" s="163"/>
      <c r="B85" s="163"/>
      <c r="C85" s="163"/>
      <c r="D85" s="16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00"/>
      <c r="AC85" s="100"/>
      <c r="AD85" s="100"/>
      <c r="AE85" s="100"/>
      <c r="AF85" s="100"/>
      <c r="AG85" s="100"/>
      <c r="AH85" s="100"/>
    </row>
    <row r="86" customFormat="false" ht="12.8" hidden="false" customHeight="false" outlineLevel="0" collapsed="false">
      <c r="A86" s="163"/>
      <c r="B86" s="163"/>
      <c r="C86" s="163"/>
      <c r="D86" s="16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00"/>
      <c r="AC86" s="100"/>
      <c r="AD86" s="100"/>
      <c r="AE86" s="100"/>
      <c r="AF86" s="100"/>
      <c r="AG86" s="100"/>
      <c r="AH86" s="100"/>
    </row>
    <row r="87" customFormat="false" ht="12.8" hidden="false" customHeight="false" outlineLevel="0" collapsed="false">
      <c r="A87" s="163"/>
      <c r="B87" s="163"/>
      <c r="C87" s="163"/>
      <c r="D87" s="16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00"/>
      <c r="AC87" s="100"/>
      <c r="AD87" s="100"/>
      <c r="AE87" s="100"/>
      <c r="AF87" s="100"/>
      <c r="AG87" s="100"/>
      <c r="AH87" s="100"/>
    </row>
    <row r="88" customFormat="false" ht="12.8" hidden="false" customHeight="false" outlineLevel="0" collapsed="false">
      <c r="A88" s="163"/>
      <c r="B88" s="163"/>
      <c r="C88" s="163"/>
      <c r="D88" s="16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00"/>
      <c r="AC88" s="100"/>
      <c r="AD88" s="100"/>
      <c r="AE88" s="100"/>
      <c r="AF88" s="100"/>
      <c r="AG88" s="100"/>
      <c r="AH88" s="100"/>
    </row>
    <row r="89" customFormat="false" ht="12.8" hidden="false" customHeight="false" outlineLevel="0" collapsed="false">
      <c r="A89" s="163"/>
      <c r="B89" s="163"/>
      <c r="C89" s="163"/>
      <c r="D89" s="16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00"/>
      <c r="AC89" s="100"/>
      <c r="AD89" s="100"/>
      <c r="AE89" s="100"/>
      <c r="AF89" s="100"/>
      <c r="AG89" s="100"/>
      <c r="AH89" s="100"/>
    </row>
    <row r="90" customFormat="false" ht="12.8" hidden="false" customHeight="false" outlineLevel="0" collapsed="false">
      <c r="A90" s="163"/>
      <c r="B90" s="163"/>
      <c r="C90" s="163"/>
      <c r="D90" s="16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00"/>
      <c r="AC90" s="100"/>
      <c r="AD90" s="100"/>
      <c r="AE90" s="100"/>
      <c r="AF90" s="100"/>
      <c r="AG90" s="100"/>
      <c r="AH90" s="100"/>
    </row>
    <row r="91" customFormat="false" ht="12.8" hidden="false" customHeight="false" outlineLevel="0" collapsed="false">
      <c r="A91" s="163"/>
      <c r="B91" s="163"/>
      <c r="C91" s="163"/>
      <c r="D91" s="16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00"/>
      <c r="AC91" s="100"/>
      <c r="AD91" s="100"/>
      <c r="AE91" s="100"/>
      <c r="AF91" s="100"/>
      <c r="AG91" s="100"/>
      <c r="AH91" s="100"/>
    </row>
    <row r="92" customFormat="false" ht="12.8" hidden="false" customHeight="false" outlineLevel="0" collapsed="false">
      <c r="A92" s="163"/>
      <c r="B92" s="163"/>
      <c r="C92" s="163"/>
      <c r="D92" s="16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00"/>
      <c r="AC92" s="100"/>
      <c r="AD92" s="100"/>
      <c r="AE92" s="100"/>
      <c r="AF92" s="100"/>
      <c r="AG92" s="100"/>
      <c r="AH92" s="100"/>
    </row>
    <row r="93" customFormat="false" ht="12.8" hidden="false" customHeight="false" outlineLevel="0" collapsed="false">
      <c r="A93" s="163"/>
      <c r="B93" s="163"/>
      <c r="C93" s="163"/>
      <c r="D93" s="16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00"/>
      <c r="AC93" s="100"/>
      <c r="AD93" s="100"/>
      <c r="AE93" s="100"/>
      <c r="AF93" s="100"/>
      <c r="AG93" s="100"/>
      <c r="AH93" s="100"/>
    </row>
    <row r="94" customFormat="false" ht="12.8" hidden="false" customHeight="false" outlineLevel="0" collapsed="false">
      <c r="A94" s="163"/>
      <c r="B94" s="163"/>
      <c r="C94" s="163"/>
      <c r="D94" s="16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00"/>
      <c r="AC94" s="100"/>
      <c r="AD94" s="100"/>
      <c r="AE94" s="100"/>
      <c r="AF94" s="100"/>
      <c r="AG94" s="100"/>
      <c r="AH94" s="100"/>
    </row>
    <row r="95" customFormat="false" ht="12.8" hidden="false" customHeight="false" outlineLevel="0" collapsed="false">
      <c r="A95" s="163"/>
      <c r="B95" s="163"/>
      <c r="C95" s="163"/>
      <c r="D95" s="16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00"/>
      <c r="AC95" s="100"/>
      <c r="AD95" s="100"/>
      <c r="AE95" s="100"/>
      <c r="AF95" s="100"/>
      <c r="AG95" s="100"/>
      <c r="AH95" s="100"/>
    </row>
    <row r="96" customFormat="false" ht="12.8" hidden="false" customHeight="false" outlineLevel="0" collapsed="false">
      <c r="A96" s="163"/>
      <c r="B96" s="163"/>
      <c r="C96" s="163"/>
      <c r="D96" s="16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00"/>
      <c r="AC96" s="100"/>
      <c r="AD96" s="100"/>
      <c r="AE96" s="100"/>
      <c r="AF96" s="100"/>
      <c r="AG96" s="100"/>
      <c r="AH96" s="100"/>
    </row>
    <row r="97" customFormat="false" ht="12.8" hidden="false" customHeight="false" outlineLevel="0" collapsed="false">
      <c r="A97" s="163"/>
      <c r="B97" s="163"/>
      <c r="C97" s="163"/>
      <c r="D97" s="16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00"/>
      <c r="AC97" s="100"/>
      <c r="AD97" s="100"/>
      <c r="AE97" s="100"/>
      <c r="AF97" s="100"/>
      <c r="AG97" s="100"/>
      <c r="AH97" s="100"/>
    </row>
    <row r="98" customFormat="false" ht="12.8" hidden="false" customHeight="false" outlineLevel="0" collapsed="false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00"/>
      <c r="AC98" s="100"/>
      <c r="AD98" s="100"/>
      <c r="AE98" s="100"/>
      <c r="AF98" s="100"/>
      <c r="AG98" s="100"/>
      <c r="AH98" s="100"/>
    </row>
    <row r="99" customFormat="false" ht="12.8" hidden="false" customHeight="false" outlineLevel="0" collapsed="false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00"/>
      <c r="AC99" s="100"/>
      <c r="AD99" s="100"/>
      <c r="AE99" s="100"/>
      <c r="AF99" s="100"/>
      <c r="AG99" s="100"/>
      <c r="AH99" s="100"/>
    </row>
    <row r="100" customFormat="false" ht="12.8" hidden="false" customHeight="false" outlineLevel="0" collapsed="false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00"/>
      <c r="AC100" s="100"/>
      <c r="AD100" s="100"/>
      <c r="AE100" s="100"/>
      <c r="AF100" s="100"/>
      <c r="AG100" s="100"/>
      <c r="AH100" s="100"/>
    </row>
    <row r="101" customFormat="false" ht="12.8" hidden="false" customHeight="false" outlineLevel="0" collapsed="false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00"/>
      <c r="AC101" s="100"/>
      <c r="AD101" s="100"/>
      <c r="AE101" s="100"/>
      <c r="AF101" s="100"/>
      <c r="AG101" s="100"/>
      <c r="AH101" s="100"/>
    </row>
    <row r="102" customFormat="false" ht="12.8" hidden="false" customHeight="false" outlineLevel="0" collapsed="false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00"/>
      <c r="AC102" s="100"/>
      <c r="AD102" s="100"/>
      <c r="AE102" s="100"/>
      <c r="AF102" s="100"/>
      <c r="AG102" s="100"/>
      <c r="AH102" s="100"/>
    </row>
    <row r="103" customFormat="false" ht="12.8" hidden="false" customHeight="false" outlineLevel="0" collapsed="false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00"/>
      <c r="AC103" s="100"/>
      <c r="AD103" s="100"/>
      <c r="AE103" s="100"/>
      <c r="AF103" s="100"/>
      <c r="AG103" s="100"/>
      <c r="AH103" s="100"/>
    </row>
    <row r="104" customFormat="false" ht="12.8" hidden="false" customHeight="false" outlineLevel="0" collapsed="false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00"/>
      <c r="AC104" s="100"/>
      <c r="AD104" s="100"/>
      <c r="AE104" s="100"/>
      <c r="AF104" s="100"/>
      <c r="AG104" s="100"/>
      <c r="AH104" s="100"/>
    </row>
    <row r="105" customFormat="false" ht="12.8" hidden="false" customHeight="false" outlineLevel="0" collapsed="false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00"/>
      <c r="AC105" s="100"/>
      <c r="AD105" s="100"/>
      <c r="AE105" s="100"/>
      <c r="AF105" s="100"/>
      <c r="AG105" s="100"/>
      <c r="AH105" s="100"/>
    </row>
    <row r="106" customFormat="false" ht="12.8" hidden="false" customHeight="false" outlineLevel="0" collapsed="false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00"/>
      <c r="AC106" s="100"/>
      <c r="AD106" s="100"/>
      <c r="AE106" s="100"/>
      <c r="AF106" s="100"/>
      <c r="AG106" s="100"/>
      <c r="AH106" s="100"/>
    </row>
    <row r="107" customFormat="false" ht="12.8" hidden="false" customHeight="false" outlineLevel="0" collapsed="false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00"/>
      <c r="AC107" s="100"/>
      <c r="AD107" s="100"/>
      <c r="AE107" s="100"/>
      <c r="AF107" s="100"/>
      <c r="AG107" s="100"/>
      <c r="AH107" s="100"/>
    </row>
    <row r="108" customFormat="false" ht="12.8" hidden="false" customHeight="false" outlineLevel="0" collapsed="false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00"/>
      <c r="AC108" s="100"/>
      <c r="AD108" s="100"/>
      <c r="AE108" s="100"/>
      <c r="AF108" s="100"/>
      <c r="AG108" s="100"/>
      <c r="AH108" s="100"/>
    </row>
    <row r="109" customFormat="false" ht="12.8" hidden="false" customHeight="false" outlineLevel="0" collapsed="false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00"/>
      <c r="AC109" s="100"/>
      <c r="AD109" s="100"/>
      <c r="AE109" s="100"/>
      <c r="AF109" s="100"/>
      <c r="AG109" s="100"/>
      <c r="AH109" s="100"/>
    </row>
    <row r="110" customFormat="false" ht="12.8" hidden="false" customHeight="false" outlineLevel="0" collapsed="false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00"/>
      <c r="AC110" s="100"/>
      <c r="AD110" s="100"/>
      <c r="AE110" s="100"/>
      <c r="AF110" s="100"/>
      <c r="AG110" s="100"/>
      <c r="AH110" s="100"/>
    </row>
    <row r="111" customFormat="false" ht="12.8" hidden="false" customHeight="false" outlineLevel="0" collapsed="false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00"/>
      <c r="AC111" s="100"/>
      <c r="AD111" s="100"/>
      <c r="AE111" s="100"/>
      <c r="AF111" s="100"/>
      <c r="AG111" s="100"/>
      <c r="AH111" s="100"/>
    </row>
    <row r="112" customFormat="false" ht="12.8" hidden="false" customHeight="false" outlineLevel="0" collapsed="false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00"/>
      <c r="AC112" s="100"/>
      <c r="AD112" s="100"/>
      <c r="AE112" s="100"/>
      <c r="AF112" s="100"/>
      <c r="AG112" s="100"/>
      <c r="AH112" s="100"/>
    </row>
    <row r="113" customFormat="false" ht="12.8" hidden="false" customHeight="false" outlineLevel="0" collapsed="false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00"/>
      <c r="AC113" s="100"/>
      <c r="AD113" s="100"/>
      <c r="AE113" s="100"/>
      <c r="AF113" s="100"/>
      <c r="AG113" s="100"/>
      <c r="AH113" s="100"/>
    </row>
    <row r="114" customFormat="false" ht="12.8" hidden="false" customHeight="false" outlineLevel="0" collapsed="false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00"/>
      <c r="AC114" s="100"/>
      <c r="AD114" s="100"/>
      <c r="AE114" s="100"/>
      <c r="AF114" s="100"/>
      <c r="AG114" s="100"/>
      <c r="AH114" s="100"/>
    </row>
    <row r="115" customFormat="false" ht="12.8" hidden="false" customHeight="false" outlineLevel="0" collapsed="false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00"/>
      <c r="AC115" s="100"/>
      <c r="AD115" s="100"/>
      <c r="AE115" s="100"/>
      <c r="AF115" s="100"/>
      <c r="AG115" s="100"/>
      <c r="AH115" s="100"/>
    </row>
    <row r="116" customFormat="false" ht="12.8" hidden="false" customHeight="false" outlineLevel="0" collapsed="false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00"/>
      <c r="AC116" s="100"/>
      <c r="AD116" s="100"/>
      <c r="AE116" s="100"/>
      <c r="AF116" s="100"/>
      <c r="AG116" s="100"/>
      <c r="AH116" s="100"/>
    </row>
    <row r="117" customFormat="false" ht="12.8" hidden="false" customHeight="false" outlineLevel="0" collapsed="false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00"/>
      <c r="AC117" s="100"/>
      <c r="AD117" s="100"/>
      <c r="AE117" s="100"/>
      <c r="AF117" s="100"/>
      <c r="AG117" s="100"/>
      <c r="AH117" s="100"/>
    </row>
    <row r="118" customFormat="false" ht="12.8" hidden="false" customHeight="false" outlineLevel="0" collapsed="false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00"/>
      <c r="AC118" s="100"/>
      <c r="AD118" s="100"/>
      <c r="AE118" s="100"/>
      <c r="AF118" s="100"/>
      <c r="AG118" s="100"/>
      <c r="AH118" s="100"/>
    </row>
    <row r="119" customFormat="false" ht="12.8" hidden="false" customHeight="false" outlineLevel="0" collapsed="false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00"/>
      <c r="AC119" s="100"/>
      <c r="AD119" s="100"/>
      <c r="AE119" s="100"/>
      <c r="AF119" s="100"/>
      <c r="AG119" s="100"/>
      <c r="AH119" s="100"/>
    </row>
    <row r="120" customFormat="false" ht="12.8" hidden="false" customHeight="false" outlineLevel="0" collapsed="false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00"/>
      <c r="AC120" s="100"/>
      <c r="AD120" s="100"/>
      <c r="AE120" s="100"/>
      <c r="AF120" s="100"/>
      <c r="AG120" s="100"/>
      <c r="AH120" s="100"/>
    </row>
    <row r="121" customFormat="false" ht="12.8" hidden="false" customHeight="false" outlineLevel="0" collapsed="false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00"/>
      <c r="AC121" s="100"/>
      <c r="AD121" s="100"/>
      <c r="AE121" s="100"/>
      <c r="AF121" s="100"/>
      <c r="AG121" s="100"/>
      <c r="AH121" s="100"/>
    </row>
    <row r="122" customFormat="false" ht="12.8" hidden="false" customHeight="false" outlineLevel="0" collapsed="false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00"/>
      <c r="AC122" s="100"/>
      <c r="AD122" s="100"/>
      <c r="AE122" s="100"/>
      <c r="AF122" s="100"/>
      <c r="AG122" s="100"/>
      <c r="AH122" s="100"/>
    </row>
    <row r="123" customFormat="false" ht="12.8" hidden="false" customHeight="false" outlineLevel="0" collapsed="false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00"/>
      <c r="AC123" s="100"/>
      <c r="AD123" s="100"/>
      <c r="AE123" s="100"/>
      <c r="AF123" s="100"/>
      <c r="AG123" s="100"/>
      <c r="AH123" s="100"/>
    </row>
    <row r="124" customFormat="false" ht="12.8" hidden="false" customHeight="false" outlineLevel="0" collapsed="false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00"/>
      <c r="AC124" s="100"/>
      <c r="AD124" s="100"/>
      <c r="AE124" s="100"/>
      <c r="AF124" s="100"/>
      <c r="AG124" s="100"/>
      <c r="AH124" s="100"/>
    </row>
    <row r="125" customFormat="false" ht="12.8" hidden="false" customHeight="false" outlineLevel="0" collapsed="false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00"/>
      <c r="AC125" s="100"/>
      <c r="AD125" s="100"/>
      <c r="AE125" s="100"/>
      <c r="AF125" s="100"/>
      <c r="AG125" s="100"/>
      <c r="AH125" s="100"/>
    </row>
    <row r="126" customFormat="false" ht="12.8" hidden="false" customHeight="false" outlineLevel="0" collapsed="false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00"/>
      <c r="AC126" s="100"/>
      <c r="AD126" s="100"/>
      <c r="AE126" s="100"/>
      <c r="AF126" s="100"/>
      <c r="AG126" s="100"/>
      <c r="AH126" s="100"/>
    </row>
    <row r="127" customFormat="false" ht="12.8" hidden="false" customHeight="false" outlineLevel="0" collapsed="false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00"/>
      <c r="AC127" s="100"/>
      <c r="AD127" s="100"/>
      <c r="AE127" s="100"/>
      <c r="AF127" s="100"/>
      <c r="AG127" s="100"/>
      <c r="AH127" s="100"/>
    </row>
    <row r="128" customFormat="false" ht="12.8" hidden="false" customHeight="false" outlineLevel="0" collapsed="false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00"/>
      <c r="AC128" s="100"/>
      <c r="AD128" s="100"/>
      <c r="AE128" s="100"/>
      <c r="AF128" s="100"/>
      <c r="AG128" s="100"/>
      <c r="AH128" s="100"/>
    </row>
    <row r="129" customFormat="false" ht="12.8" hidden="false" customHeight="false" outlineLevel="0" collapsed="false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00"/>
      <c r="AC129" s="100"/>
      <c r="AD129" s="100"/>
      <c r="AE129" s="100"/>
      <c r="AF129" s="100"/>
      <c r="AG129" s="100"/>
      <c r="AH129" s="100"/>
    </row>
    <row r="130" customFormat="false" ht="12.8" hidden="false" customHeight="false" outlineLevel="0" collapsed="false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00"/>
      <c r="AC130" s="100"/>
      <c r="AD130" s="100"/>
      <c r="AE130" s="100"/>
      <c r="AF130" s="100"/>
      <c r="AG130" s="100"/>
      <c r="AH130" s="100"/>
    </row>
    <row r="131" customFormat="false" ht="12.8" hidden="false" customHeight="false" outlineLevel="0" collapsed="false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  <c r="AB131" s="100"/>
      <c r="AC131" s="100"/>
      <c r="AD131" s="100"/>
      <c r="AE131" s="100"/>
      <c r="AF131" s="100"/>
      <c r="AG131" s="100"/>
      <c r="AH131" s="100"/>
    </row>
    <row r="132" customFormat="false" ht="12.8" hidden="false" customHeight="false" outlineLevel="0" collapsed="false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  <c r="AB132" s="100"/>
      <c r="AC132" s="100"/>
      <c r="AD132" s="100"/>
      <c r="AE132" s="100"/>
      <c r="AF132" s="100"/>
      <c r="AG132" s="100"/>
      <c r="AH132" s="100"/>
    </row>
    <row r="133" customFormat="false" ht="12.8" hidden="false" customHeight="false" outlineLevel="0" collapsed="false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00"/>
      <c r="AC133" s="100"/>
      <c r="AD133" s="100"/>
      <c r="AE133" s="100"/>
      <c r="AF133" s="100"/>
      <c r="AG133" s="100"/>
      <c r="AH133" s="100"/>
    </row>
    <row r="134" customFormat="false" ht="12.8" hidden="false" customHeight="false" outlineLevel="0" collapsed="false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00"/>
      <c r="AC134" s="100"/>
      <c r="AD134" s="100"/>
      <c r="AE134" s="100"/>
      <c r="AF134" s="100"/>
      <c r="AG134" s="100"/>
      <c r="AH134" s="100"/>
    </row>
    <row r="135" customFormat="false" ht="12.8" hidden="false" customHeight="false" outlineLevel="0" collapsed="false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00"/>
      <c r="AC135" s="100"/>
      <c r="AD135" s="100"/>
      <c r="AE135" s="100"/>
      <c r="AF135" s="100"/>
      <c r="AG135" s="100"/>
      <c r="AH135" s="100"/>
    </row>
    <row r="136" customFormat="false" ht="12.8" hidden="false" customHeight="false" outlineLevel="0" collapsed="false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00"/>
      <c r="AC136" s="100"/>
      <c r="AD136" s="100"/>
      <c r="AE136" s="100"/>
      <c r="AF136" s="100"/>
      <c r="AG136" s="100"/>
      <c r="AH136" s="100"/>
    </row>
    <row r="137" customFormat="false" ht="12.8" hidden="false" customHeight="false" outlineLevel="0" collapsed="false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00"/>
      <c r="AC137" s="100"/>
      <c r="AD137" s="100"/>
      <c r="AE137" s="100"/>
      <c r="AF137" s="100"/>
      <c r="AG137" s="100"/>
      <c r="AH137" s="100"/>
    </row>
    <row r="138" customFormat="false" ht="12.8" hidden="false" customHeight="false" outlineLevel="0" collapsed="false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100"/>
      <c r="AC138" s="100"/>
      <c r="AD138" s="100"/>
      <c r="AE138" s="100"/>
      <c r="AF138" s="100"/>
      <c r="AG138" s="100"/>
      <c r="AH138" s="100"/>
    </row>
    <row r="139" customFormat="false" ht="12.8" hidden="false" customHeight="false" outlineLevel="0" collapsed="false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00"/>
      <c r="AC139" s="100"/>
      <c r="AD139" s="100"/>
      <c r="AE139" s="100"/>
      <c r="AF139" s="100"/>
      <c r="AG139" s="100"/>
      <c r="AH139" s="100"/>
    </row>
    <row r="140" customFormat="false" ht="12.8" hidden="false" customHeight="false" outlineLevel="0" collapsed="false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  <c r="AB140" s="100"/>
      <c r="AC140" s="100"/>
      <c r="AD140" s="100"/>
      <c r="AE140" s="100"/>
      <c r="AF140" s="100"/>
      <c r="AG140" s="100"/>
      <c r="AH140" s="100"/>
    </row>
    <row r="141" customFormat="false" ht="12.8" hidden="false" customHeight="false" outlineLevel="0" collapsed="false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  <c r="AB141" s="100"/>
      <c r="AC141" s="100"/>
      <c r="AD141" s="100"/>
      <c r="AE141" s="100"/>
      <c r="AF141" s="100"/>
      <c r="AG141" s="100"/>
      <c r="AH141" s="100"/>
    </row>
    <row r="142" customFormat="false" ht="12.8" hidden="false" customHeight="false" outlineLevel="0" collapsed="false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  <c r="AB142" s="100"/>
      <c r="AC142" s="100"/>
      <c r="AD142" s="100"/>
      <c r="AE142" s="100"/>
      <c r="AF142" s="100"/>
      <c r="AG142" s="100"/>
      <c r="AH142" s="100"/>
    </row>
    <row r="143" customFormat="false" ht="12.8" hidden="false" customHeight="false" outlineLevel="0" collapsed="false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  <c r="AB143" s="100"/>
      <c r="AC143" s="100"/>
      <c r="AD143" s="100"/>
      <c r="AE143" s="100"/>
      <c r="AF143" s="100"/>
      <c r="AG143" s="100"/>
      <c r="AH143" s="100"/>
    </row>
    <row r="144" customFormat="false" ht="12.8" hidden="false" customHeight="false" outlineLevel="0" collapsed="false">
      <c r="A144" s="193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00"/>
      <c r="AC144" s="100"/>
      <c r="AD144" s="100"/>
      <c r="AE144" s="100"/>
      <c r="AF144" s="100"/>
      <c r="AG144" s="100"/>
      <c r="AH144" s="100"/>
    </row>
    <row r="145" customFormat="false" ht="12.8" hidden="false" customHeight="false" outlineLevel="0" collapsed="false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  <c r="AB145" s="100"/>
      <c r="AC145" s="100"/>
      <c r="AD145" s="100"/>
      <c r="AE145" s="100"/>
      <c r="AF145" s="100"/>
      <c r="AG145" s="100"/>
      <c r="AH145" s="100"/>
    </row>
    <row r="146" customFormat="false" ht="12.8" hidden="false" customHeight="false" outlineLevel="0" collapsed="false">
      <c r="A146" s="193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  <c r="AB146" s="100"/>
      <c r="AC146" s="100"/>
      <c r="AD146" s="100"/>
      <c r="AE146" s="100"/>
      <c r="AF146" s="100"/>
      <c r="AG146" s="100"/>
      <c r="AH146" s="100"/>
    </row>
    <row r="147" customFormat="false" ht="12.8" hidden="false" customHeight="false" outlineLevel="0" collapsed="false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00"/>
      <c r="AC147" s="100"/>
      <c r="AD147" s="100"/>
      <c r="AE147" s="100"/>
      <c r="AF147" s="100"/>
      <c r="AG147" s="100"/>
      <c r="AH147" s="100"/>
    </row>
    <row r="148" customFormat="false" ht="12.8" hidden="false" customHeight="false" outlineLevel="0" collapsed="false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00"/>
      <c r="AC148" s="100"/>
      <c r="AD148" s="100"/>
      <c r="AE148" s="100"/>
      <c r="AF148" s="100"/>
      <c r="AG148" s="100"/>
      <c r="AH148" s="100"/>
    </row>
    <row r="149" customFormat="false" ht="12.8" hidden="false" customHeight="false" outlineLevel="0" collapsed="false">
      <c r="A149" s="193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00"/>
      <c r="AC149" s="100"/>
      <c r="AD149" s="100"/>
      <c r="AE149" s="100"/>
      <c r="AF149" s="100"/>
      <c r="AG149" s="100"/>
      <c r="AH149" s="100"/>
    </row>
    <row r="150" customFormat="false" ht="12.8" hidden="false" customHeight="false" outlineLevel="0" collapsed="false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  <c r="AB150" s="100"/>
      <c r="AC150" s="100"/>
      <c r="AD150" s="100"/>
      <c r="AE150" s="100"/>
      <c r="AF150" s="100"/>
      <c r="AG150" s="100"/>
      <c r="AH150" s="100"/>
    </row>
    <row r="151" customFormat="false" ht="12.8" hidden="false" customHeight="false" outlineLevel="0" collapsed="false">
      <c r="A151" s="19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00"/>
      <c r="AC151" s="100"/>
      <c r="AD151" s="100"/>
      <c r="AE151" s="100"/>
      <c r="AF151" s="100"/>
      <c r="AG151" s="100"/>
      <c r="AH151" s="100"/>
    </row>
    <row r="152" customFormat="false" ht="12.8" hidden="false" customHeight="false" outlineLevel="0" collapsed="false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00"/>
      <c r="AC152" s="100"/>
      <c r="AD152" s="100"/>
      <c r="AE152" s="100"/>
      <c r="AF152" s="100"/>
      <c r="AG152" s="100"/>
      <c r="AH152" s="100"/>
    </row>
    <row r="153" customFormat="false" ht="12.8" hidden="false" customHeight="false" outlineLevel="0" collapsed="false">
      <c r="A153" s="193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  <c r="AB153" s="100"/>
      <c r="AC153" s="100"/>
      <c r="AD153" s="100"/>
      <c r="AE153" s="100"/>
      <c r="AF153" s="100"/>
      <c r="AG153" s="100"/>
      <c r="AH153" s="100"/>
    </row>
    <row r="154" customFormat="false" ht="12.8" hidden="false" customHeight="false" outlineLevel="0" collapsed="false">
      <c r="A154" s="193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  <c r="AB154" s="100"/>
      <c r="AC154" s="100"/>
      <c r="AD154" s="100"/>
      <c r="AE154" s="100"/>
      <c r="AF154" s="100"/>
      <c r="AG154" s="100"/>
      <c r="AH154" s="100"/>
    </row>
    <row r="155" customFormat="false" ht="12.8" hidden="false" customHeight="false" outlineLevel="0" collapsed="false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  <c r="AB155" s="100"/>
      <c r="AC155" s="100"/>
      <c r="AD155" s="100"/>
      <c r="AE155" s="100"/>
      <c r="AF155" s="100"/>
      <c r="AG155" s="100"/>
      <c r="AH155" s="100"/>
    </row>
    <row r="156" customFormat="false" ht="12.8" hidden="false" customHeight="false" outlineLevel="0" collapsed="false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00"/>
      <c r="AC156" s="100"/>
      <c r="AD156" s="100"/>
      <c r="AE156" s="100"/>
      <c r="AF156" s="100"/>
      <c r="AG156" s="100"/>
      <c r="AH156" s="100"/>
    </row>
    <row r="157" customFormat="false" ht="12.8" hidden="false" customHeight="false" outlineLevel="0" collapsed="false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00"/>
      <c r="AC157" s="100"/>
      <c r="AD157" s="100"/>
      <c r="AE157" s="100"/>
      <c r="AF157" s="100"/>
      <c r="AG157" s="100"/>
      <c r="AH157" s="100"/>
    </row>
    <row r="158" customFormat="false" ht="12.8" hidden="false" customHeight="false" outlineLevel="0" collapsed="false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  <c r="AB158" s="100"/>
      <c r="AC158" s="100"/>
      <c r="AD158" s="100"/>
      <c r="AE158" s="100"/>
      <c r="AF158" s="100"/>
      <c r="AG158" s="100"/>
      <c r="AH158" s="100"/>
    </row>
    <row r="159" customFormat="false" ht="12.8" hidden="false" customHeight="false" outlineLevel="0" collapsed="false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  <c r="AB159" s="100"/>
      <c r="AC159" s="100"/>
      <c r="AD159" s="100"/>
      <c r="AE159" s="100"/>
      <c r="AF159" s="100"/>
      <c r="AG159" s="100"/>
      <c r="AH159" s="100"/>
    </row>
    <row r="160" customFormat="false" ht="12.8" hidden="false" customHeight="false" outlineLevel="0" collapsed="false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  <c r="AB160" s="100"/>
      <c r="AC160" s="100"/>
      <c r="AD160" s="100"/>
      <c r="AE160" s="100"/>
      <c r="AF160" s="100"/>
      <c r="AG160" s="100"/>
      <c r="AH160" s="100"/>
    </row>
    <row r="161" customFormat="false" ht="12.8" hidden="false" customHeight="false" outlineLevel="0" collapsed="false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  <c r="AB161" s="100"/>
      <c r="AC161" s="100"/>
      <c r="AD161" s="100"/>
      <c r="AE161" s="100"/>
      <c r="AF161" s="100"/>
      <c r="AG161" s="100"/>
      <c r="AH161" s="100"/>
    </row>
    <row r="162" customFormat="false" ht="12.8" hidden="false" customHeight="false" outlineLevel="0" collapsed="false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  <c r="AB162" s="100"/>
      <c r="AC162" s="100"/>
      <c r="AD162" s="100"/>
      <c r="AE162" s="100"/>
      <c r="AF162" s="100"/>
      <c r="AG162" s="100"/>
      <c r="AH162" s="100"/>
    </row>
    <row r="163" customFormat="false" ht="12.8" hidden="false" customHeight="false" outlineLevel="0" collapsed="false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  <c r="AB163" s="100"/>
      <c r="AC163" s="100"/>
      <c r="AD163" s="100"/>
      <c r="AE163" s="100"/>
      <c r="AF163" s="100"/>
      <c r="AG163" s="100"/>
      <c r="AH163" s="100"/>
    </row>
    <row r="164" customFormat="false" ht="12.8" hidden="false" customHeight="false" outlineLevel="0" collapsed="false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  <c r="AB164" s="100"/>
      <c r="AC164" s="100"/>
      <c r="AD164" s="100"/>
      <c r="AE164" s="100"/>
      <c r="AF164" s="100"/>
      <c r="AG164" s="100"/>
      <c r="AH164" s="100"/>
    </row>
    <row r="165" customFormat="false" ht="12.8" hidden="false" customHeight="false" outlineLevel="0" collapsed="false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  <c r="AB165" s="100"/>
      <c r="AC165" s="100"/>
      <c r="AD165" s="100"/>
      <c r="AE165" s="100"/>
      <c r="AF165" s="100"/>
      <c r="AG165" s="100"/>
      <c r="AH165" s="100"/>
    </row>
    <row r="166" customFormat="false" ht="12.8" hidden="false" customHeight="false" outlineLevel="0" collapsed="false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  <c r="AB166" s="100"/>
      <c r="AC166" s="100"/>
      <c r="AD166" s="100"/>
      <c r="AE166" s="100"/>
      <c r="AF166" s="100"/>
      <c r="AG166" s="100"/>
      <c r="AH166" s="100"/>
    </row>
    <row r="167" customFormat="false" ht="12.8" hidden="false" customHeight="false" outlineLevel="0" collapsed="false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  <c r="AB167" s="100"/>
      <c r="AC167" s="100"/>
      <c r="AD167" s="100"/>
      <c r="AE167" s="100"/>
      <c r="AF167" s="100"/>
      <c r="AG167" s="100"/>
      <c r="AH167" s="100"/>
    </row>
    <row r="168" customFormat="false" ht="12.8" hidden="false" customHeight="false" outlineLevel="0" collapsed="false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00"/>
      <c r="AC168" s="100"/>
      <c r="AD168" s="100"/>
      <c r="AE168" s="100"/>
      <c r="AF168" s="100"/>
      <c r="AG168" s="100"/>
      <c r="AH168" s="100"/>
    </row>
    <row r="169" customFormat="false" ht="12.8" hidden="false" customHeight="false" outlineLevel="0" collapsed="false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00"/>
      <c r="AC169" s="100"/>
      <c r="AD169" s="100"/>
      <c r="AE169" s="100"/>
      <c r="AF169" s="100"/>
      <c r="AG169" s="100"/>
      <c r="AH169" s="100"/>
    </row>
    <row r="170" customFormat="false" ht="12.8" hidden="false" customHeight="false" outlineLevel="0" collapsed="false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00"/>
      <c r="AC170" s="100"/>
      <c r="AD170" s="100"/>
      <c r="AE170" s="100"/>
      <c r="AF170" s="100"/>
      <c r="AG170" s="100"/>
      <c r="AH170" s="100"/>
    </row>
    <row r="171" customFormat="false" ht="12.8" hidden="false" customHeight="false" outlineLevel="0" collapsed="false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  <c r="AB171" s="100"/>
      <c r="AC171" s="100"/>
      <c r="AD171" s="100"/>
      <c r="AE171" s="100"/>
      <c r="AF171" s="100"/>
      <c r="AG171" s="100"/>
      <c r="AH171" s="100"/>
    </row>
    <row r="172" customFormat="false" ht="12.8" hidden="false" customHeight="false" outlineLevel="0" collapsed="false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  <c r="AB172" s="100"/>
      <c r="AC172" s="100"/>
      <c r="AD172" s="100"/>
      <c r="AE172" s="100"/>
      <c r="AF172" s="100"/>
      <c r="AG172" s="100"/>
      <c r="AH172" s="100"/>
    </row>
    <row r="173" customFormat="false" ht="12.8" hidden="false" customHeight="false" outlineLevel="0" collapsed="false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  <c r="AB173" s="100"/>
      <c r="AC173" s="100"/>
      <c r="AD173" s="100"/>
      <c r="AE173" s="100"/>
      <c r="AF173" s="100"/>
      <c r="AG173" s="100"/>
      <c r="AH173" s="100"/>
    </row>
    <row r="174" customFormat="false" ht="12.8" hidden="false" customHeight="false" outlineLevel="0" collapsed="false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  <c r="AB174" s="100"/>
      <c r="AC174" s="100"/>
      <c r="AD174" s="100"/>
      <c r="AE174" s="100"/>
      <c r="AF174" s="100"/>
      <c r="AG174" s="100"/>
      <c r="AH174" s="100"/>
    </row>
    <row r="175" customFormat="false" ht="12.8" hidden="false" customHeight="false" outlineLevel="0" collapsed="false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  <c r="AB175" s="100"/>
      <c r="AC175" s="100"/>
      <c r="AD175" s="100"/>
      <c r="AE175" s="100"/>
      <c r="AF175" s="100"/>
      <c r="AG175" s="100"/>
      <c r="AH175" s="100"/>
    </row>
    <row r="176" customFormat="false" ht="12.8" hidden="false" customHeight="false" outlineLevel="0" collapsed="false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  <c r="AB176" s="100"/>
      <c r="AC176" s="100"/>
      <c r="AD176" s="100"/>
      <c r="AE176" s="100"/>
      <c r="AF176" s="100"/>
      <c r="AG176" s="100"/>
      <c r="AH176" s="100"/>
    </row>
    <row r="177" customFormat="false" ht="12.8" hidden="false" customHeight="false" outlineLevel="0" collapsed="false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  <c r="AB177" s="100"/>
      <c r="AC177" s="100"/>
      <c r="AD177" s="100"/>
      <c r="AE177" s="100"/>
      <c r="AF177" s="100"/>
      <c r="AG177" s="100"/>
      <c r="AH177" s="100"/>
    </row>
    <row r="178" customFormat="false" ht="12.8" hidden="false" customHeight="false" outlineLevel="0" collapsed="false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  <c r="AB178" s="100"/>
      <c r="AC178" s="100"/>
      <c r="AD178" s="100"/>
      <c r="AE178" s="100"/>
      <c r="AF178" s="100"/>
      <c r="AG178" s="100"/>
      <c r="AH178" s="100"/>
    </row>
    <row r="179" customFormat="false" ht="12.8" hidden="false" customHeight="false" outlineLevel="0" collapsed="false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  <c r="AB179" s="100"/>
      <c r="AC179" s="100"/>
      <c r="AD179" s="100"/>
      <c r="AE179" s="100"/>
      <c r="AF179" s="100"/>
      <c r="AG179" s="100"/>
      <c r="AH179" s="100"/>
    </row>
    <row r="180" customFormat="false" ht="12.8" hidden="false" customHeight="false" outlineLevel="0" collapsed="false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  <c r="AB180" s="100"/>
      <c r="AC180" s="100"/>
      <c r="AD180" s="100"/>
      <c r="AE180" s="100"/>
      <c r="AF180" s="100"/>
      <c r="AG180" s="100"/>
      <c r="AH180" s="100"/>
    </row>
    <row r="181" customFormat="false" ht="12.8" hidden="false" customHeight="false" outlineLevel="0" collapsed="false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  <c r="AB181" s="100"/>
      <c r="AC181" s="100"/>
      <c r="AD181" s="100"/>
      <c r="AE181" s="100"/>
      <c r="AF181" s="100"/>
      <c r="AG181" s="100"/>
      <c r="AH181" s="100"/>
    </row>
    <row r="182" customFormat="false" ht="12.8" hidden="false" customHeight="false" outlineLevel="0" collapsed="false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  <c r="AB182" s="100"/>
      <c r="AC182" s="100"/>
      <c r="AD182" s="100"/>
      <c r="AE182" s="100"/>
      <c r="AF182" s="100"/>
      <c r="AG182" s="100"/>
      <c r="AH182" s="100"/>
    </row>
    <row r="183" customFormat="false" ht="12.8" hidden="false" customHeight="false" outlineLevel="0" collapsed="false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  <c r="AB183" s="100"/>
      <c r="AC183" s="100"/>
      <c r="AD183" s="100"/>
      <c r="AE183" s="100"/>
      <c r="AF183" s="100"/>
      <c r="AG183" s="100"/>
      <c r="AH183" s="100"/>
    </row>
    <row r="184" customFormat="false" ht="12.8" hidden="false" customHeight="false" outlineLevel="0" collapsed="false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  <c r="AB184" s="100"/>
      <c r="AC184" s="100"/>
      <c r="AD184" s="100"/>
      <c r="AE184" s="100"/>
      <c r="AF184" s="100"/>
      <c r="AG184" s="100"/>
      <c r="AH184" s="100"/>
    </row>
    <row r="185" customFormat="false" ht="12.8" hidden="false" customHeight="false" outlineLevel="0" collapsed="false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00"/>
      <c r="AC185" s="100"/>
      <c r="AD185" s="100"/>
      <c r="AE185" s="100"/>
      <c r="AF185" s="100"/>
      <c r="AG185" s="100"/>
      <c r="AH185" s="100"/>
    </row>
    <row r="186" customFormat="false" ht="12.8" hidden="false" customHeight="false" outlineLevel="0" collapsed="false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  <c r="AB186" s="100"/>
      <c r="AC186" s="100"/>
      <c r="AD186" s="100"/>
      <c r="AE186" s="100"/>
      <c r="AF186" s="100"/>
      <c r="AG186" s="100"/>
      <c r="AH186" s="100"/>
    </row>
    <row r="187" customFormat="false" ht="12.8" hidden="false" customHeight="false" outlineLevel="0" collapsed="false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  <c r="AB187" s="100"/>
      <c r="AC187" s="100"/>
      <c r="AD187" s="100"/>
      <c r="AE187" s="100"/>
      <c r="AF187" s="100"/>
      <c r="AG187" s="100"/>
      <c r="AH187" s="100"/>
    </row>
    <row r="188" customFormat="false" ht="12.8" hidden="false" customHeight="false" outlineLevel="0" collapsed="false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  <c r="AB188" s="100"/>
      <c r="AC188" s="100"/>
      <c r="AD188" s="100"/>
      <c r="AE188" s="100"/>
      <c r="AF188" s="100"/>
      <c r="AG188" s="100"/>
      <c r="AH188" s="100"/>
    </row>
    <row r="189" customFormat="false" ht="12.8" hidden="false" customHeight="false" outlineLevel="0" collapsed="false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00"/>
      <c r="AC189" s="100"/>
      <c r="AD189" s="100"/>
      <c r="AE189" s="100"/>
      <c r="AF189" s="100"/>
      <c r="AG189" s="100"/>
      <c r="AH189" s="100"/>
    </row>
    <row r="190" customFormat="false" ht="12.8" hidden="false" customHeight="false" outlineLevel="0" collapsed="false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  <c r="AB190" s="100"/>
      <c r="AC190" s="100"/>
      <c r="AD190" s="100"/>
      <c r="AE190" s="100"/>
      <c r="AF190" s="100"/>
      <c r="AG190" s="100"/>
      <c r="AH190" s="100"/>
    </row>
    <row r="191" customFormat="false" ht="12.8" hidden="false" customHeight="false" outlineLevel="0" collapsed="false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00"/>
      <c r="AC191" s="100"/>
      <c r="AD191" s="100"/>
      <c r="AE191" s="100"/>
      <c r="AF191" s="100"/>
      <c r="AG191" s="100"/>
      <c r="AH191" s="100"/>
    </row>
    <row r="192" customFormat="false" ht="12.8" hidden="false" customHeight="false" outlineLevel="0" collapsed="false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  <c r="AB192" s="100"/>
      <c r="AC192" s="100"/>
      <c r="AD192" s="100"/>
      <c r="AE192" s="100"/>
      <c r="AF192" s="100"/>
      <c r="AG192" s="100"/>
      <c r="AH192" s="100"/>
    </row>
    <row r="193" customFormat="false" ht="12.8" hidden="false" customHeight="false" outlineLevel="0" collapsed="false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  <c r="AB193" s="100"/>
      <c r="AC193" s="100"/>
      <c r="AD193" s="100"/>
      <c r="AE193" s="100"/>
      <c r="AF193" s="100"/>
      <c r="AG193" s="100"/>
      <c r="AH193" s="100"/>
    </row>
    <row r="194" customFormat="false" ht="12.8" hidden="false" customHeight="false" outlineLevel="0" collapsed="false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  <c r="AB194" s="100"/>
      <c r="AC194" s="100"/>
      <c r="AD194" s="100"/>
      <c r="AE194" s="100"/>
      <c r="AF194" s="100"/>
      <c r="AG194" s="100"/>
      <c r="AH194" s="100"/>
    </row>
    <row r="195" customFormat="false" ht="12.8" hidden="false" customHeight="false" outlineLevel="0" collapsed="false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  <c r="AB195" s="100"/>
      <c r="AC195" s="100"/>
      <c r="AD195" s="100"/>
      <c r="AE195" s="100"/>
      <c r="AF195" s="100"/>
      <c r="AG195" s="100"/>
      <c r="AH195" s="100"/>
    </row>
    <row r="196" customFormat="false" ht="12.8" hidden="false" customHeight="false" outlineLevel="0" collapsed="false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  <c r="AB196" s="100"/>
      <c r="AC196" s="100"/>
      <c r="AD196" s="100"/>
      <c r="AE196" s="100"/>
      <c r="AF196" s="100"/>
      <c r="AG196" s="100"/>
      <c r="AH196" s="100"/>
    </row>
    <row r="197" customFormat="false" ht="12.8" hidden="false" customHeight="false" outlineLevel="0" collapsed="false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  <c r="AB197" s="100"/>
      <c r="AC197" s="100"/>
      <c r="AD197" s="100"/>
      <c r="AE197" s="100"/>
      <c r="AF197" s="100"/>
      <c r="AG197" s="100"/>
      <c r="AH197" s="100"/>
    </row>
    <row r="198" customFormat="false" ht="12.8" hidden="false" customHeight="false" outlineLevel="0" collapsed="false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  <c r="AB198" s="100"/>
      <c r="AC198" s="100"/>
      <c r="AD198" s="100"/>
      <c r="AE198" s="100"/>
      <c r="AF198" s="100"/>
      <c r="AG198" s="100"/>
      <c r="AH198" s="100"/>
    </row>
    <row r="199" customFormat="false" ht="12.8" hidden="false" customHeight="false" outlineLevel="0" collapsed="false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  <c r="AB199" s="100"/>
      <c r="AC199" s="100"/>
      <c r="AD199" s="100"/>
      <c r="AE199" s="100"/>
      <c r="AF199" s="100"/>
      <c r="AG199" s="100"/>
      <c r="AH199" s="100"/>
    </row>
    <row r="200" customFormat="false" ht="12.8" hidden="false" customHeight="false" outlineLevel="0" collapsed="false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  <c r="AB200" s="100"/>
      <c r="AC200" s="100"/>
      <c r="AD200" s="100"/>
      <c r="AE200" s="100"/>
      <c r="AF200" s="100"/>
      <c r="AG200" s="100"/>
      <c r="AH200" s="100"/>
    </row>
    <row r="201" customFormat="false" ht="12.8" hidden="false" customHeight="false" outlineLevel="0" collapsed="false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  <c r="AB201" s="100"/>
      <c r="AC201" s="100"/>
      <c r="AD201" s="100"/>
      <c r="AE201" s="100"/>
      <c r="AF201" s="100"/>
      <c r="AG201" s="100"/>
      <c r="AH201" s="100"/>
    </row>
    <row r="202" customFormat="false" ht="12.8" hidden="false" customHeight="false" outlineLevel="0" collapsed="false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  <c r="AB202" s="100"/>
      <c r="AC202" s="100"/>
      <c r="AD202" s="100"/>
      <c r="AE202" s="100"/>
      <c r="AF202" s="100"/>
      <c r="AG202" s="100"/>
      <c r="AH202" s="100"/>
    </row>
    <row r="203" customFormat="false" ht="12.8" hidden="false" customHeight="false" outlineLevel="0" collapsed="false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  <c r="AB203" s="100"/>
      <c r="AC203" s="100"/>
      <c r="AD203" s="100"/>
      <c r="AE203" s="100"/>
      <c r="AF203" s="100"/>
      <c r="AG203" s="100"/>
      <c r="AH203" s="100"/>
    </row>
    <row r="204" customFormat="false" ht="12.8" hidden="false" customHeight="false" outlineLevel="0" collapsed="false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  <c r="AB204" s="100"/>
      <c r="AC204" s="100"/>
      <c r="AD204" s="100"/>
      <c r="AE204" s="100"/>
      <c r="AF204" s="100"/>
      <c r="AG204" s="100"/>
      <c r="AH204" s="100"/>
    </row>
    <row r="205" customFormat="false" ht="12.8" hidden="false" customHeight="false" outlineLevel="0" collapsed="false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  <c r="AB205" s="100"/>
      <c r="AC205" s="100"/>
      <c r="AD205" s="100"/>
      <c r="AE205" s="100"/>
      <c r="AF205" s="100"/>
      <c r="AG205" s="100"/>
      <c r="AH205" s="100"/>
    </row>
    <row r="206" customFormat="false" ht="12.8" hidden="false" customHeight="false" outlineLevel="0" collapsed="false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  <c r="AB206" s="100"/>
      <c r="AC206" s="100"/>
      <c r="AD206" s="100"/>
      <c r="AE206" s="100"/>
      <c r="AF206" s="100"/>
      <c r="AG206" s="100"/>
      <c r="AH206" s="100"/>
    </row>
    <row r="207" customFormat="false" ht="12.8" hidden="false" customHeight="false" outlineLevel="0" collapsed="false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  <c r="AB207" s="100"/>
      <c r="AC207" s="100"/>
      <c r="AD207" s="100"/>
      <c r="AE207" s="100"/>
      <c r="AF207" s="100"/>
      <c r="AG207" s="100"/>
      <c r="AH207" s="100"/>
    </row>
    <row r="208" customFormat="false" ht="12.8" hidden="false" customHeight="false" outlineLevel="0" collapsed="false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  <c r="AB208" s="100"/>
      <c r="AC208" s="100"/>
      <c r="AD208" s="100"/>
      <c r="AE208" s="100"/>
      <c r="AF208" s="100"/>
      <c r="AG208" s="100"/>
      <c r="AH208" s="100"/>
    </row>
    <row r="209" customFormat="false" ht="12.8" hidden="false" customHeight="false" outlineLevel="0" collapsed="false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  <c r="AB209" s="100"/>
      <c r="AC209" s="100"/>
      <c r="AD209" s="100"/>
      <c r="AE209" s="100"/>
      <c r="AF209" s="100"/>
      <c r="AG209" s="100"/>
      <c r="AH209" s="100"/>
    </row>
    <row r="210" customFormat="false" ht="12.8" hidden="false" customHeight="false" outlineLevel="0" collapsed="false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  <c r="AB210" s="100"/>
      <c r="AC210" s="100"/>
      <c r="AD210" s="100"/>
      <c r="AE210" s="100"/>
      <c r="AF210" s="100"/>
      <c r="AG210" s="100"/>
      <c r="AH210" s="100"/>
    </row>
    <row r="211" customFormat="false" ht="12.8" hidden="false" customHeight="false" outlineLevel="0" collapsed="false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  <c r="AB211" s="100"/>
      <c r="AC211" s="100"/>
      <c r="AD211" s="100"/>
      <c r="AE211" s="100"/>
      <c r="AF211" s="100"/>
      <c r="AG211" s="100"/>
      <c r="AH211" s="100"/>
    </row>
    <row r="212" customFormat="false" ht="12.8" hidden="false" customHeight="false" outlineLevel="0" collapsed="false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  <c r="AB212" s="100"/>
      <c r="AC212" s="100"/>
      <c r="AD212" s="100"/>
      <c r="AE212" s="100"/>
      <c r="AF212" s="100"/>
      <c r="AG212" s="100"/>
      <c r="AH212" s="100"/>
    </row>
    <row r="213" customFormat="false" ht="12.8" hidden="false" customHeight="false" outlineLevel="0" collapsed="false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  <c r="AB213" s="100"/>
      <c r="AC213" s="100"/>
      <c r="AD213" s="100"/>
      <c r="AE213" s="100"/>
      <c r="AF213" s="100"/>
      <c r="AG213" s="100"/>
      <c r="AH213" s="100"/>
    </row>
    <row r="214" customFormat="false" ht="12.8" hidden="false" customHeight="false" outlineLevel="0" collapsed="false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  <c r="AB214" s="100"/>
      <c r="AC214" s="100"/>
      <c r="AD214" s="100"/>
      <c r="AE214" s="100"/>
      <c r="AF214" s="100"/>
      <c r="AG214" s="100"/>
      <c r="AH214" s="100"/>
    </row>
    <row r="215" customFormat="false" ht="12.8" hidden="false" customHeight="false" outlineLevel="0" collapsed="false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  <c r="AB215" s="100"/>
      <c r="AC215" s="100"/>
      <c r="AD215" s="100"/>
      <c r="AE215" s="100"/>
      <c r="AF215" s="100"/>
      <c r="AG215" s="100"/>
      <c r="AH215" s="100"/>
    </row>
    <row r="216" customFormat="false" ht="12.8" hidden="false" customHeight="false" outlineLevel="0" collapsed="false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00"/>
      <c r="AC216" s="100"/>
      <c r="AD216" s="100"/>
      <c r="AE216" s="100"/>
      <c r="AF216" s="100"/>
      <c r="AG216" s="100"/>
      <c r="AH216" s="100"/>
    </row>
    <row r="217" customFormat="false" ht="12.8" hidden="false" customHeight="false" outlineLevel="0" collapsed="false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  <c r="AB217" s="100"/>
      <c r="AC217" s="100"/>
      <c r="AD217" s="100"/>
      <c r="AE217" s="100"/>
      <c r="AF217" s="100"/>
      <c r="AG217" s="100"/>
      <c r="AH217" s="100"/>
    </row>
    <row r="218" customFormat="false" ht="12.8" hidden="false" customHeight="false" outlineLevel="0" collapsed="false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  <c r="AB218" s="100"/>
      <c r="AC218" s="100"/>
      <c r="AD218" s="100"/>
      <c r="AE218" s="100"/>
      <c r="AF218" s="100"/>
      <c r="AG218" s="100"/>
      <c r="AH218" s="100"/>
    </row>
    <row r="219" customFormat="false" ht="12.8" hidden="false" customHeight="false" outlineLevel="0" collapsed="false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  <c r="AB219" s="100"/>
      <c r="AC219" s="100"/>
      <c r="AD219" s="100"/>
      <c r="AE219" s="100"/>
      <c r="AF219" s="100"/>
      <c r="AG219" s="100"/>
      <c r="AH219" s="100"/>
    </row>
    <row r="220" customFormat="false" ht="12.8" hidden="false" customHeight="false" outlineLevel="0" collapsed="false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  <c r="AB220" s="100"/>
      <c r="AC220" s="100"/>
      <c r="AD220" s="100"/>
      <c r="AE220" s="100"/>
      <c r="AF220" s="100"/>
      <c r="AG220" s="100"/>
      <c r="AH220" s="100"/>
    </row>
    <row r="221" customFormat="false" ht="12.8" hidden="false" customHeight="false" outlineLevel="0" collapsed="false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  <c r="AB221" s="100"/>
      <c r="AC221" s="100"/>
      <c r="AD221" s="100"/>
      <c r="AE221" s="100"/>
      <c r="AF221" s="100"/>
      <c r="AG221" s="100"/>
      <c r="AH221" s="100"/>
    </row>
    <row r="222" customFormat="false" ht="12.8" hidden="false" customHeight="false" outlineLevel="0" collapsed="false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  <c r="AB222" s="100"/>
      <c r="AC222" s="100"/>
      <c r="AD222" s="100"/>
      <c r="AE222" s="100"/>
      <c r="AF222" s="100"/>
      <c r="AG222" s="100"/>
      <c r="AH222" s="100"/>
    </row>
    <row r="223" customFormat="false" ht="12.8" hidden="false" customHeight="false" outlineLevel="0" collapsed="false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  <c r="AB223" s="100"/>
      <c r="AC223" s="100"/>
      <c r="AD223" s="100"/>
      <c r="AE223" s="100"/>
      <c r="AF223" s="100"/>
      <c r="AG223" s="100"/>
      <c r="AH223" s="100"/>
    </row>
    <row r="224" customFormat="false" ht="12.8" hidden="false" customHeight="false" outlineLevel="0" collapsed="false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  <c r="AB224" s="100"/>
      <c r="AC224" s="100"/>
      <c r="AD224" s="100"/>
      <c r="AE224" s="100"/>
      <c r="AF224" s="100"/>
      <c r="AG224" s="100"/>
      <c r="AH224" s="100"/>
    </row>
    <row r="225" customFormat="false" ht="12.8" hidden="false" customHeight="false" outlineLevel="0" collapsed="false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00"/>
      <c r="AC225" s="100"/>
      <c r="AD225" s="100"/>
      <c r="AE225" s="100"/>
      <c r="AF225" s="100"/>
      <c r="AG225" s="100"/>
      <c r="AH225" s="100"/>
    </row>
    <row r="226" customFormat="false" ht="12.8" hidden="false" customHeight="false" outlineLevel="0" collapsed="false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  <c r="AB226" s="100"/>
      <c r="AC226" s="100"/>
      <c r="AD226" s="100"/>
      <c r="AE226" s="100"/>
      <c r="AF226" s="100"/>
      <c r="AG226" s="100"/>
      <c r="AH226" s="100"/>
    </row>
    <row r="227" customFormat="false" ht="12.8" hidden="false" customHeight="false" outlineLevel="0" collapsed="false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  <c r="AB227" s="100"/>
      <c r="AC227" s="100"/>
      <c r="AD227" s="100"/>
      <c r="AE227" s="100"/>
      <c r="AF227" s="100"/>
      <c r="AG227" s="100"/>
      <c r="AH227" s="100"/>
    </row>
    <row r="228" customFormat="false" ht="12.8" hidden="false" customHeight="false" outlineLevel="0" collapsed="false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  <c r="AB228" s="100"/>
      <c r="AC228" s="100"/>
      <c r="AD228" s="100"/>
      <c r="AE228" s="100"/>
      <c r="AF228" s="100"/>
      <c r="AG228" s="100"/>
      <c r="AH228" s="100"/>
    </row>
    <row r="229" customFormat="false" ht="12.8" hidden="false" customHeight="false" outlineLevel="0" collapsed="false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  <c r="AB229" s="100"/>
      <c r="AC229" s="100"/>
      <c r="AD229" s="100"/>
      <c r="AE229" s="100"/>
      <c r="AF229" s="100"/>
      <c r="AG229" s="100"/>
      <c r="AH229" s="100"/>
    </row>
    <row r="230" customFormat="false" ht="12.8" hidden="false" customHeight="false" outlineLevel="0" collapsed="false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00"/>
      <c r="AC230" s="100"/>
      <c r="AD230" s="100"/>
      <c r="AE230" s="100"/>
      <c r="AF230" s="100"/>
      <c r="AG230" s="100"/>
      <c r="AH230" s="100"/>
    </row>
    <row r="231" customFormat="false" ht="12.8" hidden="false" customHeight="false" outlineLevel="0" collapsed="false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  <c r="AB231" s="100"/>
      <c r="AC231" s="100"/>
      <c r="AD231" s="100"/>
      <c r="AE231" s="100"/>
      <c r="AF231" s="100"/>
      <c r="AG231" s="100"/>
      <c r="AH231" s="100"/>
    </row>
    <row r="232" customFormat="false" ht="12.8" hidden="false" customHeight="false" outlineLevel="0" collapsed="false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  <c r="AB232" s="100"/>
      <c r="AC232" s="100"/>
      <c r="AD232" s="100"/>
      <c r="AE232" s="100"/>
      <c r="AF232" s="100"/>
      <c r="AG232" s="100"/>
      <c r="AH232" s="100"/>
    </row>
    <row r="233" customFormat="false" ht="12.8" hidden="false" customHeight="false" outlineLevel="0" collapsed="false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  <c r="AB233" s="100"/>
      <c r="AC233" s="100"/>
      <c r="AD233" s="100"/>
      <c r="AE233" s="100"/>
      <c r="AF233" s="100"/>
      <c r="AG233" s="100"/>
      <c r="AH233" s="100"/>
    </row>
    <row r="234" customFormat="false" ht="12.8" hidden="false" customHeight="false" outlineLevel="0" collapsed="false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  <c r="AB234" s="100"/>
      <c r="AC234" s="100"/>
      <c r="AD234" s="100"/>
      <c r="AE234" s="100"/>
      <c r="AF234" s="100"/>
      <c r="AG234" s="100"/>
      <c r="AH234" s="100"/>
    </row>
    <row r="235" customFormat="false" ht="12.8" hidden="false" customHeight="false" outlineLevel="0" collapsed="false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  <c r="AB235" s="100"/>
      <c r="AC235" s="100"/>
      <c r="AD235" s="100"/>
      <c r="AE235" s="100"/>
      <c r="AF235" s="100"/>
      <c r="AG235" s="100"/>
      <c r="AH235" s="100"/>
    </row>
    <row r="236" customFormat="false" ht="12.8" hidden="false" customHeight="false" outlineLevel="0" collapsed="false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  <c r="AB236" s="100"/>
      <c r="AC236" s="100"/>
      <c r="AD236" s="100"/>
      <c r="AE236" s="100"/>
      <c r="AF236" s="100"/>
      <c r="AG236" s="100"/>
      <c r="AH236" s="100"/>
    </row>
    <row r="237" customFormat="false" ht="12.8" hidden="false" customHeight="false" outlineLevel="0" collapsed="false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  <c r="AB237" s="100"/>
      <c r="AC237" s="100"/>
      <c r="AD237" s="100"/>
      <c r="AE237" s="100"/>
      <c r="AF237" s="100"/>
      <c r="AG237" s="100"/>
      <c r="AH237" s="100"/>
    </row>
    <row r="238" customFormat="false" ht="12.8" hidden="false" customHeight="false" outlineLevel="0" collapsed="false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  <c r="AB238" s="100"/>
      <c r="AC238" s="100"/>
      <c r="AD238" s="100"/>
      <c r="AE238" s="100"/>
      <c r="AF238" s="100"/>
      <c r="AG238" s="100"/>
      <c r="AH238" s="100"/>
    </row>
    <row r="239" customFormat="false" ht="12.8" hidden="false" customHeight="false" outlineLevel="0" collapsed="false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  <c r="AB239" s="100"/>
      <c r="AC239" s="100"/>
      <c r="AD239" s="100"/>
      <c r="AE239" s="100"/>
      <c r="AF239" s="100"/>
      <c r="AG239" s="100"/>
      <c r="AH239" s="100"/>
    </row>
    <row r="240" customFormat="false" ht="12.8" hidden="false" customHeight="false" outlineLevel="0" collapsed="false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  <c r="AB240" s="100"/>
      <c r="AC240" s="100"/>
      <c r="AD240" s="100"/>
      <c r="AE240" s="100"/>
      <c r="AF240" s="100"/>
      <c r="AG240" s="100"/>
      <c r="AH240" s="100"/>
    </row>
    <row r="241" customFormat="false" ht="12.8" hidden="false" customHeight="false" outlineLevel="0" collapsed="false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  <c r="AB241" s="100"/>
      <c r="AC241" s="100"/>
      <c r="AD241" s="100"/>
      <c r="AE241" s="100"/>
      <c r="AF241" s="100"/>
      <c r="AG241" s="100"/>
      <c r="AH241" s="100"/>
    </row>
    <row r="242" customFormat="false" ht="12.8" hidden="false" customHeight="false" outlineLevel="0" collapsed="false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  <c r="AB242" s="100"/>
      <c r="AC242" s="100"/>
      <c r="AD242" s="100"/>
      <c r="AE242" s="100"/>
      <c r="AF242" s="100"/>
      <c r="AG242" s="100"/>
      <c r="AH242" s="100"/>
    </row>
    <row r="243" customFormat="false" ht="12.8" hidden="false" customHeight="false" outlineLevel="0" collapsed="false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  <c r="AB243" s="100"/>
      <c r="AC243" s="100"/>
      <c r="AD243" s="100"/>
      <c r="AE243" s="100"/>
      <c r="AF243" s="100"/>
      <c r="AG243" s="100"/>
      <c r="AH243" s="100"/>
    </row>
    <row r="244" customFormat="false" ht="12.8" hidden="false" customHeight="false" outlineLevel="0" collapsed="false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  <c r="AB244" s="100"/>
      <c r="AC244" s="100"/>
      <c r="AD244" s="100"/>
      <c r="AE244" s="100"/>
      <c r="AF244" s="100"/>
      <c r="AG244" s="100"/>
      <c r="AH244" s="100"/>
    </row>
    <row r="245" customFormat="false" ht="12.8" hidden="false" customHeight="false" outlineLevel="0" collapsed="false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00"/>
      <c r="AC245" s="100"/>
      <c r="AD245" s="100"/>
      <c r="AE245" s="100"/>
      <c r="AF245" s="100"/>
      <c r="AG245" s="100"/>
      <c r="AH245" s="100"/>
    </row>
    <row r="246" customFormat="false" ht="12.8" hidden="false" customHeight="false" outlineLevel="0" collapsed="false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  <c r="AB246" s="100"/>
      <c r="AC246" s="100"/>
      <c r="AD246" s="100"/>
      <c r="AE246" s="100"/>
      <c r="AF246" s="100"/>
      <c r="AG246" s="100"/>
      <c r="AH246" s="100"/>
    </row>
    <row r="247" customFormat="false" ht="12.8" hidden="false" customHeight="false" outlineLevel="0" collapsed="false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00"/>
      <c r="AC247" s="100"/>
      <c r="AD247" s="100"/>
      <c r="AE247" s="100"/>
      <c r="AF247" s="100"/>
      <c r="AG247" s="100"/>
      <c r="AH247" s="100"/>
    </row>
    <row r="248" customFormat="false" ht="12.8" hidden="false" customHeight="false" outlineLevel="0" collapsed="false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  <c r="AB248" s="100"/>
      <c r="AC248" s="100"/>
      <c r="AD248" s="100"/>
      <c r="AE248" s="100"/>
      <c r="AF248" s="100"/>
      <c r="AG248" s="100"/>
      <c r="AH248" s="100"/>
    </row>
    <row r="249" customFormat="false" ht="12.8" hidden="false" customHeight="false" outlineLevel="0" collapsed="false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00"/>
      <c r="AC249" s="100"/>
      <c r="AD249" s="100"/>
      <c r="AE249" s="100"/>
      <c r="AF249" s="100"/>
      <c r="AG249" s="100"/>
      <c r="AH249" s="100"/>
    </row>
    <row r="250" customFormat="false" ht="12.8" hidden="false" customHeight="false" outlineLevel="0" collapsed="false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  <c r="AB250" s="100"/>
      <c r="AC250" s="100"/>
      <c r="AD250" s="100"/>
      <c r="AE250" s="100"/>
      <c r="AF250" s="100"/>
      <c r="AG250" s="100"/>
      <c r="AH250" s="100"/>
    </row>
    <row r="251" customFormat="false" ht="12.8" hidden="false" customHeight="false" outlineLevel="0" collapsed="false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  <c r="AB251" s="100"/>
      <c r="AC251" s="100"/>
      <c r="AD251" s="100"/>
      <c r="AE251" s="100"/>
      <c r="AF251" s="100"/>
      <c r="AG251" s="100"/>
      <c r="AH251" s="100"/>
    </row>
    <row r="252" customFormat="false" ht="12.8" hidden="false" customHeight="false" outlineLevel="0" collapsed="false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  <c r="AB252" s="100"/>
      <c r="AC252" s="100"/>
      <c r="AD252" s="100"/>
      <c r="AE252" s="100"/>
      <c r="AF252" s="100"/>
      <c r="AG252" s="100"/>
      <c r="AH252" s="100"/>
    </row>
    <row r="253" customFormat="false" ht="12.8" hidden="false" customHeight="false" outlineLevel="0" collapsed="false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  <c r="AB253" s="100"/>
      <c r="AC253" s="100"/>
      <c r="AD253" s="100"/>
      <c r="AE253" s="100"/>
      <c r="AF253" s="100"/>
      <c r="AG253" s="100"/>
      <c r="AH253" s="100"/>
    </row>
    <row r="254" customFormat="false" ht="12.8" hidden="false" customHeight="false" outlineLevel="0" collapsed="false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  <c r="AB254" s="100"/>
      <c r="AC254" s="100"/>
      <c r="AD254" s="100"/>
      <c r="AE254" s="100"/>
      <c r="AF254" s="100"/>
      <c r="AG254" s="100"/>
      <c r="AH254" s="100"/>
    </row>
    <row r="255" customFormat="false" ht="12.8" hidden="false" customHeight="false" outlineLevel="0" collapsed="false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  <c r="AB255" s="100"/>
      <c r="AC255" s="100"/>
      <c r="AD255" s="100"/>
      <c r="AE255" s="100"/>
      <c r="AF255" s="100"/>
      <c r="AG255" s="100"/>
      <c r="AH255" s="100"/>
    </row>
    <row r="256" customFormat="false" ht="12.8" hidden="false" customHeight="false" outlineLevel="0" collapsed="false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  <c r="AB256" s="100"/>
      <c r="AC256" s="100"/>
      <c r="AD256" s="100"/>
      <c r="AE256" s="100"/>
      <c r="AF256" s="100"/>
      <c r="AG256" s="100"/>
      <c r="AH256" s="100"/>
    </row>
    <row r="257" customFormat="false" ht="12.8" hidden="false" customHeight="false" outlineLevel="0" collapsed="false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  <c r="AB257" s="100"/>
      <c r="AC257" s="100"/>
      <c r="AD257" s="100"/>
      <c r="AE257" s="100"/>
      <c r="AF257" s="100"/>
      <c r="AG257" s="100"/>
      <c r="AH257" s="100"/>
    </row>
  </sheetData>
  <mergeCells count="67">
    <mergeCell ref="A1:A21"/>
    <mergeCell ref="F1:F29"/>
    <mergeCell ref="G1:G3"/>
    <mergeCell ref="K1:K28"/>
    <mergeCell ref="L1:L4"/>
    <mergeCell ref="P1:P26"/>
    <mergeCell ref="Q1:Q4"/>
    <mergeCell ref="U1:U22"/>
    <mergeCell ref="B2:B5"/>
    <mergeCell ref="C2:C3"/>
    <mergeCell ref="V3:V7"/>
    <mergeCell ref="W3:W4"/>
    <mergeCell ref="G4:G5"/>
    <mergeCell ref="L5:L12"/>
    <mergeCell ref="M5:M7"/>
    <mergeCell ref="Q5:Q8"/>
    <mergeCell ref="B6:B8"/>
    <mergeCell ref="C6:C8"/>
    <mergeCell ref="G6:G15"/>
    <mergeCell ref="H6:H8"/>
    <mergeCell ref="R6:R7"/>
    <mergeCell ref="W6:W7"/>
    <mergeCell ref="M8:M9"/>
    <mergeCell ref="V8:V13"/>
    <mergeCell ref="B9:B12"/>
    <mergeCell ref="C9:C12"/>
    <mergeCell ref="H9:H10"/>
    <mergeCell ref="Q9:Q14"/>
    <mergeCell ref="R9:R11"/>
    <mergeCell ref="W9:W11"/>
    <mergeCell ref="M10:M12"/>
    <mergeCell ref="H11:H13"/>
    <mergeCell ref="R12:R14"/>
    <mergeCell ref="B13:B19"/>
    <mergeCell ref="C13:C15"/>
    <mergeCell ref="L13:L20"/>
    <mergeCell ref="M13:M15"/>
    <mergeCell ref="H14:H15"/>
    <mergeCell ref="V14:V20"/>
    <mergeCell ref="W14:W16"/>
    <mergeCell ref="Q15:Q20"/>
    <mergeCell ref="R15:R17"/>
    <mergeCell ref="C16:C19"/>
    <mergeCell ref="G16:G21"/>
    <mergeCell ref="H16:H17"/>
    <mergeCell ref="M16:M18"/>
    <mergeCell ref="H18:H20"/>
    <mergeCell ref="R18:R20"/>
    <mergeCell ref="W18:W20"/>
    <mergeCell ref="M19:M20"/>
    <mergeCell ref="L21:L27"/>
    <mergeCell ref="M21:M23"/>
    <mergeCell ref="Q21:Q25"/>
    <mergeCell ref="R21:R23"/>
    <mergeCell ref="G22:G27"/>
    <mergeCell ref="H22:H24"/>
    <mergeCell ref="M24:M26"/>
    <mergeCell ref="R24:R25"/>
    <mergeCell ref="H25:H27"/>
    <mergeCell ref="A31:D31"/>
    <mergeCell ref="F31:I31"/>
    <mergeCell ref="K31:N31"/>
    <mergeCell ref="P31:S31"/>
    <mergeCell ref="U31:X31"/>
    <mergeCell ref="A39:D39"/>
    <mergeCell ref="F39:I39"/>
    <mergeCell ref="U39:X3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522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2021-11-03T03:26:02Z</dcterms:created>
  <dc:creator>Tencent Document</dc:creator>
  <dc:description/>
  <dc:language>en-US</dc:language>
  <cp:lastModifiedBy/>
  <dcterms:modified xsi:type="dcterms:W3CDTF">2021-11-28T17:55:38Z</dcterms:modified>
  <cp:revision>1</cp:revision>
  <dc:subject/>
  <dc:title/>
</cp:coreProperties>
</file>